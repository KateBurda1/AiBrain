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by Hotel" sheetId="1" state="visible" r:id="rId1"/>
    <sheet xmlns:r="http://schemas.openxmlformats.org/officeDocument/2006/relationships" name="Hour Detail" sheetId="2" state="visible" r:id="rId2"/>
  </sheets>
  <definedNames>
    <definedName name="_xlnm._FilterDatabase" localSheetId="1" hidden="1">'Hour Detail'!$A$4:$K$25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;-0.00;"/>
    <numFmt numFmtId="165" formatCode="&quot;$&quot;#,##0.00"/>
    <numFmt numFmtId="166" formatCode="0.0%"/>
  </numFmts>
  <fonts count="6">
    <font>
      <name val="Calibri"/>
      <family val="2"/>
      <color theme="1"/>
      <sz val="11"/>
      <scheme val="minor"/>
    </font>
    <font>
      <name val="Franklin Gothic Book"/>
      <b val="1"/>
      <color rgb="00B52372"/>
      <sz val="14"/>
    </font>
    <font>
      <name val="Franklin Gothic Book"/>
      <i val="1"/>
      <sz val="9"/>
    </font>
    <font>
      <name val="Franklin Gothic Book"/>
      <b val="1"/>
      <color rgb="00FFFFFF"/>
    </font>
    <font>
      <name val="Franklin Gothic Book"/>
    </font>
    <font>
      <name val="Franklin Gothic Book"/>
      <b val="1"/>
    </font>
  </fonts>
  <fills count="3">
    <fill>
      <patternFill/>
    </fill>
    <fill>
      <patternFill patternType="gray125"/>
    </fill>
    <fill>
      <patternFill patternType="solid">
        <fgColor rgb="00B52372"/>
      </patternFill>
    </fill>
  </fills>
  <borders count="2">
    <border>
      <left/>
      <right/>
      <top/>
      <bottom/>
      <diagonal/>
    </border>
    <border>
      <left style="thin">
        <color rgb="00A0A1A2"/>
      </left>
      <right style="thin">
        <color rgb="00A0A1A2"/>
      </right>
      <top style="thin">
        <color rgb="00A0A1A2"/>
      </top>
      <bottom style="thin">
        <color rgb="00A0A1A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pivotButton="0" quotePrefix="0" xfId="0"/>
    <xf numFmtId="166" fontId="4" fillId="0" borderId="1" pivotButton="0" quotePrefix="0" xfId="0"/>
    <xf numFmtId="165" fontId="4" fillId="0" borderId="1" pivotButton="0" quotePrefix="0" xfId="0"/>
    <xf numFmtId="0" fontId="5" fillId="0" borderId="1" pivotButton="0" quotePrefix="0" xfId="0"/>
    <xf numFmtId="2" fontId="5" fillId="0" borderId="1" pivotButton="0" quotePrefix="0" xfId="0"/>
    <xf numFmtId="166" fontId="5" fillId="0" borderId="1" pivotButton="0" quotePrefix="0" xfId="0"/>
    <xf numFmtId="165" fontId="5" fillId="0" borderId="1" pivotButton="0" quotePrefix="0" xfId="0"/>
    <xf numFmtId="2" fontId="5" fillId="0" borderId="0" pivotButton="0" quotePrefix="0" xfId="0"/>
    <xf numFmtId="166" fontId="5" fillId="0" borderId="0" pivotButton="0" quotePrefix="0" xfId="0"/>
    <xf numFmtId="165" fontId="5" fillId="0" borderId="0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Hotel Evolution: $4,000 Reconciliation Invoice by Hotel</t>
        </is>
      </c>
    </row>
    <row r="2">
      <c r="A2" s="2" t="inlineStr">
        <is>
          <t>40 hours at $100/hour, per the 2026-2027 Scope of Work. Lines Jawaria tagged "Hotel Evolution" bill to Hotel Evolution.</t>
        </is>
      </c>
    </row>
    <row r="4">
      <c r="A4" s="3" t="inlineStr">
        <is>
          <t>Hourly rate</t>
        </is>
      </c>
      <c r="B4" s="4" t="n">
        <v>100</v>
      </c>
    </row>
    <row r="5">
      <c r="A5" s="3" t="inlineStr">
        <is>
          <t>Invoice total</t>
        </is>
      </c>
      <c r="B5" s="4" t="n">
        <v>4000</v>
      </c>
    </row>
    <row r="7" ht="32" customHeight="1">
      <c r="A7" s="5" t="inlineStr">
        <is>
          <t>Bill to</t>
        </is>
      </c>
      <c r="B7" s="5" t="inlineStr">
        <is>
          <t>Hours</t>
        </is>
      </c>
      <c r="C7" s="5" t="inlineStr">
        <is>
          <t>% of invoice</t>
        </is>
      </c>
      <c r="D7" s="5" t="inlineStr">
        <is>
          <t>Invoice amount</t>
        </is>
      </c>
    </row>
    <row r="8">
      <c r="A8" s="6" t="inlineStr">
        <is>
          <t>Hampton Inn Southlake</t>
        </is>
      </c>
      <c r="B8" s="7">
        <f>'Hour Detail'!F26</f>
        <v/>
      </c>
      <c r="C8" s="8">
        <f>B8/B14</f>
        <v/>
      </c>
      <c r="D8" s="9">
        <f>ROUND(B8*$B$4,2)</f>
        <v/>
      </c>
    </row>
    <row r="9">
      <c r="A9" s="6" t="inlineStr">
        <is>
          <t>Home2 Suites Atlanta Airport North</t>
        </is>
      </c>
      <c r="B9" s="7">
        <f>'Hour Detail'!G26</f>
        <v/>
      </c>
      <c r="C9" s="8">
        <f>B9/B14</f>
        <v/>
      </c>
      <c r="D9" s="9">
        <f>$B$5-D8-SUM(D10:D13)</f>
        <v/>
      </c>
    </row>
    <row r="10">
      <c r="A10" s="6" t="inlineStr">
        <is>
          <t>Hampton Inn &amp; Suites Atlanta Airport</t>
        </is>
      </c>
      <c r="B10" s="7">
        <f>'Hour Detail'!H26</f>
        <v/>
      </c>
      <c r="C10" s="8">
        <f>B10/B14</f>
        <v/>
      </c>
      <c r="D10" s="9">
        <f>ROUND(B10*$B$4,2)</f>
        <v/>
      </c>
    </row>
    <row r="11">
      <c r="A11" s="6" t="inlineStr">
        <is>
          <t>Hilton Garden Inn Columbia NE (CAENO)</t>
        </is>
      </c>
      <c r="B11" s="7">
        <f>'Hour Detail'!I26</f>
        <v/>
      </c>
      <c r="C11" s="8">
        <f>B11/B14</f>
        <v/>
      </c>
      <c r="D11" s="9">
        <f>ROUND(B11*$B$4,2)</f>
        <v/>
      </c>
    </row>
    <row r="12">
      <c r="A12" s="6" t="inlineStr">
        <is>
          <t>Holiday Inn Express &amp; Suites Newberry</t>
        </is>
      </c>
      <c r="B12" s="7">
        <f>'Hour Detail'!J26</f>
        <v/>
      </c>
      <c r="C12" s="8">
        <f>B12/B14</f>
        <v/>
      </c>
      <c r="D12" s="9">
        <f>ROUND(B12*$B$4,2)</f>
        <v/>
      </c>
    </row>
    <row r="13">
      <c r="A13" s="6" t="inlineStr">
        <is>
          <t>Hotel Evolution</t>
        </is>
      </c>
      <c r="B13" s="7">
        <f>'Hour Detail'!K26</f>
        <v/>
      </c>
      <c r="C13" s="8">
        <f>B13/B14</f>
        <v/>
      </c>
      <c r="D13" s="9">
        <f>ROUND(B13*$B$4,2)</f>
        <v/>
      </c>
    </row>
    <row r="14">
      <c r="A14" s="10" t="inlineStr">
        <is>
          <t>Total</t>
        </is>
      </c>
      <c r="B14" s="11">
        <f>SUM(B8:B13)</f>
        <v/>
      </c>
      <c r="C14" s="12">
        <f>SUM(C8:C13)</f>
        <v/>
      </c>
      <c r="D14" s="13">
        <f>SUM(D8:D13)</f>
        <v/>
      </c>
    </row>
    <row r="15">
      <c r="A15" s="3" t="inlineStr">
        <is>
          <t>Check: ties to invoice</t>
        </is>
      </c>
      <c r="B15" s="14" t="n"/>
      <c r="C15" s="15" t="n"/>
      <c r="D15" s="16">
        <f>IF(ROUND(D14,2)=B5,"Yes","No")</f>
        <v/>
      </c>
    </row>
    <row r="16">
      <c r="A16" s="2" t="inlineStr">
        <is>
          <t>Home2's amount absorbs a 1 cent rounding difference so the total ties to $4,000.00.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7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Hotel Evolution: Hours by Hotel (from Jawaria's hour sheet)</t>
        </is>
      </c>
    </row>
    <row r="2">
      <c r="A2" s="2" t="inlineStr">
        <is>
          <t>Each line's hours are split evenly across the hotels Jawaria listed in her Division column. Lines tagged "Hotel Evolution" bill to Hotel Evolution.</t>
        </is>
      </c>
    </row>
    <row r="4" ht="45" customHeight="1">
      <c r="A4" s="5" t="inlineStr">
        <is>
          <t>Date</t>
        </is>
      </c>
      <c r="B4" s="5" t="inlineStr">
        <is>
          <t>Task</t>
        </is>
      </c>
      <c r="C4" s="5" t="inlineStr">
        <is>
          <t>Detail</t>
        </is>
      </c>
      <c r="D4" s="5" t="inlineStr">
        <is>
          <t>Hours</t>
        </is>
      </c>
      <c r="E4" s="5" t="inlineStr">
        <is>
          <t>Division (as Jawaria wrote it)</t>
        </is>
      </c>
      <c r="F4" s="5" t="inlineStr">
        <is>
          <t>Hampton Inn Southlake</t>
        </is>
      </c>
      <c r="G4" s="5" t="inlineStr">
        <is>
          <t>Home2 Suites Atlanta Airport North</t>
        </is>
      </c>
      <c r="H4" s="5" t="inlineStr">
        <is>
          <t>Hampton Inn &amp; Suites Atlanta Airport</t>
        </is>
      </c>
      <c r="I4" s="5" t="inlineStr">
        <is>
          <t>Hilton Garden Inn Columbia NE (CAENO)</t>
        </is>
      </c>
      <c r="J4" s="5" t="inlineStr">
        <is>
          <t>Holiday Inn Express &amp; Suites Newberry</t>
        </is>
      </c>
      <c r="K4" s="5" t="inlineStr">
        <is>
          <t>Hotel Evolution</t>
        </is>
      </c>
    </row>
    <row r="5">
      <c r="A5" s="17" t="inlineStr">
        <is>
          <t>10.28.25</t>
        </is>
      </c>
      <c r="B5" s="17" t="inlineStr">
        <is>
          <t>Meeting</t>
        </is>
      </c>
      <c r="C5" s="17" t="inlineStr">
        <is>
          <t>Meeting presentation and roadmap for the upcoming project</t>
        </is>
      </c>
      <c r="D5" s="18" t="n">
        <v>1</v>
      </c>
      <c r="E5" s="17" t="inlineStr">
        <is>
          <t>Hampton Inn Southlake, Home2 Suites</t>
        </is>
      </c>
      <c r="F5" s="18">
        <f>D5/2</f>
        <v/>
      </c>
      <c r="G5" s="18">
        <f>D5/2</f>
        <v/>
      </c>
      <c r="H5" s="18" t="n"/>
      <c r="I5" s="18" t="n"/>
      <c r="J5" s="18" t="n"/>
      <c r="K5" s="18" t="n"/>
    </row>
    <row r="6">
      <c r="A6" s="17" t="inlineStr">
        <is>
          <t>10.29.25</t>
        </is>
      </c>
      <c r="B6" s="17" t="inlineStr">
        <is>
          <t>Meeting</t>
        </is>
      </c>
      <c r="C6" s="17" t="inlineStr">
        <is>
          <t>Newberry and Columbia property with Ashish and Jerry</t>
        </is>
      </c>
      <c r="D6" s="18" t="n">
        <v>1.5</v>
      </c>
      <c r="E6" s="17" t="inlineStr">
        <is>
          <t>Hilton Garden Inn Columbia NorthEast, Holiday Inn &amp; Suites Newberry</t>
        </is>
      </c>
      <c r="F6" s="18" t="n"/>
      <c r="G6" s="18" t="n"/>
      <c r="H6" s="18" t="n"/>
      <c r="I6" s="18">
        <f>D6/2</f>
        <v/>
      </c>
      <c r="J6" s="18">
        <f>D6/2</f>
        <v/>
      </c>
      <c r="K6" s="18" t="n"/>
    </row>
    <row r="7">
      <c r="A7" s="17" t="inlineStr">
        <is>
          <t>01.12.26</t>
        </is>
      </c>
      <c r="B7" s="17" t="inlineStr">
        <is>
          <t>Web Update</t>
        </is>
      </c>
      <c r="C7" s="17" t="inlineStr">
        <is>
          <t>Hilton Garden Inn Columbia Main Page Content Update</t>
        </is>
      </c>
      <c r="D7" s="18" t="n">
        <v>1.5</v>
      </c>
      <c r="E7" s="17" t="inlineStr">
        <is>
          <t>Hilton Garden Inn Columbia, Home2 Suites</t>
        </is>
      </c>
      <c r="F7" s="18" t="n"/>
      <c r="G7" s="18">
        <f>D7/2</f>
        <v/>
      </c>
      <c r="H7" s="18" t="n"/>
      <c r="I7" s="18">
        <f>D7/2</f>
        <v/>
      </c>
      <c r="J7" s="18" t="n"/>
      <c r="K7" s="18" t="n"/>
    </row>
    <row r="8">
      <c r="A8" s="17" t="inlineStr">
        <is>
          <t>2.19.26</t>
        </is>
      </c>
      <c r="B8" s="17" t="inlineStr">
        <is>
          <t>Hilton Call</t>
        </is>
      </c>
      <c r="C8" s="17" t="inlineStr">
        <is>
          <t>Hilton FIFA Policies</t>
        </is>
      </c>
      <c r="D8" s="18" t="n">
        <v>1</v>
      </c>
      <c r="E8" s="17" t="inlineStr">
        <is>
          <t>Hotel Evolution</t>
        </is>
      </c>
      <c r="F8" s="18" t="n"/>
      <c r="G8" s="18" t="n"/>
      <c r="H8" s="18" t="n"/>
      <c r="I8" s="18" t="n"/>
      <c r="J8" s="18" t="n"/>
      <c r="K8" s="18">
        <f>D8</f>
        <v/>
      </c>
    </row>
    <row r="9">
      <c r="A9" s="17" t="inlineStr">
        <is>
          <t>2.19.26</t>
        </is>
      </c>
      <c r="B9" s="17" t="inlineStr">
        <is>
          <t>PPT</t>
        </is>
      </c>
      <c r="C9" s="17" t="inlineStr">
        <is>
          <t>Hilton FIFA Policies Presentation file</t>
        </is>
      </c>
      <c r="D9" s="18" t="n">
        <v>1.5</v>
      </c>
      <c r="E9" s="17" t="inlineStr">
        <is>
          <t>Hotel Evolution</t>
        </is>
      </c>
      <c r="F9" s="18" t="n"/>
      <c r="G9" s="18" t="n"/>
      <c r="H9" s="18" t="n"/>
      <c r="I9" s="18" t="n"/>
      <c r="J9" s="18" t="n"/>
      <c r="K9" s="18">
        <f>D9</f>
        <v/>
      </c>
    </row>
    <row r="10">
      <c r="A10" s="17" t="inlineStr">
        <is>
          <t>7.7.26</t>
        </is>
      </c>
      <c r="B10" s="17" t="inlineStr">
        <is>
          <t>Call</t>
        </is>
      </c>
      <c r="C10" s="17" t="inlineStr">
        <is>
          <t>Meeting call</t>
        </is>
      </c>
      <c r="D10" s="18" t="n">
        <v>2</v>
      </c>
      <c r="E10" s="17" t="inlineStr">
        <is>
          <t>Hampton Inn Southlake, Home2 Suites Atlanta Airport, Hampton Inn &amp; Suites</t>
        </is>
      </c>
      <c r="F10" s="18">
        <f>D10/3</f>
        <v/>
      </c>
      <c r="G10" s="18">
        <f>D10/3</f>
        <v/>
      </c>
      <c r="H10" s="18">
        <f>D10/3</f>
        <v/>
      </c>
      <c r="I10" s="18" t="n"/>
      <c r="J10" s="18" t="n"/>
      <c r="K10" s="18" t="n"/>
    </row>
    <row r="11">
      <c r="A11" s="17" t="inlineStr">
        <is>
          <t>8.18.26</t>
        </is>
      </c>
      <c r="B11" s="17" t="inlineStr">
        <is>
          <t>Google Update</t>
        </is>
      </c>
      <c r="C11" s="17" t="inlineStr">
        <is>
          <t>Updated Images on Google and Website for ATLNB</t>
        </is>
      </c>
      <c r="D11" s="18" t="n">
        <v>1.5</v>
      </c>
      <c r="E11" s="17" t="inlineStr">
        <is>
          <t>Hampton Inn &amp; Suites Atlanta Airport</t>
        </is>
      </c>
      <c r="F11" s="18" t="n"/>
      <c r="G11" s="18" t="n"/>
      <c r="H11" s="18">
        <f>D11/1</f>
        <v/>
      </c>
      <c r="I11" s="18" t="n"/>
      <c r="J11" s="18" t="n"/>
      <c r="K11" s="18" t="n"/>
    </row>
    <row r="12">
      <c r="A12" s="17" t="inlineStr">
        <is>
          <t>(no date)</t>
        </is>
      </c>
      <c r="B12" s="17" t="inlineStr">
        <is>
          <t>Web Update</t>
        </is>
      </c>
      <c r="C12" s="17" t="inlineStr">
        <is>
          <t>Work on image update for Home2 Suites Updated Web Images</t>
        </is>
      </c>
      <c r="D12" s="18" t="n">
        <v>3</v>
      </c>
      <c r="E12" s="17" t="inlineStr">
        <is>
          <t>Home2 Suites Atlanta Airport</t>
        </is>
      </c>
      <c r="F12" s="18" t="n"/>
      <c r="G12" s="18">
        <f>D12/1</f>
        <v/>
      </c>
      <c r="H12" s="18" t="n"/>
      <c r="I12" s="18" t="n"/>
      <c r="J12" s="18" t="n"/>
      <c r="K12" s="18" t="n"/>
    </row>
    <row r="13">
      <c r="A13" s="17" t="inlineStr">
        <is>
          <t>9.05.26</t>
        </is>
      </c>
      <c r="B13" s="17" t="inlineStr">
        <is>
          <t>Call</t>
        </is>
      </c>
      <c r="C13" s="17" t="inlineStr">
        <is>
          <t>Call with Hilton regarding the Home2Suites image ticket issue</t>
        </is>
      </c>
      <c r="D13" s="18" t="n">
        <v>2</v>
      </c>
      <c r="E13" s="17" t="inlineStr">
        <is>
          <t>Home2 Suites Atlanta Airport</t>
        </is>
      </c>
      <c r="F13" s="18" t="n"/>
      <c r="G13" s="18">
        <f>D13/1</f>
        <v/>
      </c>
      <c r="H13" s="18" t="n"/>
      <c r="I13" s="18" t="n"/>
      <c r="J13" s="18" t="n"/>
      <c r="K13" s="18" t="n"/>
    </row>
    <row r="14">
      <c r="A14" s="17" t="inlineStr">
        <is>
          <t>8.28.26</t>
        </is>
      </c>
      <c r="B14" s="17" t="inlineStr">
        <is>
          <t>Meeting</t>
        </is>
      </c>
      <c r="C14" s="17" t="inlineStr">
        <is>
          <t>Meeting with GMs</t>
        </is>
      </c>
      <c r="D14" s="18" t="n">
        <v>1.5</v>
      </c>
      <c r="E14" s="17" t="inlineStr">
        <is>
          <t xml:space="preserve">Holiday Inn Express Newberry, Hilton Garden Inn Columbia, Home2 Suites by Hilton North </t>
        </is>
      </c>
      <c r="F14" s="18" t="n"/>
      <c r="G14" s="18">
        <f>D14/3</f>
        <v/>
      </c>
      <c r="H14" s="18" t="n"/>
      <c r="I14" s="18">
        <f>D14/3</f>
        <v/>
      </c>
      <c r="J14" s="18">
        <f>D14/3</f>
        <v/>
      </c>
      <c r="K14" s="18" t="n"/>
    </row>
    <row r="15">
      <c r="A15" s="17" t="inlineStr">
        <is>
          <t>8.28.26</t>
        </is>
      </c>
      <c r="B15" s="17" t="inlineStr">
        <is>
          <t>Call</t>
        </is>
      </c>
      <c r="C15" s="17" t="inlineStr">
        <is>
          <t>Presentation on AI (1 hr. on call with support and 1 hr. presentation)</t>
        </is>
      </c>
      <c r="D15" s="18" t="n">
        <v>2</v>
      </c>
      <c r="E15" s="17" t="inlineStr">
        <is>
          <t xml:space="preserve">Holiday Inn Express Newberry, Hilton Garden Inn Columbia, Home2 Suites by Hilton North </t>
        </is>
      </c>
      <c r="F15" s="18" t="n"/>
      <c r="G15" s="18">
        <f>D15/3</f>
        <v/>
      </c>
      <c r="H15" s="18" t="n"/>
      <c r="I15" s="18">
        <f>D15/3</f>
        <v/>
      </c>
      <c r="J15" s="18">
        <f>D15/3</f>
        <v/>
      </c>
      <c r="K15" s="18" t="n"/>
    </row>
    <row r="16">
      <c r="A16" s="17" t="inlineStr">
        <is>
          <t>9.02.26</t>
        </is>
      </c>
      <c r="B16" s="17" t="inlineStr">
        <is>
          <t>Meeting</t>
        </is>
      </c>
      <c r="C16" s="17" t="inlineStr">
        <is>
          <t>Weekly marketing meeting</t>
        </is>
      </c>
      <c r="D16" s="18" t="n">
        <v>1.5</v>
      </c>
      <c r="E16" s="17" t="inlineStr">
        <is>
          <t>Hotel Evolution</t>
        </is>
      </c>
      <c r="F16" s="18" t="n"/>
      <c r="G16" s="18" t="n"/>
      <c r="H16" s="18" t="n"/>
      <c r="I16" s="18" t="n"/>
      <c r="J16" s="18" t="n"/>
      <c r="K16" s="18">
        <f>D16</f>
        <v/>
      </c>
    </row>
    <row r="17">
      <c r="A17" s="17" t="inlineStr">
        <is>
          <t>9.10.26</t>
        </is>
      </c>
      <c r="B17" s="17" t="inlineStr">
        <is>
          <t>Work</t>
        </is>
      </c>
      <c r="C17" s="17" t="inlineStr">
        <is>
          <t>2 awards pictures Edit (4 edits) (for Jerry and Pauline)</t>
        </is>
      </c>
      <c r="D17" s="18" t="n">
        <v>2.5</v>
      </c>
      <c r="E17" s="17" t="inlineStr">
        <is>
          <t>Home2 Suites by Hilton Atlanta Airport North, Holiday Inn Express &amp; Suites Newberry</t>
        </is>
      </c>
      <c r="F17" s="18" t="n"/>
      <c r="G17" s="18">
        <f>D17/2</f>
        <v/>
      </c>
      <c r="H17" s="18" t="n"/>
      <c r="I17" s="18" t="n"/>
      <c r="J17" s="18">
        <f>D17/2</f>
        <v/>
      </c>
      <c r="K17" s="18" t="n"/>
    </row>
    <row r="18">
      <c r="A18" s="17" t="inlineStr">
        <is>
          <t>9.8.26</t>
        </is>
      </c>
      <c r="B18" s="17" t="inlineStr">
        <is>
          <t>Work</t>
        </is>
      </c>
      <c r="C18" s="17" t="inlineStr">
        <is>
          <t>4 property Google Page assessment</t>
        </is>
      </c>
      <c r="D18" s="18" t="n">
        <v>3</v>
      </c>
      <c r="E18" s="17" t="inlineStr">
        <is>
          <t>Hampton Inn, Hilton Garden Inn, Hampton Inn and Suites, Home2 &amp;Suites</t>
        </is>
      </c>
      <c r="F18" s="18">
        <f>D18/4</f>
        <v/>
      </c>
      <c r="G18" s="18">
        <f>D18/4</f>
        <v/>
      </c>
      <c r="H18" s="18">
        <f>D18/4</f>
        <v/>
      </c>
      <c r="I18" s="18">
        <f>D18/4</f>
        <v/>
      </c>
      <c r="J18" s="18" t="n"/>
      <c r="K18" s="18" t="n"/>
    </row>
    <row r="19">
      <c r="A19" s="17" t="inlineStr">
        <is>
          <t>9.11.26</t>
        </is>
      </c>
      <c r="B19" s="17" t="inlineStr">
        <is>
          <t>Teams Meeting</t>
        </is>
      </c>
      <c r="C19" s="17" t="inlineStr">
        <is>
          <t>Google Support call meeting Morning and Evening (Created new pages)</t>
        </is>
      </c>
      <c r="D19" s="18" t="n">
        <v>4</v>
      </c>
      <c r="E19" s="17" t="inlineStr">
        <is>
          <t>Hilton Garden Inn Columbia, Holiday Inn Express &amp; Suites Newberry</t>
        </is>
      </c>
      <c r="F19" s="18" t="n"/>
      <c r="G19" s="18" t="n"/>
      <c r="H19" s="18" t="n"/>
      <c r="I19" s="18">
        <f>D19/2</f>
        <v/>
      </c>
      <c r="J19" s="18">
        <f>D19/2</f>
        <v/>
      </c>
      <c r="K19" s="18" t="n"/>
    </row>
    <row r="20">
      <c r="A20" s="17" t="inlineStr">
        <is>
          <t>9.11.26</t>
        </is>
      </c>
      <c r="B20" s="17" t="inlineStr">
        <is>
          <t>Meeting</t>
        </is>
      </c>
      <c r="C20" s="17" t="inlineStr">
        <is>
          <t>Weekly meeting</t>
        </is>
      </c>
      <c r="D20" s="18" t="n">
        <v>1.5</v>
      </c>
      <c r="E20" s="17" t="inlineStr">
        <is>
          <t>Hotel Evolution</t>
        </is>
      </c>
      <c r="F20" s="18" t="n"/>
      <c r="G20" s="18" t="n"/>
      <c r="H20" s="18" t="n"/>
      <c r="I20" s="18" t="n"/>
      <c r="J20" s="18" t="n"/>
      <c r="K20" s="18">
        <f>D20</f>
        <v/>
      </c>
    </row>
    <row r="21">
      <c r="A21" s="17" t="inlineStr">
        <is>
          <t>9.15.26</t>
        </is>
      </c>
      <c r="B21" s="17" t="inlineStr">
        <is>
          <t>Meeting</t>
        </is>
      </c>
      <c r="C21" s="17" t="inlineStr">
        <is>
          <t>GM meeting: Ashish and Jerry follow-up on Images</t>
        </is>
      </c>
      <c r="D21" s="18" t="n">
        <v>1.5</v>
      </c>
      <c r="E21" s="17" t="inlineStr">
        <is>
          <t>Hilton Garden Inn Columbia, Holiday Inn Express &amp; Suites Newberry</t>
        </is>
      </c>
      <c r="F21" s="18" t="n"/>
      <c r="G21" s="18" t="n"/>
      <c r="H21" s="18" t="n"/>
      <c r="I21" s="18">
        <f>D21/2</f>
        <v/>
      </c>
      <c r="J21" s="18">
        <f>D21/2</f>
        <v/>
      </c>
      <c r="K21" s="18" t="n"/>
    </row>
    <row r="22">
      <c r="A22" s="17" t="inlineStr">
        <is>
          <t>9.15.26</t>
        </is>
      </c>
      <c r="B22" s="17" t="inlineStr">
        <is>
          <t>Meeting</t>
        </is>
      </c>
      <c r="C22" s="17" t="inlineStr">
        <is>
          <t>Google Support/ Calls</t>
        </is>
      </c>
      <c r="D22" s="18" t="n">
        <v>2</v>
      </c>
      <c r="E22" s="17" t="inlineStr">
        <is>
          <t>Hilton Garden Inn Columbia, Holiday Inn Express &amp; Suites Newberry</t>
        </is>
      </c>
      <c r="F22" s="18" t="n"/>
      <c r="G22" s="18" t="n"/>
      <c r="H22" s="18" t="n"/>
      <c r="I22" s="18">
        <f>D22/2</f>
        <v/>
      </c>
      <c r="J22" s="18">
        <f>D22/2</f>
        <v/>
      </c>
      <c r="K22" s="18" t="n"/>
    </row>
    <row r="23">
      <c r="A23" s="17" t="inlineStr">
        <is>
          <t>9.22.26</t>
        </is>
      </c>
      <c r="B23" s="17" t="inlineStr">
        <is>
          <t>Meeting</t>
        </is>
      </c>
      <c r="C23" s="17" t="inlineStr">
        <is>
          <t>Google Support (Access request for Columbia property)</t>
        </is>
      </c>
      <c r="D23" s="18" t="n">
        <v>1.5</v>
      </c>
      <c r="E23" s="17" t="inlineStr">
        <is>
          <t>Hilton Garden Inn Columbia</t>
        </is>
      </c>
      <c r="F23" s="18" t="n"/>
      <c r="G23" s="18" t="n"/>
      <c r="H23" s="18" t="n"/>
      <c r="I23" s="18">
        <f>D23/1</f>
        <v/>
      </c>
      <c r="J23" s="18" t="n"/>
      <c r="K23" s="18" t="n"/>
    </row>
    <row r="24">
      <c r="A24" s="17" t="inlineStr">
        <is>
          <t>9.25.26</t>
        </is>
      </c>
      <c r="B24" s="17" t="inlineStr">
        <is>
          <t>Tickets &amp; Meeting</t>
        </is>
      </c>
      <c r="C24" s="17" t="inlineStr">
        <is>
          <t>CAENO Website Images and Sept 25th presentation and setting up access to Google Business Profile from Hilton</t>
        </is>
      </c>
      <c r="D24" s="18" t="n">
        <v>3</v>
      </c>
      <c r="E24" s="17" t="inlineStr">
        <is>
          <t>Hilton Garden Inn Columbia, Holiday Inn Express &amp; Suites Newberry, Home2 Suites Atlanta Airport</t>
        </is>
      </c>
      <c r="F24" s="18" t="n"/>
      <c r="G24" s="18">
        <f>D24/3</f>
        <v/>
      </c>
      <c r="H24" s="18" t="n"/>
      <c r="I24" s="18">
        <f>D24/3</f>
        <v/>
      </c>
      <c r="J24" s="18">
        <f>D24/3</f>
        <v/>
      </c>
      <c r="K24" s="18" t="n"/>
    </row>
    <row r="25">
      <c r="A25" s="17" t="inlineStr">
        <is>
          <t>9.29.26</t>
        </is>
      </c>
      <c r="B25" s="17" t="inlineStr">
        <is>
          <t>Ticket</t>
        </is>
      </c>
      <c r="C25" s="17" t="inlineStr">
        <is>
          <t>Follow up with Google support and Hilton on access issue and open tickets (for the ATLNB); issue was room code</t>
        </is>
      </c>
      <c r="D25" s="18" t="n">
        <v>1</v>
      </c>
      <c r="E25" s="17" t="inlineStr">
        <is>
          <t>Home2 Suites by Hilton Atlanta Airport North (ATLHT)</t>
        </is>
      </c>
      <c r="F25" s="18" t="n"/>
      <c r="G25" s="18">
        <f>D25/1</f>
        <v/>
      </c>
      <c r="H25" s="18" t="n"/>
      <c r="I25" s="18" t="n"/>
      <c r="J25" s="18" t="n"/>
      <c r="K25" s="18" t="n"/>
    </row>
    <row r="26">
      <c r="A26" s="19" t="n"/>
      <c r="B26" s="19" t="n"/>
      <c r="C26" s="19" t="inlineStr">
        <is>
          <t>Total hours</t>
        </is>
      </c>
      <c r="D26" s="20">
        <f>SUM(D5:D25)</f>
        <v/>
      </c>
      <c r="E26" s="19" t="n"/>
      <c r="F26" s="20">
        <f>SUM(F5:F25)</f>
        <v/>
      </c>
      <c r="G26" s="20">
        <f>SUM(G5:G25)</f>
        <v/>
      </c>
      <c r="H26" s="20">
        <f>SUM(H5:H25)</f>
        <v/>
      </c>
      <c r="I26" s="20">
        <f>SUM(I5:I25)</f>
        <v/>
      </c>
      <c r="J26" s="20">
        <f>SUM(J5:J25)</f>
        <v/>
      </c>
      <c r="K26" s="20">
        <f>SUM(K5:K25)</f>
        <v/>
      </c>
    </row>
  </sheetData>
  <autoFilter ref="A4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2026-10-09T17:38:58Z</dcterms:created>
  <dcterms:modified xmlns:dcterms="http://purl.org/dc/terms/" xmlns:xsi="http://www.w3.org/2001/XMLSchema-instance" xsi:type="dcterms:W3CDTF">2026-10-09T17:38:58Z</dcterms:modified>
</cp:coreProperties>
</file>