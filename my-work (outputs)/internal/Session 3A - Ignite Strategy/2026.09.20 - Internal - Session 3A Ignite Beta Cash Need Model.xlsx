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680" yWindow="500" windowWidth="50700" windowHeight="26940" tabRatio="600" firstSheet="1" activeTab="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ing Structure Description" sheetId="2" state="visible" r:id="rId2"/>
    <sheet xmlns:r="http://schemas.openxmlformats.org/officeDocument/2006/relationships" name="Pricing Calcuator" sheetId="3" state="visible" r:id="rId3"/>
    <sheet xmlns:r="http://schemas.openxmlformats.org/officeDocument/2006/relationships" name="Revenue 2025" sheetId="4" state="visible" r:id="rId4"/>
    <sheet xmlns:r="http://schemas.openxmlformats.org/officeDocument/2006/relationships" name="Revenue 2026" sheetId="5" state="visible" r:id="rId5"/>
    <sheet xmlns:r="http://schemas.openxmlformats.org/officeDocument/2006/relationships" name="Revenue 2027" sheetId="6" state="visible" r:id="rId6"/>
    <sheet xmlns:r="http://schemas.openxmlformats.org/officeDocument/2006/relationships" name="Revenue 2028" sheetId="7" state="visible" r:id="rId7"/>
    <sheet xmlns:r="http://schemas.openxmlformats.org/officeDocument/2006/relationships" name="Revenue 2029" sheetId="8" state="visible" r:id="rId8"/>
    <sheet xmlns:r="http://schemas.openxmlformats.org/officeDocument/2006/relationships" name="Revenue 2030" sheetId="9" state="visible" r:id="rId9"/>
    <sheet xmlns:r="http://schemas.openxmlformats.org/officeDocument/2006/relationships" name="COGS Analysis" sheetId="10" state="visible" r:id="rId10"/>
    <sheet xmlns:r="http://schemas.openxmlformats.org/officeDocument/2006/relationships" name="Salaries &amp; Wages" sheetId="11" state="visible" r:id="rId11"/>
    <sheet xmlns:r="http://schemas.openxmlformats.org/officeDocument/2006/relationships" name="Departmental Expenses" sheetId="12" state="visible" r:id="rId12"/>
    <sheet xmlns:r="http://schemas.openxmlformats.org/officeDocument/2006/relationships" name="P&amp;L Projections" sheetId="13" state="visible" r:id="rId13"/>
    <sheet xmlns:r="http://schemas.openxmlformats.org/officeDocument/2006/relationships" name="Ratios and Glance" sheetId="14" state="visible" r:id="rId14"/>
    <sheet xmlns:r="http://schemas.openxmlformats.org/officeDocument/2006/relationships" name="Cap Table" sheetId="15" state="visible" r:id="rId15"/>
    <sheet xmlns:r="http://schemas.openxmlformats.org/officeDocument/2006/relationships" name="Users" sheetId="16" state="visible" r:id="rId16"/>
    <sheet xmlns:r="http://schemas.openxmlformats.org/officeDocument/2006/relationships" name="Beta Phase - Cash Need" sheetId="17" state="visible" r:id="rId17"/>
  </sheets>
  <externalReferences>
    <externalReference xmlns:r="http://schemas.openxmlformats.org/officeDocument/2006/relationships" r:id="rId18"/>
  </externalReferences>
  <definedNames>
    <definedName name="Budgeted_year">'[1]Setup Fields'!$B$1</definedName>
    <definedName name="Currency">'[1]Setup Fields'!$H$30</definedName>
    <definedName name="CurrencyChoice">'[1]Setup Fields'!$F$30</definedName>
    <definedName name="data_type">'[1]Setup Fields'!$A$67:$A$71</definedName>
    <definedName name="data_type_Short">'[1]Setup Fields'!$B$67:$B$71</definedName>
    <definedName name="Dept_Table">'[1]Dept Settings'!$A$2:$K$261</definedName>
    <definedName name="FTEHours">'[1]Setup Fields'!$B$10</definedName>
    <definedName name="Hotel_Name">'[1]Setup Fields'!$B$3</definedName>
    <definedName name="InflationRate">'[1]Setup Fields'!$B$11</definedName>
    <definedName name="PSF_FixedCost">'[1]Setup Fields'!$A$162</definedName>
    <definedName name="PSF_PercentageGRR">'[1]Setup Fields'!$A$163</definedName>
    <definedName name="PSF_PerKey">'[1]Setup Fields'!$A$164</definedName>
    <definedName name="WageIncrease">'[1]Setup Fields'!$B$13</definedName>
    <definedName name="_xlnm.Print_Area" localSheetId="0">'Cover'!$A$2:$K$33</definedName>
    <definedName name="_xlnm.Print_Area" localSheetId="1">'Pricing Structure Description'!$C$2:$G$17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hh:mm:ss_)"/>
    <numFmt numFmtId="165" formatCode=";;;"/>
    <numFmt numFmtId="166" formatCode="_(* #,##0.00_);_(* \(#,##0.00\);_(* &quot;-&quot;???_);_(@_)"/>
    <numFmt numFmtId="167" formatCode="0.0%"/>
    <numFmt numFmtId="168" formatCode="_(* #,##0_);_(* \(#,##0\);_(* &quot;-&quot;??_);_(@_)"/>
    <numFmt numFmtId="169" formatCode="_(* #,##0.000_);_(* \(#,##0.000\);_(* &quot;-&quot;???_);_(@_)"/>
    <numFmt numFmtId="170" formatCode="_(&quot;$&quot;* #,##0.00_);_(&quot;$&quot;* \(#,##0.00\);_(&quot;$&quot;* &quot;-&quot;??_);_(@_)"/>
    <numFmt numFmtId="171" formatCode="_(* #,##0_);_(* \(#,##0\);_(* &quot;-&quot;???_);_(@_)"/>
    <numFmt numFmtId="172" formatCode="_(&quot;$&quot;* #,##0_);_(&quot;$&quot;* \(#,##0\);_(&quot;$&quot;* &quot;-&quot;??_);_(@_)"/>
    <numFmt numFmtId="173" formatCode="_(&quot;$&quot;* #,##0_);_(&quot;$&quot;* \(#,##0\);_(&quot;$&quot;* &quot;-&quot;?_);_(@_)"/>
    <numFmt numFmtId="174" formatCode="&quot;$&quot;#,##0.00"/>
    <numFmt numFmtId="175" formatCode="&quot;$&quot;#,##0"/>
    <numFmt numFmtId="176" formatCode="&quot;$&quot;#,##0_);[Red]\(&quot;$&quot;#,##0\)"/>
    <numFmt numFmtId="177" formatCode="0.0"/>
    <numFmt numFmtId="178" formatCode="_([$$-409]* #,##0_);_([$$-409]* \(#,##0\);_([$$-409]* &quot;-&quot;??_);_(@_)"/>
    <numFmt numFmtId="179" formatCode="_([$$-409]* #,##0.00_);_([$$-409]* \(#,##0.00\);_([$$-409]* &quot;-&quot;??_);_(@_)"/>
    <numFmt numFmtId="180" formatCode="$#,##0;($#,##0);-"/>
  </numFmts>
  <fonts count="15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Tahoma"/>
      <family val="2"/>
      <sz val="10"/>
      <u val="double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sz val="16"/>
    </font>
    <font>
      <name val="Tahoma"/>
      <family val="2"/>
      <sz val="14"/>
    </font>
    <font>
      <name val="Tahoma"/>
      <family val="2"/>
      <b val="1"/>
      <sz val="10"/>
    </font>
    <font>
      <name val="Calibri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Tahoma"/>
      <family val="2"/>
      <color indexed="12"/>
      <sz val="10"/>
    </font>
    <font>
      <name val="Calibri"/>
      <family val="2"/>
      <b val="1"/>
      <color theme="3"/>
      <sz val="15"/>
      <scheme val="minor"/>
    </font>
    <font>
      <name val="Calibri"/>
      <family val="2"/>
      <b val="1"/>
      <color rgb="FFFA7D00"/>
      <sz val="12"/>
      <scheme val="minor"/>
    </font>
    <font>
      <name val="Franklin Gothic Book"/>
      <family val="2"/>
      <sz val="10"/>
    </font>
    <font>
      <name val="Franklin Gothic Book"/>
      <family val="2"/>
      <color theme="1"/>
      <sz val="11"/>
    </font>
    <font>
      <name val="Franklin Gothic Book"/>
      <family val="2"/>
      <color indexed="12"/>
      <sz val="10"/>
    </font>
    <font>
      <name val="Franklin Gothic Book"/>
      <family val="2"/>
      <color indexed="8"/>
      <sz val="9"/>
    </font>
    <font>
      <name val="Tahoma"/>
      <family val="2"/>
      <color theme="1"/>
      <sz val="11"/>
    </font>
    <font>
      <name val="Tahoma"/>
      <family val="2"/>
      <i val="1"/>
      <color theme="1"/>
      <sz val="11"/>
    </font>
    <font>
      <name val="GANTIC Regular"/>
      <sz val="48"/>
    </font>
    <font>
      <name val="Galyon Regular"/>
      <b val="1"/>
      <color rgb="FF5B9BD5"/>
      <sz val="16"/>
    </font>
    <font>
      <name val="Galyon Regular"/>
      <color theme="1"/>
      <sz val="16"/>
    </font>
    <font>
      <name val="Galyon Regular"/>
      <b val="1"/>
      <color rgb="FF0070C0"/>
      <sz val="16"/>
    </font>
    <font>
      <name val="Galyon Regular"/>
      <color theme="1"/>
      <sz val="11"/>
    </font>
    <font>
      <name val="Aileron"/>
      <color theme="1"/>
      <sz val="11"/>
    </font>
    <font>
      <name val="Aileron"/>
      <color indexed="8"/>
      <sz val="9"/>
    </font>
    <font>
      <name val="Aileron"/>
      <b val="1"/>
      <color theme="1"/>
      <sz val="14"/>
    </font>
    <font>
      <name val="Aileron"/>
      <color theme="1"/>
      <sz val="14"/>
    </font>
    <font>
      <name val="Aileron"/>
      <color indexed="8"/>
      <sz val="14"/>
    </font>
    <font>
      <name val="Aileron"/>
      <b val="1"/>
      <i val="1"/>
      <color indexed="8"/>
      <sz val="14"/>
    </font>
    <font>
      <name val="Aileron"/>
      <b val="1"/>
      <color theme="3"/>
      <sz val="14"/>
    </font>
    <font>
      <name val="Aileron"/>
      <b val="1"/>
      <color indexed="8"/>
      <sz val="14"/>
    </font>
    <font>
      <name val="Aileron"/>
      <b val="1"/>
      <sz val="14"/>
    </font>
    <font>
      <name val="Aileron"/>
      <sz val="14"/>
    </font>
    <font>
      <name val="Aileron"/>
      <color rgb="FFDB5E71"/>
      <sz val="14"/>
    </font>
    <font>
      <name val="Calibri"/>
      <family val="2"/>
      <color theme="1"/>
      <sz val="11"/>
    </font>
    <font>
      <name val="Aileron"/>
      <b val="1"/>
      <sz val="10"/>
    </font>
    <font>
      <name val="Aileron"/>
      <sz val="10"/>
    </font>
    <font>
      <name val="Aileron"/>
      <b val="1"/>
      <color indexed="10"/>
      <sz val="10"/>
      <u val="single"/>
    </font>
    <font>
      <name val="Aileron"/>
      <b val="1"/>
      <sz val="10"/>
      <u val="single"/>
    </font>
    <font>
      <name val="Aileron"/>
      <color indexed="12"/>
      <sz val="10"/>
    </font>
    <font>
      <name val="Galyon Regular"/>
      <color theme="0"/>
      <sz val="16"/>
    </font>
    <font>
      <name val="Aileron"/>
      <color theme="0" tint="-0.0499893185216834"/>
      <sz val="14"/>
    </font>
    <font>
      <name val="Aileron"/>
      <color theme="1"/>
      <sz val="18"/>
    </font>
    <font>
      <name val="Aileron"/>
      <color rgb="FFB52372"/>
      <sz val="16"/>
    </font>
    <font>
      <name val="Aileron"/>
      <b val="1"/>
      <color theme="1"/>
      <sz val="11"/>
    </font>
    <font>
      <name val="Aileron"/>
      <color theme="1"/>
      <sz val="12"/>
    </font>
    <font>
      <name val="Aileron"/>
      <b val="1"/>
      <sz val="12"/>
    </font>
    <font>
      <name val="Aileron"/>
      <sz val="12"/>
    </font>
    <font>
      <name val="Aileron"/>
      <b val="1"/>
      <color indexed="10"/>
      <sz val="12"/>
      <u val="single"/>
    </font>
    <font>
      <name val="Aileron"/>
      <b val="1"/>
      <color theme="1"/>
      <sz val="12"/>
    </font>
    <font>
      <name val="Aileron"/>
      <b val="1"/>
      <sz val="12"/>
      <u val="single"/>
    </font>
    <font>
      <name val="Aileron"/>
      <color indexed="12"/>
      <sz val="12"/>
    </font>
    <font>
      <name val="Aileron"/>
      <color indexed="10"/>
      <sz val="12"/>
    </font>
    <font>
      <name val="Aileron"/>
      <color rgb="FF000000"/>
      <sz val="12"/>
    </font>
    <font>
      <name val="Aileron"/>
      <sz val="12"/>
      <u val="single"/>
    </font>
    <font>
      <name val="Aileron"/>
      <b val="1"/>
      <color rgb="FFDB5E71"/>
      <sz val="14"/>
    </font>
    <font>
      <name val="Aileron"/>
      <color theme="1"/>
      <sz val="16"/>
    </font>
    <font>
      <name val="Aileron"/>
      <color theme="1"/>
      <sz val="16"/>
      <u val="single"/>
    </font>
    <font>
      <name val="Calibri"/>
      <family val="2"/>
      <color rgb="FF000000"/>
      <sz val="11"/>
      <scheme val="minor"/>
    </font>
    <font>
      <name val="Aileron"/>
      <b val="1"/>
      <color rgb="FF000000"/>
      <sz val="12"/>
      <u val="single"/>
    </font>
    <font>
      <name val="Aileron"/>
      <color rgb="FF008000"/>
      <sz val="12"/>
    </font>
    <font>
      <name val="Aileron"/>
      <color rgb="FF000000"/>
      <sz val="12"/>
      <u val="single"/>
    </font>
    <font>
      <name val="Aileron"/>
      <color rgb="FF000000"/>
      <sz val="11"/>
    </font>
    <font>
      <name val="Galyon Regular"/>
      <sz val="18"/>
    </font>
    <font>
      <name val="Aileron"/>
      <b val="1"/>
      <i val="1"/>
      <color theme="1"/>
      <sz val="11"/>
    </font>
    <font>
      <name val="Aileron"/>
      <i val="1"/>
      <color theme="1"/>
      <sz val="11"/>
    </font>
    <font>
      <name val="Galyon Regular"/>
      <b val="1"/>
      <color theme="1"/>
      <sz val="16"/>
    </font>
    <font>
      <name val="Galyon Regular"/>
      <b val="1"/>
      <color theme="0"/>
      <sz val="16"/>
    </font>
    <font>
      <name val="Aileron"/>
      <color theme="1"/>
      <sz val="8"/>
    </font>
    <font>
      <name val="Aileron"/>
      <color theme="0" tint="-0.1499984740745262"/>
      <sz val="14"/>
    </font>
    <font>
      <name val="Galyon Regular"/>
      <b val="1"/>
      <color theme="1"/>
      <sz val="18"/>
    </font>
    <font>
      <name val="Aileron"/>
      <sz val="11"/>
    </font>
    <font>
      <name val="Aileron"/>
      <b val="1"/>
      <sz val="11"/>
    </font>
    <font>
      <name val="Aileron"/>
      <color theme="1"/>
      <sz val="11"/>
      <u val="single"/>
    </font>
    <font>
      <name val="Aileron"/>
      <color indexed="8"/>
      <sz val="11"/>
    </font>
    <font>
      <name val="Aileron"/>
      <b val="1"/>
      <i val="1"/>
      <color rgb="FFDB5E71"/>
      <sz val="14"/>
    </font>
    <font>
      <name val="Aileron"/>
      <sz val="9"/>
    </font>
    <font>
      <name val="Aileron"/>
      <color theme="0" tint="-0.3499862666707358"/>
      <sz val="14"/>
    </font>
    <font>
      <name val="Aileron"/>
      <b val="1"/>
      <color theme="0" tint="-0.3499862666707358"/>
      <sz val="14"/>
    </font>
    <font>
      <name val="Aileron"/>
      <b val="1"/>
      <sz val="11"/>
      <u val="single"/>
    </font>
    <font>
      <name val="Aileron"/>
      <b val="1"/>
      <color indexed="12"/>
      <sz val="12"/>
    </font>
    <font>
      <name val="Aileron"/>
      <b val="1"/>
      <color rgb="FF000000"/>
      <sz val="11"/>
    </font>
    <font>
      <name val="Aileron"/>
      <sz val="11"/>
      <u val="single"/>
    </font>
    <font>
      <name val="Galyon Regular"/>
      <b val="1"/>
      <color theme="1"/>
      <sz val="12"/>
    </font>
    <font>
      <name val="Galyon Regular"/>
      <color theme="1"/>
      <sz val="12"/>
    </font>
    <font>
      <name val="Galyon Regular"/>
      <b val="1"/>
      <i val="1"/>
      <color rgb="FFF7D0CA"/>
      <sz val="12"/>
    </font>
    <font>
      <name val="Galyon Regular"/>
      <b val="1"/>
      <color theme="1"/>
      <sz val="12"/>
      <u val="single"/>
    </font>
    <font>
      <name val="Galyon Regular"/>
      <b val="1"/>
      <color theme="0"/>
      <sz val="12"/>
      <u val="single"/>
    </font>
    <font>
      <name val="Galyon Regular"/>
      <color theme="1"/>
      <sz val="12"/>
      <u val="single"/>
    </font>
    <font>
      <name val="Galyon Regular"/>
      <color theme="0"/>
      <sz val="12"/>
      <u val="single"/>
    </font>
    <font>
      <name val="Galyon Regular"/>
      <color theme="0"/>
      <sz val="12"/>
    </font>
    <font>
      <name val="Galyon Regular"/>
      <i val="1"/>
      <color theme="1"/>
      <sz val="12"/>
    </font>
    <font>
      <name val="Aileron"/>
      <color rgb="FFDB5E71"/>
      <sz val="12"/>
    </font>
    <font>
      <name val="Aileron"/>
      <color rgb="FFFF9088"/>
      <sz val="16"/>
    </font>
    <font>
      <name val="Aileron"/>
      <b val="1"/>
      <color theme="1"/>
      <sz val="14"/>
      <u val="single"/>
    </font>
    <font>
      <name val="GANTIC Regular"/>
      <color theme="1"/>
      <sz val="48"/>
    </font>
    <font>
      <name val="Aileron"/>
      <b val="1"/>
      <i val="1"/>
      <sz val="9"/>
    </font>
    <font>
      <name val="Aileron"/>
      <i val="1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ileron"/>
      <b val="1"/>
      <i val="1"/>
      <color rgb="FF000000"/>
      <sz val="11"/>
    </font>
    <font>
      <name val="Wingdings"/>
      <charset val="2"/>
      <color theme="1"/>
      <sz val="11"/>
    </font>
    <font>
      <name val="Wingdings"/>
      <charset val="2"/>
      <color theme="1"/>
      <sz val="14"/>
    </font>
    <font>
      <name val="Wingdings"/>
      <charset val="2"/>
      <color rgb="FF000000"/>
      <sz val="11"/>
    </font>
    <font>
      <name val="Calibri"/>
      <family val="2"/>
      <color theme="1"/>
      <sz val="14"/>
      <scheme val="minor"/>
    </font>
    <font>
      <name val="Calibri"/>
      <family val="2"/>
      <i val="1"/>
      <color theme="1"/>
      <sz val="14"/>
      <scheme val="minor"/>
    </font>
    <font>
      <name val="Aileron"/>
      <color theme="1"/>
      <sz val="10"/>
    </font>
    <font>
      <name val="Aileron"/>
      <color theme="10"/>
      <sz val="11"/>
      <u val="single"/>
    </font>
    <font>
      <name val="Aileron"/>
      <b val="1"/>
      <color rgb="FFFA7D00"/>
      <sz val="11"/>
    </font>
    <font>
      <name val="Aileron"/>
      <color theme="9" tint="-0.249977111117893"/>
      <sz val="16"/>
    </font>
    <font>
      <name val="Aileron"/>
      <i val="1"/>
      <color theme="1"/>
      <sz val="16"/>
    </font>
    <font>
      <name val="Aileron"/>
      <b val="1"/>
      <i val="1"/>
      <color theme="1"/>
      <sz val="16"/>
    </font>
    <font>
      <name val="Aileron"/>
      <color rgb="FF0070C0"/>
      <sz val="16"/>
    </font>
    <font>
      <name val="Aileron"/>
      <color rgb="FF1E2021"/>
      <sz val="16"/>
    </font>
    <font>
      <name val="Galyon Regular"/>
      <color theme="0"/>
      <sz val="11"/>
    </font>
    <font>
      <name val="Aileron"/>
      <b val="1"/>
      <i val="1"/>
      <sz val="12"/>
    </font>
    <font>
      <name val="Aileron"/>
      <b val="1"/>
      <i val="1"/>
      <sz val="14"/>
    </font>
    <font>
      <name val="Aileron"/>
      <i val="1"/>
      <sz val="12"/>
    </font>
    <font>
      <name val="Aileron"/>
      <i val="1"/>
      <color indexed="12"/>
      <sz val="12"/>
    </font>
    <font>
      <name val="Aileron"/>
      <i val="1"/>
      <color theme="1"/>
      <sz val="12"/>
    </font>
    <font>
      <name val="Aileron"/>
      <color theme="1"/>
      <sz val="22"/>
    </font>
    <font>
      <name val="Aileron"/>
      <color theme="1"/>
      <sz val="26"/>
    </font>
    <font>
      <name val="Aileron"/>
      <i val="1"/>
      <color rgb="FFDB5E71"/>
      <sz val="14"/>
    </font>
    <font>
      <name val="Aileron"/>
      <color rgb="FFDB5E71"/>
      <sz val="14"/>
      <u val="singleAccounting"/>
    </font>
    <font>
      <name val="Aileron"/>
      <b val="1"/>
      <color theme="1"/>
      <sz val="20"/>
    </font>
    <font>
      <name val="Aileron"/>
      <b val="1"/>
      <color theme="1"/>
      <sz val="12"/>
      <u val="single"/>
    </font>
    <font>
      <name val="Wingdings"/>
      <charset val="2"/>
      <sz val="12"/>
    </font>
    <font>
      <name val="Wingdings"/>
      <charset val="2"/>
      <color theme="1"/>
      <sz val="16"/>
    </font>
    <font>
      <name val="Calibri"/>
      <family val="2"/>
      <color indexed="8"/>
      <sz val="12"/>
      <scheme val="minor"/>
    </font>
    <font>
      <name val="Wingdings"/>
      <charset val="2"/>
      <color rgb="FF000000"/>
      <sz val="14"/>
    </font>
    <font>
      <name val="Aileron"/>
      <b val="1"/>
      <color rgb="FF000000"/>
      <sz val="12"/>
    </font>
    <font>
      <name val="Aileron"/>
      <color theme="0"/>
      <sz val="10"/>
    </font>
    <font>
      <name val="Aileron"/>
      <color rgb="FFDB5E71"/>
      <sz val="10"/>
    </font>
    <font>
      <name val="Aileron"/>
      <color theme="1"/>
      <sz val="6"/>
    </font>
    <font>
      <name val="Calibri"/>
      <family val="2"/>
      <color theme="1"/>
      <sz val="16"/>
      <scheme val="minor"/>
    </font>
    <font>
      <b val="1"/>
      <sz val="14"/>
    </font>
    <font>
      <i val="1"/>
      <color rgb="00666666"/>
      <sz val="9"/>
    </font>
    <font>
      <b val="1"/>
      <color rgb="001F1F1F"/>
      <sz val="12"/>
    </font>
    <font>
      <b val="1"/>
      <color rgb="000000FF"/>
    </font>
    <font>
      <color rgb="000000FF"/>
    </font>
    <font>
      <b val="1"/>
    </font>
    <font>
      <b val="1"/>
      <i val="1"/>
      <sz val="10"/>
    </font>
    <font>
      <color rgb="00666666"/>
      <sz val="10"/>
    </font>
    <font>
      <b val="1"/>
      <color rgb="001F1F1F"/>
      <sz val="10"/>
    </font>
    <font>
      <sz val="10"/>
    </font>
    <font>
      <b val="1"/>
      <sz val="12"/>
    </font>
    <font>
      <name val="Aileron"/>
      <b val="1"/>
      <sz val="16"/>
    </font>
    <font>
      <name val="Aileron"/>
      <color rgb="00595959"/>
      <sz val="10"/>
    </font>
    <font>
      <name val="Aileron"/>
      <b val="1"/>
      <color rgb="00FFFFFF"/>
      <sz val="10"/>
    </font>
    <font>
      <name val="Aileron"/>
      <color rgb="00595959"/>
      <sz val="9"/>
    </font>
    <font>
      <name val="Aileron"/>
      <i val="1"/>
      <color rgb="00595959"/>
      <sz val="9"/>
    </font>
    <font>
      <name val="Aileron"/>
      <b val="1"/>
      <color rgb="00FFFFFF"/>
      <sz val="9"/>
    </font>
  </fonts>
  <fills count="21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B5E7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7D0CA"/>
        <bgColor indexed="64"/>
      </patternFill>
    </fill>
    <fill>
      <patternFill patternType="solid">
        <fgColor rgb="FFD8D2D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08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00FFFF00"/>
        <bgColor rgb="00FFFF00"/>
      </patternFill>
    </fill>
    <fill>
      <patternFill patternType="solid">
        <fgColor rgb="00E7E1E6"/>
        <bgColor rgb="00E7E1E6"/>
      </patternFill>
    </fill>
    <fill>
      <patternFill patternType="solid">
        <fgColor rgb="FFDB5E71"/>
        <bgColor rgb="FFDB5E71"/>
      </patternFill>
    </fill>
  </fills>
  <borders count="3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Dashed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 style="mediumDashed">
        <color theme="0"/>
      </left>
      <right/>
      <top/>
      <bottom style="thin">
        <color indexed="64"/>
      </bottom>
      <diagonal/>
    </border>
    <border>
      <left style="mediumDashed">
        <color theme="0"/>
      </left>
      <right/>
      <top/>
      <bottom/>
      <diagonal/>
    </border>
    <border>
      <left style="mediumDashed">
        <color theme="0"/>
      </left>
      <right/>
      <top style="thin">
        <color indexed="64"/>
      </top>
      <bottom style="thin">
        <color indexed="64"/>
      </bottom>
      <diagonal/>
    </border>
    <border>
      <left style="mediumDashed">
        <color theme="0"/>
      </left>
      <right/>
      <top style="thin">
        <color indexed="64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rgb="FFD52372"/>
      </left>
      <right style="thin">
        <color indexed="64"/>
      </right>
      <top style="medium">
        <color rgb="FFD52372"/>
      </top>
      <bottom/>
      <diagonal/>
    </border>
    <border>
      <left style="thin">
        <color indexed="64"/>
      </left>
      <right style="thin">
        <color indexed="64"/>
      </right>
      <top style="medium">
        <color rgb="FFD52372"/>
      </top>
      <bottom/>
      <diagonal/>
    </border>
    <border>
      <left style="medium">
        <color rgb="FFD52372"/>
      </left>
      <right style="mediumDashDot">
        <color rgb="FFD52372"/>
      </right>
      <top/>
      <bottom style="mediumDashDot">
        <color rgb="FFD52372"/>
      </bottom>
      <diagonal/>
    </border>
    <border>
      <left style="mediumDashDot">
        <color rgb="FFD52372"/>
      </left>
      <right style="thin">
        <color rgb="FFD52372"/>
      </right>
      <top/>
      <bottom style="mediumDashDot">
        <color rgb="FFD52372"/>
      </bottom>
      <diagonal/>
    </border>
    <border>
      <left style="thin">
        <color indexed="64"/>
      </left>
      <right/>
      <top style="medium">
        <color rgb="FFD52372"/>
      </top>
      <bottom/>
      <diagonal/>
    </border>
    <border>
      <left style="medium">
        <color rgb="FFD52372"/>
      </left>
      <right style="thin">
        <color indexed="64"/>
      </right>
      <top style="medium">
        <color rgb="FFD52372"/>
      </top>
      <bottom style="thick">
        <color theme="3"/>
      </bottom>
      <diagonal/>
    </border>
    <border>
      <left style="thin">
        <color indexed="64"/>
      </left>
      <right style="thin">
        <color indexed="64"/>
      </right>
      <top style="medium">
        <color rgb="FFD52372"/>
      </top>
      <bottom style="thick">
        <color theme="3"/>
      </bottom>
      <diagonal/>
    </border>
    <border>
      <left style="thin">
        <color indexed="64"/>
      </left>
      <right style="medium">
        <color rgb="FFD52372"/>
      </right>
      <top style="medium">
        <color rgb="FFD52372"/>
      </top>
      <bottom style="thick">
        <color theme="3"/>
      </bottom>
      <diagonal/>
    </border>
    <border>
      <left style="medium">
        <color rgb="FFD52372"/>
      </left>
      <right style="thin">
        <color indexed="64"/>
      </right>
      <top style="mediumDashDot">
        <color rgb="FFD52372"/>
      </top>
      <bottom style="mediumDashDot">
        <color rgb="FFD52372"/>
      </bottom>
      <diagonal/>
    </border>
    <border>
      <left style="thin">
        <color indexed="64"/>
      </left>
      <right style="thin">
        <color indexed="64"/>
      </right>
      <top style="mediumDashDot">
        <color rgb="FFD52372"/>
      </top>
      <bottom style="mediumDashDot">
        <color rgb="FFD52372"/>
      </bottom>
      <diagonal/>
    </border>
    <border>
      <left style="thin">
        <color indexed="64"/>
      </left>
      <right style="medium">
        <color rgb="FFD52372"/>
      </right>
      <top style="mediumDashDot">
        <color rgb="FFD52372"/>
      </top>
      <bottom style="mediumDashDot">
        <color rgb="FFD52372"/>
      </bottom>
      <diagonal/>
    </border>
    <border>
      <left style="medium">
        <color rgb="FFD52372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D52372"/>
      </right>
      <top/>
      <bottom style="thin">
        <color indexed="64"/>
      </bottom>
      <diagonal/>
    </border>
    <border>
      <left style="medium">
        <color rgb="FFD5237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D52372"/>
      </right>
      <top style="thin">
        <color indexed="64"/>
      </top>
      <bottom style="thin">
        <color indexed="64"/>
      </bottom>
      <diagonal/>
    </border>
    <border>
      <left style="medium">
        <color rgb="FFD5237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2"/>
      </top>
      <bottom/>
      <diagonal/>
    </border>
    <border>
      <left style="mediumDashed">
        <color theme="0"/>
      </left>
      <right/>
      <top/>
      <bottom style="thin">
        <color theme="0" tint="-0.1499984740745262"/>
      </bottom>
      <diagonal/>
    </border>
    <border>
      <left style="thin">
        <color theme="0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DashDot">
        <color rgb="FFD52372"/>
      </right>
      <top/>
      <bottom style="mediumDashDot">
        <color rgb="FFD5237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DB5E71"/>
      </top>
      <bottom/>
      <diagonal/>
    </border>
    <border>
      <left style="thin">
        <color rgb="FFDB5E71"/>
      </left>
      <right/>
      <top/>
      <bottom/>
      <diagonal/>
    </border>
    <border>
      <left style="thin">
        <color rgb="FFDB5E71"/>
      </left>
      <right style="medium">
        <color indexed="64"/>
      </right>
      <top style="thin">
        <color rgb="FFDB5E7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D52372"/>
      </right>
      <top/>
      <bottom/>
      <diagonal/>
    </border>
    <border>
      <left style="thin">
        <color rgb="FFB52372"/>
      </left>
      <right style="thin">
        <color rgb="FFB52372"/>
      </right>
      <top style="thin">
        <color rgb="FFB52372"/>
      </top>
      <bottom/>
      <diagonal/>
    </border>
    <border>
      <left style="thin">
        <color rgb="FFB52372"/>
      </left>
      <right style="thin">
        <color rgb="FFB52372"/>
      </right>
      <top/>
      <bottom/>
      <diagonal/>
    </border>
    <border>
      <left style="thin">
        <color rgb="FFB52372"/>
      </left>
      <right style="thin">
        <color rgb="FFB52372"/>
      </right>
      <top/>
      <bottom style="thin">
        <color rgb="FFB52372"/>
      </bottom>
      <diagonal/>
    </border>
    <border>
      <left style="thin">
        <color indexed="64"/>
      </left>
      <right style="medium">
        <color rgb="FFB52372"/>
      </right>
      <top/>
      <bottom style="thin">
        <color indexed="64"/>
      </bottom>
      <diagonal/>
    </border>
    <border>
      <left style="thin">
        <color indexed="64"/>
      </left>
      <right style="medium">
        <color rgb="FFB5237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52372"/>
      </bottom>
      <diagonal/>
    </border>
    <border>
      <left style="thin">
        <color indexed="64"/>
      </left>
      <right style="medium">
        <color rgb="FFB52372"/>
      </right>
      <top style="thin">
        <color indexed="64"/>
      </top>
      <bottom style="medium">
        <color rgb="FFB52372"/>
      </bottom>
      <diagonal/>
    </border>
    <border>
      <left style="medium">
        <color rgb="FFB52372"/>
      </left>
      <right/>
      <top/>
      <bottom/>
      <diagonal/>
    </border>
    <border>
      <left style="thin">
        <color indexed="64"/>
      </left>
      <right style="medium">
        <color rgb="FFB52372"/>
      </right>
      <top/>
      <bottom/>
      <diagonal/>
    </border>
    <border>
      <left style="medium">
        <color rgb="FFB52372"/>
      </left>
      <right/>
      <top style="medium">
        <color rgb="FFB52372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rgb="FFDB5E71"/>
      </top>
      <bottom/>
      <diagonal/>
    </border>
    <border>
      <left/>
      <right/>
      <top style="double">
        <color rgb="FFDB5E71"/>
      </top>
      <bottom style="dashDot">
        <color rgb="FFDB5E71"/>
      </bottom>
      <diagonal/>
    </border>
    <border>
      <left/>
      <right style="double">
        <color rgb="FFDB5E71"/>
      </right>
      <top style="double">
        <color rgb="FFDB5E71"/>
      </top>
      <bottom style="dashDot">
        <color rgb="FFDB5E71"/>
      </bottom>
      <diagonal/>
    </border>
    <border>
      <left style="double">
        <color rgb="FFDB5E71"/>
      </left>
      <right/>
      <top style="dashDot">
        <color rgb="FFDB5E71"/>
      </top>
      <bottom/>
      <diagonal/>
    </border>
    <border>
      <left/>
      <right style="double">
        <color rgb="FFDB5E71"/>
      </right>
      <top style="dashDot">
        <color rgb="FFDB5E71"/>
      </top>
      <bottom/>
      <diagonal/>
    </border>
    <border>
      <left style="double">
        <color rgb="FFDB5E71"/>
      </left>
      <right/>
      <top/>
      <bottom/>
      <diagonal/>
    </border>
    <border>
      <left/>
      <right style="double">
        <color rgb="FFDB5E71"/>
      </right>
      <top/>
      <bottom/>
      <diagonal/>
    </border>
    <border>
      <left style="double">
        <color rgb="FFDB5E71"/>
      </left>
      <right/>
      <top/>
      <bottom style="double">
        <color rgb="FFDB5E71"/>
      </bottom>
      <diagonal/>
    </border>
    <border>
      <left/>
      <right/>
      <top/>
      <bottom style="double">
        <color rgb="FFDB5E71"/>
      </bottom>
      <diagonal/>
    </border>
    <border>
      <left/>
      <right style="double">
        <color rgb="FFDB5E71"/>
      </right>
      <top/>
      <bottom style="double">
        <color rgb="FFDB5E71"/>
      </bottom>
      <diagonal/>
    </border>
    <border>
      <left style="double">
        <color rgb="FFDB5E71"/>
      </left>
      <right/>
      <top style="double">
        <color rgb="FFDB5E71"/>
      </top>
      <bottom style="dashDot">
        <color rgb="FFDB5E71"/>
      </bottom>
      <diagonal/>
    </border>
    <border>
      <left style="medium">
        <color rgb="FFB52372"/>
      </left>
      <right/>
      <top/>
      <bottom style="medium">
        <color rgb="FFB5237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B52372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DB5E71"/>
      </left>
      <right/>
      <top style="thin">
        <color rgb="FFDB5E71"/>
      </top>
      <bottom/>
      <diagonal/>
    </border>
    <border>
      <left style="medium">
        <color rgb="FFDB5E71"/>
      </left>
      <right/>
      <top style="medium">
        <color rgb="FFDB5E71"/>
      </top>
      <bottom/>
      <diagonal/>
    </border>
    <border>
      <left style="medium">
        <color rgb="FFDB5E71"/>
      </left>
      <right/>
      <top/>
      <bottom/>
      <diagonal/>
    </border>
    <border>
      <left style="medium">
        <color rgb="FFDB5E71"/>
      </left>
      <right/>
      <top/>
      <bottom style="medium">
        <color rgb="FFDB5E71"/>
      </bottom>
      <diagonal/>
    </border>
    <border>
      <left/>
      <right style="thin">
        <color rgb="FFDB5E71"/>
      </right>
      <top/>
      <bottom/>
      <diagonal/>
    </border>
    <border>
      <left/>
      <right/>
      <top style="medium">
        <color rgb="FFDB5E71"/>
      </top>
      <bottom style="medium">
        <color rgb="FFDB5E71"/>
      </bottom>
      <diagonal/>
    </border>
    <border>
      <left/>
      <right style="medium">
        <color rgb="FFDB5E71"/>
      </right>
      <top style="medium">
        <color rgb="FFDB5E71"/>
      </top>
      <bottom style="medium">
        <color rgb="FFDB5E71"/>
      </bottom>
      <diagonal/>
    </border>
    <border>
      <left/>
      <right/>
      <top style="medium">
        <color rgb="FFDB5E71"/>
      </top>
      <bottom/>
      <diagonal/>
    </border>
    <border>
      <left/>
      <right style="medium">
        <color rgb="FFDB5E71"/>
      </right>
      <top style="medium">
        <color rgb="FFDB5E71"/>
      </top>
      <bottom/>
      <diagonal/>
    </border>
    <border>
      <left style="mediumDashed">
        <color rgb="FFFFFFFF"/>
      </left>
      <right/>
      <top/>
      <bottom/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D9D9D9"/>
      </right>
      <top/>
      <bottom style="thin">
        <color rgb="FFE7E6E6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52372"/>
      </left>
      <right/>
      <top/>
      <bottom/>
      <diagonal/>
    </border>
    <border>
      <left style="mediumDashDot">
        <color rgb="FFD52372"/>
      </left>
      <right/>
      <top/>
      <bottom style="mediumDashDot">
        <color rgb="FFD52372"/>
      </bottom>
      <diagonal/>
    </border>
    <border>
      <left/>
      <right/>
      <top style="mediumDashDotDot">
        <color rgb="FFDB5E71"/>
      </top>
      <bottom style="mediumDashDotDot">
        <color rgb="FFDB5E71"/>
      </bottom>
      <diagonal/>
    </border>
    <border>
      <left/>
      <right style="mediumDashDotDot">
        <color rgb="FFDB5E71"/>
      </right>
      <top style="mediumDashDotDot">
        <color rgb="FFDB5E71"/>
      </top>
      <bottom style="mediumDashDotDot">
        <color rgb="FFDB5E71"/>
      </bottom>
      <diagonal/>
    </border>
    <border>
      <left style="medium">
        <color rgb="FFDB5E7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DB5E71"/>
      </right>
      <top/>
      <bottom/>
      <diagonal/>
    </border>
    <border>
      <left style="medium">
        <color rgb="FFDB5E71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DB5E71"/>
      </right>
      <top/>
      <bottom style="thin">
        <color indexed="64"/>
      </bottom>
      <diagonal/>
    </border>
    <border>
      <left style="medium">
        <color rgb="FFDB5E7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DB5E71"/>
      </right>
      <top style="thin">
        <color indexed="64"/>
      </top>
      <bottom style="thin">
        <color indexed="64"/>
      </bottom>
      <diagonal/>
    </border>
    <border>
      <left style="medium">
        <color rgb="FFDB5E71"/>
      </left>
      <right style="thin">
        <color indexed="64"/>
      </right>
      <top style="thin">
        <color indexed="64"/>
      </top>
      <bottom style="medium">
        <color rgb="FFDB5E7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B5E71"/>
      </bottom>
      <diagonal/>
    </border>
    <border>
      <left style="medium">
        <color rgb="FFD52372"/>
      </left>
      <right style="thin">
        <color indexed="64"/>
      </right>
      <top style="thin">
        <color indexed="64"/>
      </top>
      <bottom style="medium">
        <color rgb="FFDB5E71"/>
      </bottom>
      <diagonal/>
    </border>
    <border>
      <left style="thin">
        <color indexed="64"/>
      </left>
      <right style="medium">
        <color rgb="FFDB5E71"/>
      </right>
      <top style="thin">
        <color indexed="64"/>
      </top>
      <bottom style="medium">
        <color rgb="FFDB5E71"/>
      </bottom>
      <diagonal/>
    </border>
    <border>
      <left style="medium">
        <color rgb="FFDB5E71"/>
      </left>
      <right/>
      <top style="thin">
        <color indexed="64"/>
      </top>
      <bottom style="thin">
        <color rgb="FFDB5E7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DB5E71"/>
      </bottom>
      <diagonal/>
    </border>
    <border>
      <left style="medium">
        <color rgb="FFDB5E7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DB5E71"/>
      </bottom>
      <diagonal/>
    </border>
    <border>
      <left/>
      <right style="medium">
        <color rgb="FFD52372"/>
      </right>
      <top/>
      <bottom/>
      <diagonal/>
    </border>
    <border>
      <left style="medium">
        <color rgb="FFDB5E71"/>
      </left>
      <right style="thin">
        <color indexed="64"/>
      </right>
      <top style="mediumDashDot">
        <color rgb="FFD52372"/>
      </top>
      <bottom style="mediumDashDot">
        <color rgb="FFD52372"/>
      </bottom>
      <diagonal/>
    </border>
    <border>
      <left style="thin">
        <color indexed="64"/>
      </left>
      <right style="medium">
        <color rgb="FFDB5E71"/>
      </right>
      <top style="mediumDashDot">
        <color rgb="FFD52372"/>
      </top>
      <bottom style="mediumDashDot">
        <color rgb="FFD52372"/>
      </bottom>
      <diagonal/>
    </border>
    <border>
      <left style="medium">
        <color rgb="FFDB5E71"/>
      </left>
      <right style="thin">
        <color indexed="64"/>
      </right>
      <top style="medium">
        <color rgb="FFDB5E71"/>
      </top>
      <bottom style="mediumDashDot">
        <color rgb="FFD52372"/>
      </bottom>
      <diagonal/>
    </border>
    <border>
      <left style="thin">
        <color indexed="64"/>
      </left>
      <right style="thin">
        <color indexed="64"/>
      </right>
      <top style="medium">
        <color rgb="FFDB5E71"/>
      </top>
      <bottom style="mediumDashDot">
        <color rgb="FFD52372"/>
      </bottom>
      <diagonal/>
    </border>
    <border>
      <left style="thin">
        <color indexed="64"/>
      </left>
      <right style="medium">
        <color rgb="FFDB5E71"/>
      </right>
      <top style="medium">
        <color rgb="FFDB5E71"/>
      </top>
      <bottom style="mediumDashDot">
        <color rgb="FFD52372"/>
      </bottom>
      <diagonal/>
    </border>
    <border>
      <left/>
      <right style="medium">
        <color rgb="FFDB5E71"/>
      </right>
      <top/>
      <bottom/>
      <diagonal/>
    </border>
    <border>
      <left style="thin">
        <color rgb="FFB52372"/>
      </left>
      <right/>
      <top style="thin">
        <color rgb="FFB52372"/>
      </top>
      <bottom/>
      <diagonal/>
    </border>
    <border>
      <left style="thin">
        <color rgb="FFB52372"/>
      </left>
      <right/>
      <top/>
      <bottom style="thin">
        <color rgb="FFB52372"/>
      </bottom>
      <diagonal/>
    </border>
    <border>
      <left style="medium">
        <color rgb="FFDB5E71"/>
      </left>
      <right style="mediumDashDot">
        <color rgb="FFD52372"/>
      </right>
      <top/>
      <bottom style="mediumDashDot">
        <color rgb="FFD52372"/>
      </bottom>
      <diagonal/>
    </border>
    <border>
      <left style="medium">
        <color rgb="FFDB5E7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B5E71"/>
      </bottom>
      <diagonal/>
    </border>
    <border>
      <left/>
      <right style="medium">
        <color rgb="FFDB5E71"/>
      </right>
      <top/>
      <bottom style="medium">
        <color rgb="FFDB5E71"/>
      </bottom>
      <diagonal/>
    </border>
    <border>
      <left style="thin">
        <color indexed="64"/>
      </left>
      <right/>
      <top style="thin">
        <color indexed="64"/>
      </top>
      <bottom style="medium">
        <color rgb="FFDB5E71"/>
      </bottom>
      <diagonal/>
    </border>
    <border>
      <left style="medium">
        <color rgb="FFD52372"/>
      </left>
      <right/>
      <top style="mediumDashDotDot">
        <color rgb="FFDB5E71"/>
      </top>
      <bottom/>
      <diagonal/>
    </border>
    <border>
      <left/>
      <right/>
      <top style="mediumDashDotDot">
        <color rgb="FFDB5E71"/>
      </top>
      <bottom/>
      <diagonal/>
    </border>
    <border>
      <left/>
      <right style="medium">
        <color rgb="FFD52372"/>
      </right>
      <top style="mediumDashDotDot">
        <color rgb="FFDB5E71"/>
      </top>
      <bottom/>
      <diagonal/>
    </border>
    <border>
      <left style="medium">
        <color rgb="FFD52372"/>
      </left>
      <right/>
      <top/>
      <bottom/>
      <diagonal/>
    </border>
    <border>
      <left/>
      <right style="medium">
        <color rgb="FFB52372"/>
      </right>
      <top/>
      <bottom/>
      <diagonal/>
    </border>
    <border>
      <left style="thin">
        <color rgb="FFDB5E71"/>
      </left>
      <right style="medium">
        <color indexed="64"/>
      </right>
      <top style="thin">
        <color rgb="FFDB5E71"/>
      </top>
      <bottom/>
      <diagonal/>
    </border>
    <border>
      <left/>
      <right/>
      <top style="thin">
        <color rgb="FFDB5E71"/>
      </top>
      <bottom style="thin">
        <color rgb="FFDB5E71"/>
      </bottom>
      <diagonal/>
    </border>
    <border>
      <left style="medium">
        <color rgb="FFDB5E71"/>
      </left>
      <right style="thin">
        <color rgb="FFDB5E71"/>
      </right>
      <top style="medium">
        <color rgb="FFDB5E71"/>
      </top>
      <bottom/>
      <diagonal/>
    </border>
    <border>
      <left style="medium">
        <color rgb="FFDB5E71"/>
      </left>
      <right style="thin">
        <color rgb="FFDB5E71"/>
      </right>
      <top/>
      <bottom/>
      <diagonal/>
    </border>
    <border>
      <left style="medium">
        <color rgb="FFDB5E71"/>
      </left>
      <right style="thin">
        <color rgb="FFDB5E71"/>
      </right>
      <top/>
      <bottom style="medium">
        <color rgb="FFDB5E71"/>
      </bottom>
      <diagonal/>
    </border>
    <border>
      <left style="medium">
        <color rgb="FFD52372"/>
      </left>
      <right style="thin">
        <color indexed="64"/>
      </right>
      <top style="thin">
        <color indexed="64"/>
      </top>
      <bottom style="thin">
        <color rgb="FFDB5E71"/>
      </bottom>
      <diagonal/>
    </border>
    <border>
      <left style="medium">
        <color rgb="FFD52372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B5E71"/>
      </top>
      <bottom style="thin">
        <color rgb="FFDB5E71"/>
      </bottom>
      <diagonal/>
    </border>
    <border>
      <left/>
      <right style="medium">
        <color rgb="FFDB5E71"/>
      </right>
      <top style="medium">
        <color rgb="FFDB5E71"/>
      </top>
      <bottom style="thin">
        <color rgb="FFDB5E71"/>
      </bottom>
      <diagonal/>
    </border>
    <border>
      <left style="thin">
        <color indexed="64"/>
      </left>
      <right style="medium">
        <color rgb="FFDB5E71"/>
      </right>
      <top style="thin">
        <color rgb="FFDB5E71"/>
      </top>
      <bottom/>
      <diagonal/>
    </border>
    <border>
      <left style="thin">
        <color rgb="FFDB5E71"/>
      </left>
      <right style="thin">
        <color indexed="64"/>
      </right>
      <top style="thin">
        <color indexed="64"/>
      </top>
      <bottom style="medium">
        <color rgb="FFDB5E71"/>
      </bottom>
      <diagonal/>
    </border>
    <border>
      <left style="medium">
        <color rgb="FFDB5E71"/>
      </left>
      <right style="medium">
        <color rgb="FFDB5E71"/>
      </right>
      <top style="medium">
        <color rgb="FFDB5E71"/>
      </top>
      <bottom/>
      <diagonal/>
    </border>
    <border>
      <left style="medium">
        <color rgb="FFDB5E71"/>
      </left>
      <right style="medium">
        <color rgb="FFDB5E71"/>
      </right>
      <top/>
      <bottom/>
      <diagonal/>
    </border>
    <border>
      <left style="medium">
        <color rgb="FFDB5E71"/>
      </left>
      <right style="medium">
        <color rgb="FFDB5E71"/>
      </right>
      <top/>
      <bottom style="medium">
        <color rgb="FFDB5E71"/>
      </bottom>
      <diagonal/>
    </border>
    <border>
      <left style="medium">
        <color rgb="FFDB5E71"/>
      </left>
      <right style="thin">
        <color indexed="64"/>
      </right>
      <top style="thin">
        <color rgb="FFDB5E7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DB5E71"/>
      </top>
      <bottom style="thin">
        <color indexed="64"/>
      </bottom>
      <diagonal/>
    </border>
    <border>
      <left style="thin">
        <color indexed="64"/>
      </left>
      <right style="medium">
        <color rgb="FFD52372"/>
      </right>
      <top style="thin">
        <color rgb="FFDB5E71"/>
      </top>
      <bottom style="thin">
        <color indexed="64"/>
      </bottom>
      <diagonal/>
    </border>
    <border>
      <left style="mediumDashed">
        <color theme="0"/>
      </left>
      <right/>
      <top style="thin">
        <color rgb="FFDB5E71"/>
      </top>
      <bottom style="thin">
        <color rgb="FFDB5E71"/>
      </bottom>
      <diagonal/>
    </border>
    <border>
      <left style="medium">
        <color rgb="FFDB5E71"/>
      </left>
      <right style="medium">
        <color rgb="FFDB5E7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Dashed">
        <color rgb="FFDB5E71"/>
      </left>
      <right style="thin">
        <color indexed="64"/>
      </right>
      <top style="mediumDashed">
        <color rgb="FFDB5E71"/>
      </top>
      <bottom style="mediumDashed">
        <color rgb="FFDB5E71"/>
      </bottom>
      <diagonal/>
    </border>
    <border>
      <left style="thin">
        <color indexed="64"/>
      </left>
      <right style="thin">
        <color indexed="64"/>
      </right>
      <top style="mediumDashed">
        <color rgb="FFDB5E71"/>
      </top>
      <bottom style="mediumDashed">
        <color rgb="FFDB5E71"/>
      </bottom>
      <diagonal/>
    </border>
    <border>
      <left style="thin">
        <color indexed="64"/>
      </left>
      <right style="mediumDashed">
        <color rgb="FFDB5E71"/>
      </right>
      <top style="mediumDashed">
        <color rgb="FFDB5E71"/>
      </top>
      <bottom style="mediumDashed">
        <color rgb="FFDB5E71"/>
      </bottom>
      <diagonal/>
    </border>
    <border>
      <left style="medium">
        <color rgb="FFD52372"/>
      </left>
      <right style="thin">
        <color indexed="64"/>
      </right>
      <top/>
      <bottom style="medium">
        <color rgb="FFDB5E71"/>
      </bottom>
      <diagonal/>
    </border>
    <border>
      <left style="thin">
        <color rgb="FFE7E6E6"/>
      </left>
      <right/>
      <top style="thin">
        <color rgb="FFE7E6E6"/>
      </top>
      <bottom style="thin">
        <color rgb="FFD9D9D9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 style="medium">
        <color rgb="FFDB5E71"/>
      </left>
      <right style="medium">
        <color rgb="FFE7E6E6"/>
      </right>
      <top/>
      <bottom/>
      <diagonal/>
    </border>
    <border>
      <left/>
      <right/>
      <top style="thin">
        <color rgb="FFDB5E71"/>
      </top>
      <bottom style="medium">
        <color rgb="FFDB5E71"/>
      </bottom>
      <diagonal/>
    </border>
    <border>
      <left style="medium">
        <color rgb="FFDB5E71"/>
      </left>
      <right/>
      <top style="thin">
        <color rgb="FFDB5E71"/>
      </top>
      <bottom style="medium">
        <color rgb="FFDB5E71"/>
      </bottom>
      <diagonal/>
    </border>
    <border>
      <left style="medium">
        <color rgb="FFDB5E71"/>
      </left>
      <right/>
      <top style="thin">
        <color rgb="FFDB5E71"/>
      </top>
      <bottom style="thin">
        <color rgb="FFDB5E71"/>
      </bottom>
      <diagonal/>
    </border>
    <border>
      <left style="medium">
        <color rgb="FFDB5E71"/>
      </left>
      <right style="medium">
        <color rgb="FFDB5E71"/>
      </right>
      <top style="thin">
        <color rgb="FFDB5E71"/>
      </top>
      <bottom style="thin">
        <color rgb="FFDB5E71"/>
      </bottom>
      <diagonal/>
    </border>
    <border>
      <left style="medium">
        <color rgb="FFDB5E71"/>
      </left>
      <right style="medium">
        <color rgb="FFDB5E71"/>
      </right>
      <top/>
      <bottom style="mediumDashed">
        <color theme="0"/>
      </bottom>
      <diagonal/>
    </border>
    <border>
      <left style="medium">
        <color rgb="FFDB5E71"/>
      </left>
      <right style="medium">
        <color rgb="FFDB5E71"/>
      </right>
      <top style="thin">
        <color rgb="FFB52372"/>
      </top>
      <bottom style="thin">
        <color rgb="FFB52372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rgb="FFDB5E71"/>
      </top>
      <bottom/>
      <diagonal/>
    </border>
    <border>
      <left style="thin">
        <color indexed="64"/>
      </left>
      <right style="thin">
        <color indexed="64"/>
      </right>
      <top style="medium">
        <color rgb="FFDB5E71"/>
      </top>
      <bottom/>
      <diagonal/>
    </border>
    <border>
      <left style="thin">
        <color indexed="64"/>
      </left>
      <right style="medium">
        <color rgb="FFDB5E71"/>
      </right>
      <top style="medium">
        <color rgb="FFDB5E71"/>
      </top>
      <bottom/>
      <diagonal/>
    </border>
    <border>
      <left style="medium">
        <color rgb="FFDB5E71"/>
      </left>
      <right/>
      <top style="medium">
        <color rgb="FFDB5E71"/>
      </top>
      <bottom style="medium">
        <color rgb="FFDB5E71"/>
      </bottom>
      <diagonal/>
    </border>
    <border>
      <left style="thin">
        <color indexed="64"/>
      </left>
      <right style="medium">
        <color rgb="FFDB5E7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rgb="FFDB5E7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rgb="FFD52372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rgb="FFDB5E7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rgb="FFDB5E7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rgb="FFB5237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rgb="FFDB5E71"/>
      </top>
      <bottom style="thin">
        <color indexed="64"/>
      </bottom>
      <diagonal/>
    </border>
    <border>
      <left/>
      <right style="thin">
        <color indexed="64"/>
      </right>
      <top style="thin">
        <color rgb="FFDB5E7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rgb="FFDB5E7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DB5E71"/>
      </bottom>
      <diagonal/>
    </border>
    <border>
      <left style="double">
        <color rgb="FFDB5E7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Dashed">
        <color rgb="FFDB5E71"/>
      </left>
      <right style="mediumDashed">
        <color rgb="FFDB5E71"/>
      </right>
      <top style="mediumDashed">
        <color rgb="FFDB5E71"/>
      </top>
      <bottom style="mediumDashed">
        <color rgb="FFDB5E71"/>
      </bottom>
      <diagonal/>
    </border>
    <border>
      <left style="mediumDashed">
        <color rgb="FFDB5E71"/>
      </left>
      <right style="mediumDashDot">
        <color rgb="FFDB5E71"/>
      </right>
      <top style="mediumDashDot">
        <color rgb="FFDB5E71"/>
      </top>
      <bottom style="mediumDashDot">
        <color rgb="FFDB5E71"/>
      </bottom>
      <diagonal/>
    </border>
    <border>
      <left style="mediumDashed">
        <color rgb="FFDB5E71"/>
      </left>
      <right/>
      <top/>
      <bottom/>
      <diagonal/>
    </border>
    <border>
      <left/>
      <right/>
      <top style="mediumDashed">
        <color rgb="FFDB5E71"/>
      </top>
      <bottom style="mediumDashed">
        <color rgb="FFDB5E71"/>
      </bottom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mediumDashed">
        <color rgb="FFDB5E71"/>
      </left>
      <right/>
      <top style="mediumDashed">
        <color rgb="FFDB5E71"/>
      </top>
      <bottom style="dashDot">
        <color indexed="64"/>
      </bottom>
      <diagonal/>
    </border>
    <border>
      <left style="dashDot">
        <color indexed="64"/>
      </left>
      <right style="mediumDashed">
        <color rgb="FFDB5E71"/>
      </right>
      <top style="dashDot">
        <color indexed="64"/>
      </top>
      <bottom style="dashDot">
        <color indexed="64"/>
      </bottom>
      <diagonal/>
    </border>
    <border>
      <left style="double">
        <color rgb="FFDB5E71"/>
      </left>
      <right style="mediumDashed">
        <color rgb="FFDB5E71"/>
      </right>
      <top/>
      <bottom/>
      <diagonal/>
    </border>
    <border>
      <left/>
      <right/>
      <top style="dashDot">
        <color indexed="64"/>
      </top>
      <bottom style="mediumDashed">
        <color rgb="FFDB5E71"/>
      </bottom>
      <diagonal/>
    </border>
    <border>
      <left/>
      <right/>
      <top style="dashDot">
        <color theme="1" tint="0.249977111117893"/>
      </top>
      <bottom style="dashDot">
        <color indexed="64"/>
      </bottom>
      <diagonal/>
    </border>
    <border>
      <left style="dashDot">
        <color theme="1" tint="0.249977111117893"/>
      </left>
      <right/>
      <top style="mediumDashed">
        <color rgb="FFDB5E71"/>
      </top>
      <bottom style="dashDot">
        <color theme="1" tint="0.249977111117893"/>
      </bottom>
      <diagonal/>
    </border>
    <border>
      <left/>
      <right/>
      <top style="mediumDashed">
        <color rgb="FFDB5E71"/>
      </top>
      <bottom style="thin">
        <color indexed="64"/>
      </bottom>
      <diagonal/>
    </border>
    <border>
      <left style="dashDot">
        <color theme="1" tint="0.249977111117893"/>
      </left>
      <right/>
      <top style="dashDot">
        <color theme="1" tint="0.249977111117893"/>
      </top>
      <bottom/>
      <diagonal/>
    </border>
    <border>
      <left style="medium">
        <color theme="1" tint="0.3499862666707358"/>
      </left>
      <right style="medium">
        <color theme="1" tint="0.3499862666707358"/>
      </right>
      <top style="medium">
        <color theme="1" tint="0.3499862666707358"/>
      </top>
      <bottom/>
      <diagonal/>
    </border>
    <border>
      <left style="medium">
        <color theme="1" tint="0.3499862666707358"/>
      </left>
      <right style="medium">
        <color theme="1" tint="0.3499862666707358"/>
      </right>
      <top/>
      <bottom/>
      <diagonal/>
    </border>
    <border>
      <left style="medium">
        <color theme="1" tint="0.3499862666707358"/>
      </left>
      <right style="medium">
        <color theme="1" tint="0.3499862666707358"/>
      </right>
      <top style="medium">
        <color indexed="64"/>
      </top>
      <bottom/>
      <diagonal/>
    </border>
    <border>
      <left style="medium">
        <color theme="1" tint="0.3499862666707358"/>
      </left>
      <right style="medium">
        <color theme="1" tint="0.3499862666707358"/>
      </right>
      <top/>
      <bottom style="medium">
        <color theme="1" tint="0.3499862666707358"/>
      </bottom>
      <diagonal/>
    </border>
    <border>
      <left/>
      <right style="medium">
        <color rgb="FFDB5E71"/>
      </right>
      <top style="thin">
        <color indexed="64"/>
      </top>
      <bottom/>
      <diagonal/>
    </border>
    <border>
      <left style="medium">
        <color rgb="FFDB5E71"/>
      </left>
      <right/>
      <top/>
      <bottom style="thin">
        <color indexed="64"/>
      </bottom>
      <diagonal/>
    </border>
    <border>
      <left style="mediumDashed">
        <color theme="0"/>
      </left>
      <right style="medium">
        <color rgb="FFDB5E71"/>
      </right>
      <top style="medium">
        <color rgb="FFDB5E71"/>
      </top>
      <bottom/>
      <diagonal/>
    </border>
    <border>
      <left style="mediumDashed">
        <color theme="0"/>
      </left>
      <right style="medium">
        <color rgb="FFDB5E71"/>
      </right>
      <top style="mediumDashed">
        <color theme="0"/>
      </top>
      <bottom/>
      <diagonal/>
    </border>
    <border>
      <left style="thin">
        <color rgb="FFDB5E71"/>
      </left>
      <right style="mediumDashed">
        <color theme="0"/>
      </right>
      <top style="medium">
        <color rgb="FFDB5E71"/>
      </top>
      <bottom/>
      <diagonal/>
    </border>
    <border>
      <left style="thin">
        <color rgb="FFDB5E71"/>
      </left>
      <right style="mediumDashed">
        <color theme="0"/>
      </right>
      <top/>
      <bottom/>
      <diagonal/>
    </border>
    <border>
      <left style="thin">
        <color rgb="FFDB5E71"/>
      </left>
      <right style="mediumDashed">
        <color theme="0"/>
      </right>
      <top style="medium">
        <color rgb="FFDB5E71"/>
      </top>
      <bottom style="thin">
        <color rgb="FFDB5E71"/>
      </bottom>
      <diagonal/>
    </border>
    <border>
      <left style="thin">
        <color rgb="FFDB5E71"/>
      </left>
      <right/>
      <top/>
      <bottom style="thin">
        <color indexed="64"/>
      </bottom>
      <diagonal/>
    </border>
    <border>
      <left style="thin">
        <color rgb="FFDB5E71"/>
      </left>
      <right/>
      <top/>
      <bottom style="medium">
        <color rgb="FFDB5E71"/>
      </bottom>
      <diagonal/>
    </border>
    <border>
      <left style="thin">
        <color rgb="FFDB5E71"/>
      </left>
      <right style="mediumDashed">
        <color theme="0"/>
      </right>
      <top style="thin">
        <color rgb="FFDB5E71"/>
      </top>
      <bottom style="thin">
        <color rgb="FFDB5E71"/>
      </bottom>
      <diagonal/>
    </border>
    <border>
      <left style="thin">
        <color rgb="FFDB5E71"/>
      </left>
      <right style="mediumDashed">
        <color theme="0"/>
      </right>
      <top/>
      <bottom style="thin">
        <color indexed="64"/>
      </bottom>
      <diagonal/>
    </border>
    <border>
      <left style="thin">
        <color rgb="FFDB5E71"/>
      </left>
      <right/>
      <top style="thin">
        <color rgb="FFDB5E71"/>
      </top>
      <bottom style="thin">
        <color rgb="FFDB5E71"/>
      </bottom>
      <diagonal/>
    </border>
    <border>
      <left style="thin">
        <color rgb="FFDB5E71"/>
      </left>
      <right/>
      <top style="medium">
        <color rgb="FFDB5E71"/>
      </top>
      <bottom/>
      <diagonal/>
    </border>
    <border>
      <left style="medium">
        <color rgb="FFDB5E71"/>
      </left>
      <right style="medium">
        <color rgb="FFDB5E71"/>
      </right>
      <top style="thin">
        <color rgb="FFB52372"/>
      </top>
      <bottom style="medium">
        <color rgb="FFDB5E7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dashed">
        <color theme="1"/>
      </top>
      <bottom/>
      <diagonal/>
    </border>
    <border>
      <left style="medium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thin">
        <color rgb="FFDB5E71"/>
      </right>
      <top style="thin">
        <color rgb="FFDB5E71"/>
      </top>
      <bottom style="thin">
        <color rgb="FFDB5E71"/>
      </bottom>
      <diagonal/>
    </border>
    <border>
      <left/>
      <right/>
      <top/>
      <bottom style="thin">
        <color rgb="FFDB5E71"/>
      </bottom>
      <diagonal/>
    </border>
    <border>
      <left/>
      <right style="thin">
        <color rgb="FFDB5E71"/>
      </right>
      <top/>
      <bottom style="thin">
        <color rgb="FFDB5E71"/>
      </bottom>
      <diagonal/>
    </border>
    <border>
      <left/>
      <right style="thin">
        <color rgb="FFDB5E71"/>
      </right>
      <top style="medium">
        <color rgb="FFDB5E71"/>
      </top>
      <bottom/>
      <diagonal/>
    </border>
    <border>
      <left style="medium">
        <color rgb="FFDB5E71"/>
      </left>
      <right/>
      <top/>
      <bottom style="thin">
        <color rgb="FFDB5E71"/>
      </bottom>
      <diagonal/>
    </border>
    <border>
      <left style="thin">
        <color indexed="64"/>
      </left>
      <right/>
      <top style="medium">
        <color rgb="FFD52372"/>
      </top>
      <bottom style="thick">
        <color theme="3"/>
      </bottom>
      <diagonal/>
    </border>
    <border>
      <left style="medium">
        <color rgb="FFDB5E71"/>
      </left>
      <right style="medium">
        <color rgb="FFDB5E71"/>
      </right>
      <top style="medium">
        <color rgb="FFDB5E71"/>
      </top>
      <bottom style="medium">
        <color rgb="FFDB5E71"/>
      </bottom>
      <diagonal/>
    </border>
    <border>
      <left style="double">
        <color rgb="FFDB5E71"/>
      </left>
      <right style="double">
        <color rgb="FFDB5E71"/>
      </right>
      <top style="double">
        <color rgb="FFDB5E71"/>
      </top>
      <bottom style="dashDot">
        <color rgb="FFDB5E71"/>
      </bottom>
      <diagonal/>
    </border>
    <border>
      <left/>
      <right/>
      <top style="double">
        <color rgb="FFDB5E71"/>
      </top>
      <bottom/>
      <diagonal/>
    </border>
    <border>
      <left/>
      <right style="double">
        <color rgb="FFDB5E71"/>
      </right>
      <top style="double">
        <color rgb="FFDB5E71"/>
      </top>
      <bottom/>
      <diagonal/>
    </border>
    <border>
      <left style="medium">
        <color rgb="FFD52372"/>
      </left>
      <right style="medium">
        <color rgb="FFD52372"/>
      </right>
      <top style="mediumDashDotDot">
        <color rgb="FFDB5E71"/>
      </top>
      <bottom/>
      <diagonal/>
    </border>
    <border>
      <left style="medium">
        <color rgb="FFD52372"/>
      </left>
      <right style="medium">
        <color rgb="FFD52372"/>
      </right>
      <top/>
      <bottom/>
      <diagonal/>
    </border>
    <border>
      <left style="thin">
        <color rgb="FFB52372"/>
      </left>
      <right style="thin">
        <color rgb="FFB52372"/>
      </right>
      <top style="thin">
        <color rgb="FFB52372"/>
      </top>
      <bottom style="thin">
        <color rgb="FFB52372"/>
      </bottom>
      <diagonal/>
    </border>
    <border>
      <left style="thin">
        <color rgb="FFB52372"/>
      </left>
      <right style="medium">
        <color theme="1"/>
      </right>
      <top/>
      <bottom/>
      <diagonal/>
    </border>
    <border>
      <left style="thin">
        <color rgb="FFB52372"/>
      </left>
      <right style="medium">
        <color rgb="FFDB5E71"/>
      </right>
      <top/>
      <bottom/>
      <diagonal/>
    </border>
    <border>
      <left style="thin">
        <color rgb="FFB52372"/>
      </left>
      <right style="medium">
        <color rgb="FFD52372"/>
      </right>
      <top/>
      <bottom/>
      <diagonal/>
    </border>
    <border>
      <left style="thin">
        <color rgb="FFB52372"/>
      </left>
      <right/>
      <top style="thin">
        <color rgb="FFB52372"/>
      </top>
      <bottom style="thin">
        <color rgb="FFB52372"/>
      </bottom>
      <diagonal/>
    </border>
    <border>
      <left style="medium">
        <color rgb="FFDB5E71"/>
      </left>
      <right style="thin">
        <color rgb="FFDB5E71"/>
      </right>
      <top style="medium">
        <color rgb="FFDB5E71"/>
      </top>
      <bottom style="medium">
        <color rgb="FFDB5E71"/>
      </bottom>
      <diagonal/>
    </border>
    <border>
      <left style="medium">
        <color rgb="FFB52372"/>
      </left>
      <right/>
      <top style="medium">
        <color rgb="FFB52372"/>
      </top>
      <bottom style="medium">
        <color rgb="FFB52372"/>
      </bottom>
      <diagonal/>
    </border>
    <border>
      <left style="medium">
        <color indexed="64"/>
      </left>
      <right style="medium">
        <color rgb="FFB52372"/>
      </right>
      <top/>
      <bottom/>
      <diagonal/>
    </border>
    <border>
      <bottom style="thin"/>
    </border>
    <border>
      <top style="thin"/>
    </border>
    <border>
      <top style="double"/>
    </border>
    <border>
      <top style="thin">
        <color rgb="00BFBFBF"/>
      </top>
    </border>
    <border>
      <top style="double">
        <color rgb="00000000"/>
      </top>
    </border>
  </borders>
  <cellStyleXfs count="8">
    <xf numFmtId="0" fontId="4" fillId="0" borderId="0"/>
    <xf numFmtId="43" fontId="4" fillId="0" borderId="0"/>
    <xf numFmtId="44" fontId="4" fillId="0" borderId="0"/>
    <xf numFmtId="9" fontId="4" fillId="0" borderId="0"/>
    <xf numFmtId="0" fontId="11" fillId="0" borderId="0"/>
    <xf numFmtId="0" fontId="12" fillId="0" borderId="0" applyAlignment="1" applyProtection="1">
      <alignment vertical="top"/>
      <protection locked="0" hidden="0"/>
    </xf>
    <xf numFmtId="0" fontId="14" fillId="0" borderId="27"/>
    <xf numFmtId="0" fontId="15" fillId="3" borderId="28"/>
  </cellStyleXfs>
  <cellXfs count="1484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9" pivotButton="0" quotePrefix="0" xfId="0"/>
    <xf numFmtId="0" fontId="6" fillId="0" borderId="10" pivotButton="0" quotePrefix="0" xfId="0"/>
    <xf numFmtId="15" fontId="6" fillId="0" borderId="0" applyAlignment="1" pivotButton="0" quotePrefix="0" xfId="0">
      <alignment horizontal="right"/>
    </xf>
    <xf numFmtId="0" fontId="6" fillId="0" borderId="11" pivotButton="0" quotePrefix="0" xfId="0"/>
    <xf numFmtId="0" fontId="6" fillId="0" borderId="12" pivotButton="0" quotePrefix="0" xfId="0"/>
    <xf numFmtId="0" fontId="6" fillId="0" borderId="13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164" fontId="10" fillId="0" borderId="0" pivotButton="0" quotePrefix="0" xfId="0"/>
    <xf numFmtId="0" fontId="6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left"/>
    </xf>
    <xf numFmtId="15" fontId="1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43" fontId="0" fillId="0" borderId="0" pivotButton="0" quotePrefix="0" xfId="1"/>
    <xf numFmtId="0" fontId="13" fillId="0" borderId="0" applyAlignment="1" applyProtection="1" pivotButton="0" quotePrefix="0" xfId="0">
      <alignment horizontal="center"/>
      <protection locked="0" hidden="0"/>
    </xf>
    <xf numFmtId="0" fontId="8" fillId="0" borderId="0" pivotButton="0" quotePrefix="0" xfId="0"/>
    <xf numFmtId="0" fontId="9" fillId="0" borderId="0" pivotButton="0" quotePrefix="1" xfId="0"/>
    <xf numFmtId="0" fontId="9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166" fontId="6" fillId="0" borderId="0" pivotButton="0" quotePrefix="0" xfId="0"/>
    <xf numFmtId="166" fontId="0" fillId="0" borderId="0" pivotButton="0" quotePrefix="0" xfId="0"/>
    <xf numFmtId="166" fontId="16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5" fillId="8" borderId="1" pivotButton="0" quotePrefix="0" xfId="0"/>
    <xf numFmtId="0" fontId="5" fillId="8" borderId="2" pivotButton="0" quotePrefix="0" xfId="0"/>
    <xf numFmtId="0" fontId="6" fillId="8" borderId="2" pivotButton="0" quotePrefix="0" xfId="0"/>
    <xf numFmtId="0" fontId="6" fillId="8" borderId="3" pivotButton="0" quotePrefix="0" xfId="0"/>
    <xf numFmtId="0" fontId="6" fillId="8" borderId="4" pivotButton="0" quotePrefix="0" xfId="0"/>
    <xf numFmtId="0" fontId="6" fillId="8" borderId="14" pivotButton="0" quotePrefix="0" xfId="0"/>
    <xf numFmtId="0" fontId="6" fillId="8" borderId="15" pivotButton="0" quotePrefix="0" xfId="0"/>
    <xf numFmtId="0" fontId="6" fillId="8" borderId="16" pivotButton="0" quotePrefix="0" xfId="0"/>
    <xf numFmtId="0" fontId="6" fillId="8" borderId="8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5" borderId="40" applyAlignment="1" pivotButton="0" quotePrefix="0" xfId="6">
      <alignment horizontal="center" vertical="center" wrapText="1"/>
    </xf>
    <xf numFmtId="0" fontId="33" fillId="5" borderId="41" applyAlignment="1" pivotButton="0" quotePrefix="0" xfId="6">
      <alignment horizontal="center" vertical="center" wrapText="1"/>
    </xf>
    <xf numFmtId="0" fontId="33" fillId="5" borderId="44" applyAlignment="1" pivotButton="0" quotePrefix="0" xfId="6">
      <alignment horizontal="center" vertical="center" wrapText="1"/>
    </xf>
    <xf numFmtId="0" fontId="33" fillId="5" borderId="45" applyAlignment="1" pivotButton="0" quotePrefix="0" xfId="6">
      <alignment horizontal="center" vertical="center" wrapText="1"/>
    </xf>
    <xf numFmtId="0" fontId="33" fillId="5" borderId="46" applyAlignment="1" pivotButton="0" quotePrefix="0" xfId="6">
      <alignment horizontal="center" vertical="center" wrapText="1"/>
    </xf>
    <xf numFmtId="0" fontId="33" fillId="5" borderId="47" applyAlignment="1" pivotButton="0" quotePrefix="0" xfId="6">
      <alignment horizontal="center" vertical="center" wrapText="1"/>
    </xf>
    <xf numFmtId="0" fontId="31" fillId="0" borderId="42" applyAlignment="1" pivotButton="0" quotePrefix="0" xfId="0">
      <alignment vertical="center"/>
    </xf>
    <xf numFmtId="0" fontId="31" fillId="0" borderId="51" applyAlignment="1" pivotButton="0" quotePrefix="1" xfId="0">
      <alignment vertical="center"/>
    </xf>
    <xf numFmtId="41" fontId="31" fillId="7" borderId="20" applyAlignment="1" pivotButton="0" quotePrefix="0" xfId="1">
      <alignment horizontal="right" vertical="center"/>
    </xf>
    <xf numFmtId="42" fontId="35" fillId="0" borderId="51" applyAlignment="1" pivotButton="0" quotePrefix="0" xfId="0">
      <alignment horizontal="right" vertical="center"/>
    </xf>
    <xf numFmtId="167" fontId="35" fillId="0" borderId="21" pivotButton="0" quotePrefix="0" xfId="0"/>
    <xf numFmtId="167" fontId="35" fillId="0" borderId="52" applyAlignment="1" pivotButton="0" quotePrefix="0" xfId="0">
      <alignment horizontal="right" vertical="center"/>
    </xf>
    <xf numFmtId="0" fontId="31" fillId="0" borderId="53" applyAlignment="1" pivotButton="0" quotePrefix="1" xfId="0">
      <alignment vertical="center"/>
    </xf>
    <xf numFmtId="41" fontId="31" fillId="7" borderId="24" applyAlignment="1" pivotButton="0" quotePrefix="0" xfId="1">
      <alignment horizontal="right" vertical="center"/>
    </xf>
    <xf numFmtId="42" fontId="35" fillId="0" borderId="53" applyAlignment="1" pivotButton="0" quotePrefix="0" xfId="0">
      <alignment horizontal="right" vertical="center"/>
    </xf>
    <xf numFmtId="167" fontId="35" fillId="0" borderId="22" pivotButton="0" quotePrefix="0" xfId="0"/>
    <xf numFmtId="167" fontId="35" fillId="0" borderId="54" applyAlignment="1" pivotButton="0" quotePrefix="0" xfId="0">
      <alignment horizontal="right" vertical="center"/>
    </xf>
    <xf numFmtId="0" fontId="31" fillId="0" borderId="55" applyAlignment="1" pivotButton="0" quotePrefix="1" xfId="0">
      <alignment vertical="center"/>
    </xf>
    <xf numFmtId="41" fontId="31" fillId="7" borderId="22" applyAlignment="1" pivotButton="0" quotePrefix="0" xfId="1">
      <alignment horizontal="right" vertical="center"/>
    </xf>
    <xf numFmtId="41" fontId="31" fillId="7" borderId="26" applyAlignment="1" pivotButton="0" quotePrefix="0" xfId="1">
      <alignment horizontal="right" vertical="center"/>
    </xf>
    <xf numFmtId="168" fontId="37" fillId="9" borderId="43" applyAlignment="1" applyProtection="1" pivotButton="0" quotePrefix="0" xfId="1">
      <alignment horizontal="right" vertical="center"/>
      <protection locked="0" hidden="0"/>
    </xf>
    <xf numFmtId="0" fontId="35" fillId="9" borderId="48" applyAlignment="1" pivotButton="0" quotePrefix="0" xfId="0">
      <alignment horizontal="right" vertical="center"/>
    </xf>
    <xf numFmtId="0" fontId="36" fillId="9" borderId="49" pivotButton="0" quotePrefix="0" xfId="0"/>
    <xf numFmtId="0" fontId="35" fillId="9" borderId="50" applyAlignment="1" pivotButton="0" quotePrefix="0" xfId="0">
      <alignment horizontal="right" vertical="center"/>
    </xf>
    <xf numFmtId="0" fontId="30" fillId="6" borderId="22" pivotButton="0" quotePrefix="0" xfId="0"/>
    <xf numFmtId="0" fontId="40" fillId="0" borderId="0" applyAlignment="1" pivotButton="0" quotePrefix="0" xfId="0">
      <alignment horizontal="center"/>
    </xf>
    <xf numFmtId="0" fontId="39" fillId="0" borderId="0" pivotButton="0" quotePrefix="0" xfId="0"/>
    <xf numFmtId="0" fontId="41" fillId="0" borderId="0" pivotButton="0" quotePrefix="1" xfId="5"/>
    <xf numFmtId="0" fontId="39" fillId="0" borderId="32" applyAlignment="1" pivotButton="0" quotePrefix="0" xfId="0">
      <alignment horizontal="center" vertical="center"/>
    </xf>
    <xf numFmtId="169" fontId="39" fillId="0" borderId="0" pivotButton="0" quotePrefix="0" xfId="0"/>
    <xf numFmtId="0" fontId="39" fillId="0" borderId="12" pivotButton="0" quotePrefix="0" xfId="0"/>
    <xf numFmtId="17" fontId="39" fillId="0" borderId="31" applyAlignment="1" pivotButton="0" quotePrefix="0" xfId="0">
      <alignment horizontal="center"/>
    </xf>
    <xf numFmtId="17" fontId="39" fillId="0" borderId="12" applyAlignment="1" pivotButton="0" quotePrefix="0" xfId="0">
      <alignment horizontal="center"/>
    </xf>
    <xf numFmtId="0" fontId="43" fillId="0" borderId="0" applyAlignment="1" applyProtection="1" pivotButton="0" quotePrefix="0" xfId="0">
      <alignment horizontal="center"/>
      <protection locked="0" hidden="0"/>
    </xf>
    <xf numFmtId="0" fontId="40" fillId="0" borderId="0" pivotButton="0" quotePrefix="0" xfId="0"/>
    <xf numFmtId="0" fontId="42" fillId="0" borderId="0" applyAlignment="1" pivotButton="0" quotePrefix="0" xfId="0">
      <alignment horizontal="left"/>
    </xf>
    <xf numFmtId="169" fontId="40" fillId="0" borderId="0" applyAlignment="1" pivotButton="0" quotePrefix="0" xfId="0">
      <alignment horizontal="fill"/>
    </xf>
    <xf numFmtId="166" fontId="40" fillId="0" borderId="0" pivotButton="0" quotePrefix="0" xfId="0"/>
    <xf numFmtId="0" fontId="40" fillId="0" borderId="25" pivotButton="0" quotePrefix="0" xfId="0"/>
    <xf numFmtId="168" fontId="38" fillId="0" borderId="0" pivotButton="0" quotePrefix="0" xfId="0"/>
    <xf numFmtId="0" fontId="44" fillId="8" borderId="60" applyAlignment="1" pivotButton="0" quotePrefix="0" xfId="0">
      <alignment horizontal="center" vertical="center" wrapText="1"/>
    </xf>
    <xf numFmtId="0" fontId="29" fillId="0" borderId="62" applyAlignment="1" pivotButton="0" quotePrefix="0" xfId="0">
      <alignment horizontal="center" vertical="center" wrapText="1"/>
    </xf>
    <xf numFmtId="0" fontId="30" fillId="4" borderId="22" pivotButton="0" quotePrefix="0" xfId="0"/>
    <xf numFmtId="0" fontId="29" fillId="0" borderId="63" applyAlignment="1" pivotButton="0" quotePrefix="0" xfId="0">
      <alignment horizontal="center" vertical="center" wrapText="1"/>
    </xf>
    <xf numFmtId="170" fontId="30" fillId="4" borderId="68" pivotButton="0" quotePrefix="0" xfId="0"/>
    <xf numFmtId="0" fontId="30" fillId="6" borderId="70" pivotButton="0" quotePrefix="0" xfId="0"/>
    <xf numFmtId="170" fontId="30" fillId="6" borderId="71" pivotButton="0" quotePrefix="0" xfId="0"/>
    <xf numFmtId="0" fontId="29" fillId="0" borderId="1" applyAlignment="1" pivotButton="0" quotePrefix="0" xfId="0">
      <alignment horizontal="center" vertical="center"/>
    </xf>
    <xf numFmtId="0" fontId="30" fillId="6" borderId="19" applyAlignment="1" pivotButton="0" quotePrefix="0" xfId="0">
      <alignment horizontal="left" vertical="center" indent="2"/>
    </xf>
    <xf numFmtId="0" fontId="29" fillId="0" borderId="64" applyAlignment="1" pivotButton="0" quotePrefix="0" xfId="0">
      <alignment horizontal="center" vertical="center" wrapText="1"/>
    </xf>
    <xf numFmtId="0" fontId="30" fillId="6" borderId="69" pivotButton="0" quotePrefix="0" xfId="0"/>
    <xf numFmtId="0" fontId="31" fillId="0" borderId="0" applyAlignment="1" pivotButton="0" quotePrefix="1" xfId="0">
      <alignment vertical="center"/>
    </xf>
    <xf numFmtId="41" fontId="31" fillId="7" borderId="0" applyAlignment="1" pivotButton="0" quotePrefix="0" xfId="1">
      <alignment horizontal="right" vertical="center"/>
    </xf>
    <xf numFmtId="42" fontId="35" fillId="0" borderId="0" applyAlignment="1" pivotButton="0" quotePrefix="0" xfId="0">
      <alignment horizontal="right" vertical="center"/>
    </xf>
    <xf numFmtId="167" fontId="35" fillId="0" borderId="0" pivotButton="0" quotePrefix="0" xfId="0"/>
    <xf numFmtId="167" fontId="35" fillId="0" borderId="0" applyAlignment="1" pivotButton="0" quotePrefix="0" xfId="0">
      <alignment horizontal="right" vertical="center"/>
    </xf>
    <xf numFmtId="0" fontId="31" fillId="4" borderId="0" pivotButton="0" quotePrefix="0" xfId="0"/>
    <xf numFmtId="0" fontId="31" fillId="7" borderId="24" applyAlignment="1" pivotButton="0" quotePrefix="0" xfId="1">
      <alignment horizontal="right" vertical="center"/>
    </xf>
    <xf numFmtId="1" fontId="31" fillId="7" borderId="24" applyAlignment="1" pivotButton="0" quotePrefix="0" xfId="1">
      <alignment horizontal="right" vertical="center"/>
    </xf>
    <xf numFmtId="167" fontId="35" fillId="0" borderId="72" applyAlignment="1" pivotButton="0" quotePrefix="0" xfId="0">
      <alignment horizontal="right" vertical="center"/>
    </xf>
    <xf numFmtId="167" fontId="35" fillId="0" borderId="68" applyAlignment="1" pivotButton="0" quotePrefix="0" xfId="0">
      <alignment horizontal="right" vertical="center"/>
    </xf>
    <xf numFmtId="41" fontId="31" fillId="7" borderId="70" applyAlignment="1" pivotButton="0" quotePrefix="0" xfId="1">
      <alignment horizontal="right" vertical="center"/>
    </xf>
    <xf numFmtId="167" fontId="35" fillId="0" borderId="70" pivotButton="0" quotePrefix="0" xfId="0"/>
    <xf numFmtId="167" fontId="35" fillId="0" borderId="71" applyAlignment="1" pivotButton="0" quotePrefix="0" xfId="0">
      <alignment horizontal="right" vertical="center"/>
    </xf>
    <xf numFmtId="1" fontId="27" fillId="0" borderId="0" pivotButton="0" quotePrefix="0" xfId="0"/>
    <xf numFmtId="168" fontId="27" fillId="0" borderId="0" pivotButton="0" quotePrefix="0" xfId="0"/>
    <xf numFmtId="0" fontId="31" fillId="0" borderId="78" applyAlignment="1" pivotButton="0" quotePrefix="0" xfId="0">
      <alignment vertical="center"/>
    </xf>
    <xf numFmtId="0" fontId="31" fillId="0" borderId="10" applyAlignment="1" pivotButton="0" quotePrefix="1" xfId="0">
      <alignment vertical="center"/>
    </xf>
    <xf numFmtId="0" fontId="31" fillId="0" borderId="7" applyAlignment="1" pivotButton="0" quotePrefix="1" xfId="0">
      <alignment vertical="center"/>
    </xf>
    <xf numFmtId="0" fontId="31" fillId="0" borderId="79" applyAlignment="1" pivotButton="0" quotePrefix="1" xfId="0">
      <alignment vertical="center"/>
    </xf>
    <xf numFmtId="0" fontId="47" fillId="0" borderId="83" applyAlignment="1" pivotButton="0" quotePrefix="0" xfId="0">
      <alignment horizontal="center" vertical="center"/>
    </xf>
    <xf numFmtId="0" fontId="30" fillId="9" borderId="63" pivotButton="0" quotePrefix="0" xfId="0"/>
    <xf numFmtId="170" fontId="30" fillId="9" borderId="64" pivotButton="0" quotePrefix="0" xfId="0"/>
    <xf numFmtId="167" fontId="35" fillId="0" borderId="85" applyAlignment="1" pivotButton="0" quotePrefix="0" xfId="0">
      <alignment horizontal="right" vertical="center"/>
    </xf>
    <xf numFmtId="167" fontId="35" fillId="0" borderId="89" applyAlignment="1" pivotButton="0" quotePrefix="0" xfId="0">
      <alignment horizontal="right" vertical="center"/>
    </xf>
    <xf numFmtId="167" fontId="35" fillId="0" borderId="90" applyAlignment="1" pivotButton="0" quotePrefix="0" xfId="0">
      <alignment horizontal="right" vertical="center"/>
    </xf>
    <xf numFmtId="167" fontId="35" fillId="0" borderId="91" pivotButton="0" quotePrefix="0" xfId="0"/>
    <xf numFmtId="167" fontId="35" fillId="0" borderId="92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 textRotation="90" wrapText="1"/>
    </xf>
    <xf numFmtId="0" fontId="30" fillId="4" borderId="87" applyAlignment="1" pivotButton="0" quotePrefix="0" xfId="0">
      <alignment vertical="center" textRotation="90" wrapText="1"/>
    </xf>
    <xf numFmtId="167" fontId="35" fillId="0" borderId="84" applyAlignment="1" pivotButton="0" quotePrefix="0" xfId="0">
      <alignment horizontal="right" vertical="center"/>
    </xf>
    <xf numFmtId="0" fontId="50" fillId="0" borderId="0" applyAlignment="1" pivotButton="0" quotePrefix="0" xfId="0">
      <alignment horizontal="left"/>
    </xf>
    <xf numFmtId="0" fontId="51" fillId="0" borderId="0" applyAlignment="1" pivotButton="0" quotePrefix="0" xfId="0">
      <alignment horizontal="center"/>
    </xf>
    <xf numFmtId="0" fontId="50" fillId="0" borderId="0" pivotButton="0" quotePrefix="0" xfId="0"/>
    <xf numFmtId="0" fontId="50" fillId="0" borderId="0" applyAlignment="1" pivotButton="0" quotePrefix="0" xfId="0">
      <alignment horizontal="center" vertical="center"/>
    </xf>
    <xf numFmtId="0" fontId="49" fillId="0" borderId="0" pivotButton="0" quotePrefix="0" xfId="0"/>
    <xf numFmtId="0" fontId="52" fillId="0" borderId="0" pivotButton="0" quotePrefix="1" xfId="5"/>
    <xf numFmtId="0" fontId="50" fillId="0" borderId="30" applyAlignment="1" pivotButton="0" quotePrefix="0" xfId="0">
      <alignment horizontal="center"/>
    </xf>
    <xf numFmtId="0" fontId="50" fillId="0" borderId="32" applyAlignment="1" pivotButton="0" quotePrefix="0" xfId="0">
      <alignment horizontal="center" vertical="center"/>
    </xf>
    <xf numFmtId="169" fontId="50" fillId="0" borderId="0" pivotButton="0" quotePrefix="0" xfId="0"/>
    <xf numFmtId="0" fontId="50" fillId="0" borderId="12" pivotButton="0" quotePrefix="0" xfId="0"/>
    <xf numFmtId="0" fontId="51" fillId="0" borderId="12" applyAlignment="1" pivotButton="0" quotePrefix="0" xfId="0">
      <alignment horizontal="center"/>
    </xf>
    <xf numFmtId="0" fontId="50" fillId="0" borderId="31" applyAlignment="1" pivotButton="0" quotePrefix="0" xfId="0">
      <alignment horizontal="center"/>
    </xf>
    <xf numFmtId="17" fontId="50" fillId="0" borderId="31" applyAlignment="1" pivotButton="0" quotePrefix="0" xfId="0">
      <alignment horizontal="center"/>
    </xf>
    <xf numFmtId="17" fontId="50" fillId="0" borderId="12" applyAlignment="1" pivotButton="0" quotePrefix="0" xfId="0">
      <alignment horizontal="center"/>
    </xf>
    <xf numFmtId="0" fontId="55" fillId="0" borderId="0" applyAlignment="1" applyProtection="1" pivotButton="0" quotePrefix="0" xfId="0">
      <alignment horizontal="center"/>
      <protection locked="0" hidden="0"/>
    </xf>
    <xf numFmtId="4" fontId="51" fillId="0" borderId="32" pivotButton="0" quotePrefix="0" xfId="0"/>
    <xf numFmtId="0" fontId="51" fillId="0" borderId="6" pivotButton="0" quotePrefix="0" xfId="0"/>
    <xf numFmtId="0" fontId="51" fillId="0" borderId="0" pivotButton="0" quotePrefix="0" xfId="0"/>
    <xf numFmtId="167" fontId="51" fillId="0" borderId="35" pivotButton="0" quotePrefix="0" xfId="0"/>
    <xf numFmtId="167" fontId="51" fillId="0" borderId="29" pivotButton="0" quotePrefix="0" xfId="0"/>
    <xf numFmtId="171" fontId="49" fillId="0" borderId="0" pivotButton="0" quotePrefix="0" xfId="0"/>
    <xf numFmtId="171" fontId="51" fillId="0" borderId="0" applyAlignment="1" pivotButton="0" quotePrefix="1" xfId="0">
      <alignment horizontal="center"/>
    </xf>
    <xf numFmtId="171" fontId="55" fillId="0" borderId="0" applyAlignment="1" applyProtection="1" pivotButton="0" quotePrefix="0" xfId="0">
      <alignment horizontal="center"/>
      <protection locked="0" hidden="0"/>
    </xf>
    <xf numFmtId="171" fontId="51" fillId="0" borderId="32" pivotButton="0" quotePrefix="0" xfId="0"/>
    <xf numFmtId="171" fontId="51" fillId="0" borderId="0" pivotButton="0" quotePrefix="0" xfId="0"/>
    <xf numFmtId="171" fontId="51" fillId="0" borderId="0" applyAlignment="1" pivotButton="0" quotePrefix="0" xfId="0">
      <alignment horizontal="center"/>
    </xf>
    <xf numFmtId="171" fontId="56" fillId="0" borderId="0" applyAlignment="1" applyProtection="1" pivotButton="0" quotePrefix="0" xfId="0">
      <alignment horizontal="center"/>
      <protection locked="0" hidden="0"/>
    </xf>
    <xf numFmtId="171" fontId="50" fillId="2" borderId="23" applyAlignment="1" pivotButton="0" quotePrefix="0" xfId="0">
      <alignment horizontal="left"/>
    </xf>
    <xf numFmtId="171" fontId="50" fillId="2" borderId="33" pivotButton="0" quotePrefix="0" xfId="0"/>
    <xf numFmtId="171" fontId="50" fillId="0" borderId="0" pivotButton="0" quotePrefix="0" xfId="0"/>
    <xf numFmtId="171" fontId="54" fillId="0" borderId="0" pivotButton="0" quotePrefix="0" xfId="0"/>
    <xf numFmtId="171" fontId="50" fillId="2" borderId="23" pivotButton="0" quotePrefix="0" xfId="0"/>
    <xf numFmtId="171" fontId="54" fillId="0" borderId="0" applyAlignment="1" pivotButton="0" quotePrefix="0" xfId="0">
      <alignment horizontal="left"/>
    </xf>
    <xf numFmtId="171" fontId="51" fillId="0" borderId="58" applyAlignment="1" pivotButton="0" quotePrefix="0" xfId="0">
      <alignment horizontal="fill"/>
    </xf>
    <xf numFmtId="171" fontId="51" fillId="0" borderId="0" applyAlignment="1" pivotButton="0" quotePrefix="0" xfId="0">
      <alignment horizontal="fill"/>
    </xf>
    <xf numFmtId="171" fontId="50" fillId="0" borderId="0" applyAlignment="1" pivotButton="0" quotePrefix="0" xfId="0">
      <alignment horizontal="left"/>
    </xf>
    <xf numFmtId="171" fontId="51" fillId="0" borderId="59" pivotButton="0" quotePrefix="0" xfId="0"/>
    <xf numFmtId="171" fontId="51" fillId="0" borderId="57" pivotButton="0" quotePrefix="0" xfId="0"/>
    <xf numFmtId="171" fontId="51" fillId="0" borderId="0" applyAlignment="1" pivotButton="0" quotePrefix="0" xfId="0">
      <alignment horizontal="left"/>
    </xf>
    <xf numFmtId="171" fontId="50" fillId="0" borderId="34" pivotButton="0" quotePrefix="0" xfId="0"/>
    <xf numFmtId="171" fontId="50" fillId="0" borderId="6" pivotButton="0" quotePrefix="0" xfId="0"/>
    <xf numFmtId="171" fontId="51" fillId="2" borderId="23" applyAlignment="1" pivotButton="0" quotePrefix="0" xfId="0">
      <alignment horizontal="right"/>
    </xf>
    <xf numFmtId="171" fontId="55" fillId="0" borderId="0" applyAlignment="1" applyProtection="1" pivotButton="0" quotePrefix="0" xfId="0">
      <alignment horizontal="left"/>
      <protection locked="0" hidden="0"/>
    </xf>
    <xf numFmtId="171" fontId="51" fillId="2" borderId="33" pivotButton="0" quotePrefix="0" xfId="3"/>
    <xf numFmtId="171" fontId="51" fillId="2" borderId="23" pivotButton="0" quotePrefix="0" xfId="3"/>
    <xf numFmtId="171" fontId="58" fillId="0" borderId="0" applyAlignment="1" pivotButton="0" quotePrefix="0" xfId="0">
      <alignment horizontal="left"/>
    </xf>
    <xf numFmtId="171" fontId="50" fillId="0" borderId="32" pivotButton="0" quotePrefix="0" xfId="0"/>
    <xf numFmtId="171" fontId="51" fillId="0" borderId="0" applyAlignment="1" pivotButton="0" quotePrefix="0" xfId="0">
      <alignment horizontal="left" indent="1"/>
    </xf>
    <xf numFmtId="171" fontId="57" fillId="0" borderId="0" applyAlignment="1" pivotButton="0" quotePrefix="0" xfId="0">
      <alignment horizontal="left" indent="1"/>
    </xf>
    <xf numFmtId="0" fontId="36" fillId="0" borderId="20" pivotButton="0" quotePrefix="0" xfId="0"/>
    <xf numFmtId="0" fontId="35" fillId="0" borderId="94" applyAlignment="1" pivotButton="0" quotePrefix="0" xfId="0">
      <alignment horizontal="right" vertical="center"/>
    </xf>
    <xf numFmtId="0" fontId="35" fillId="0" borderId="10" applyAlignment="1" pivotButton="0" quotePrefix="0" xfId="0">
      <alignment horizontal="right" vertical="center"/>
    </xf>
    <xf numFmtId="0" fontId="34" fillId="0" borderId="23" applyAlignment="1" pivotButton="0" quotePrefix="0" xfId="0">
      <alignment horizontal="left" vertical="center"/>
    </xf>
    <xf numFmtId="0" fontId="23" fillId="0" borderId="37" applyAlignment="1" pivotButton="0" quotePrefix="0" xfId="0">
      <alignment horizontal="center" vertical="center"/>
    </xf>
    <xf numFmtId="42" fontId="35" fillId="6" borderId="0" applyAlignment="1" pivotButton="0" quotePrefix="0" xfId="0">
      <alignment horizontal="right" vertical="center"/>
    </xf>
    <xf numFmtId="167" fontId="35" fillId="6" borderId="0" pivotButton="0" quotePrefix="0" xfId="0"/>
    <xf numFmtId="167" fontId="35" fillId="6" borderId="0" applyAlignment="1" pivotButton="0" quotePrefix="0" xfId="0">
      <alignment horizontal="right" vertical="center"/>
    </xf>
    <xf numFmtId="0" fontId="59" fillId="9" borderId="1" applyAlignment="1" pivotButton="0" quotePrefix="0" xfId="0">
      <alignment vertical="center"/>
    </xf>
    <xf numFmtId="0" fontId="59" fillId="9" borderId="62" applyAlignment="1" pivotButton="0" quotePrefix="0" xfId="0">
      <alignment horizontal="center" vertical="center" wrapText="1"/>
    </xf>
    <xf numFmtId="0" fontId="59" fillId="9" borderId="63" applyAlignment="1" pivotButton="0" quotePrefix="0" xfId="0">
      <alignment horizontal="center" vertical="center" wrapText="1"/>
    </xf>
    <xf numFmtId="0" fontId="59" fillId="9" borderId="64" applyAlignment="1" pivotButton="0" quotePrefix="0" xfId="0">
      <alignment horizontal="center" vertical="center" wrapText="1"/>
    </xf>
    <xf numFmtId="0" fontId="59" fillId="9" borderId="62" applyAlignment="1" pivotButton="0" quotePrefix="0" xfId="0">
      <alignment vertical="center"/>
    </xf>
    <xf numFmtId="41" fontId="31" fillId="7" borderId="24" applyAlignment="1" pivotButton="0" quotePrefix="0" xfId="1">
      <alignment horizontal="right" vertical="center"/>
    </xf>
    <xf numFmtId="41" fontId="31" fillId="7" borderId="20" applyAlignment="1" pivotButton="0" quotePrefix="0" xfId="1">
      <alignment horizontal="right" vertical="center"/>
    </xf>
    <xf numFmtId="41" fontId="31" fillId="7" borderId="10" applyAlignment="1" pivotButton="0" quotePrefix="0" xfId="1">
      <alignment horizontal="right" vertical="center"/>
    </xf>
    <xf numFmtId="41" fontId="31" fillId="7" borderId="7" applyAlignment="1" pivotButton="0" quotePrefix="0" xfId="1">
      <alignment horizontal="right" vertical="center"/>
    </xf>
    <xf numFmtId="42" fontId="35" fillId="0" borderId="10" applyAlignment="1" pivotButton="0" quotePrefix="0" xfId="0">
      <alignment horizontal="right" vertical="center"/>
    </xf>
    <xf numFmtId="42" fontId="35" fillId="0" borderId="7" applyAlignment="1" pivotButton="0" quotePrefix="0" xfId="0">
      <alignment horizontal="right" vertical="center"/>
    </xf>
    <xf numFmtId="0" fontId="34" fillId="0" borderId="111" applyAlignment="1" pivotButton="0" quotePrefix="0" xfId="0">
      <alignment horizontal="left" vertical="center"/>
    </xf>
    <xf numFmtId="0" fontId="34" fillId="0" borderId="12" applyAlignment="1" pivotButton="0" quotePrefix="0" xfId="0">
      <alignment horizontal="left" vertical="center"/>
    </xf>
    <xf numFmtId="0" fontId="34" fillId="0" borderId="113" applyAlignment="1" pivotButton="0" quotePrefix="0" xfId="0">
      <alignment horizontal="left" vertical="center"/>
    </xf>
    <xf numFmtId="0" fontId="30" fillId="0" borderId="82" applyAlignment="1" pivotButton="0" quotePrefix="0" xfId="0">
      <alignment vertical="center" textRotation="90" wrapText="1"/>
    </xf>
    <xf numFmtId="0" fontId="30" fillId="8" borderId="0" applyAlignment="1" pivotButton="0" quotePrefix="0" xfId="0">
      <alignment vertical="center" textRotation="90" wrapText="1"/>
    </xf>
    <xf numFmtId="0" fontId="47" fillId="0" borderId="11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27" fillId="4" borderId="81" pivotButton="0" quotePrefix="0" xfId="0"/>
    <xf numFmtId="0" fontId="27" fillId="4" borderId="0" pivotButton="0" quotePrefix="0" xfId="0"/>
    <xf numFmtId="0" fontId="27" fillId="8" borderId="0" pivotButton="0" quotePrefix="0" xfId="0"/>
    <xf numFmtId="0" fontId="27" fillId="0" borderId="0" pivotButton="0" quotePrefix="1" xfId="0"/>
    <xf numFmtId="0" fontId="31" fillId="0" borderId="114" applyAlignment="1" pivotButton="0" quotePrefix="1" xfId="0">
      <alignment vertical="center"/>
    </xf>
    <xf numFmtId="41" fontId="31" fillId="7" borderId="84" applyAlignment="1" pivotButton="0" quotePrefix="0" xfId="1">
      <alignment horizontal="right" vertical="center"/>
    </xf>
    <xf numFmtId="0" fontId="31" fillId="0" borderId="76" applyAlignment="1" pivotButton="0" quotePrefix="1" xfId="0">
      <alignment vertical="center"/>
    </xf>
    <xf numFmtId="41" fontId="31" fillId="7" borderId="77" applyAlignment="1" pivotButton="0" quotePrefix="0" xfId="1">
      <alignment horizontal="right" vertical="center"/>
    </xf>
    <xf numFmtId="0" fontId="31" fillId="0" borderId="69" applyAlignment="1" pivotButton="0" quotePrefix="1" xfId="0">
      <alignment vertical="center"/>
    </xf>
    <xf numFmtId="0" fontId="27" fillId="0" borderId="119" pivotButton="0" quotePrefix="0" xfId="0"/>
    <xf numFmtId="0" fontId="34" fillId="0" borderId="74" applyAlignment="1" pivotButton="0" quotePrefix="0" xfId="0">
      <alignment horizontal="left" vertical="center"/>
    </xf>
    <xf numFmtId="41" fontId="31" fillId="7" borderId="84" applyAlignment="1" pivotButton="0" quotePrefix="0" xfId="1">
      <alignment horizontal="right" vertical="center"/>
    </xf>
    <xf numFmtId="41" fontId="31" fillId="7" borderId="77" applyAlignment="1" pivotButton="0" quotePrefix="0" xfId="1">
      <alignment horizontal="right" vertical="center"/>
    </xf>
    <xf numFmtId="41" fontId="31" fillId="7" borderId="71" applyAlignment="1" pivotButton="0" quotePrefix="0" xfId="1">
      <alignment horizontal="right" vertical="center"/>
    </xf>
    <xf numFmtId="42" fontId="35" fillId="0" borderId="112" applyAlignment="1" pivotButton="0" quotePrefix="0" xfId="0">
      <alignment horizontal="right" vertical="center"/>
    </xf>
    <xf numFmtId="1" fontId="31" fillId="7" borderId="77" applyAlignment="1" pivotButton="0" quotePrefix="0" xfId="1">
      <alignment horizontal="right" vertical="center"/>
    </xf>
    <xf numFmtId="0" fontId="34" fillId="0" borderId="8" applyAlignment="1" pivotButton="0" quotePrefix="0" xfId="0">
      <alignment horizontal="left" vertical="center"/>
    </xf>
    <xf numFmtId="9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left" indent="2"/>
    </xf>
    <xf numFmtId="0" fontId="27" fillId="0" borderId="12" pivotButton="0" quotePrefix="0" xfId="0"/>
    <xf numFmtId="0" fontId="60" fillId="0" borderId="0" pivotButton="0" quotePrefix="0" xfId="0"/>
    <xf numFmtId="172" fontId="60" fillId="0" borderId="0" pivotButton="0" quotePrefix="0" xfId="2"/>
    <xf numFmtId="172" fontId="60" fillId="0" borderId="12" pivotButton="0" quotePrefix="0" xfId="2"/>
    <xf numFmtId="172" fontId="60" fillId="0" borderId="0" pivotButton="0" quotePrefix="0" xfId="0"/>
    <xf numFmtId="1" fontId="27" fillId="0" borderId="12" pivotButton="0" quotePrefix="0" xfId="0"/>
    <xf numFmtId="9" fontId="60" fillId="0" borderId="0" pivotButton="0" quotePrefix="0" xfId="3"/>
    <xf numFmtId="173" fontId="60" fillId="0" borderId="0" pivotButton="0" quotePrefix="0" xfId="0"/>
    <xf numFmtId="172" fontId="27" fillId="0" borderId="0" pivotButton="0" quotePrefix="0" xfId="0"/>
    <xf numFmtId="171" fontId="57" fillId="0" borderId="0" pivotButton="0" quotePrefix="0" xfId="0"/>
    <xf numFmtId="171" fontId="51" fillId="0" borderId="124" pivotButton="0" quotePrefix="0" xfId="0"/>
    <xf numFmtId="0" fontId="62" fillId="0" borderId="0" pivotButton="0" quotePrefix="0" xfId="0"/>
    <xf numFmtId="171" fontId="63" fillId="0" borderId="0" applyAlignment="1" pivotButton="0" quotePrefix="0" xfId="0">
      <alignment horizontal="left"/>
    </xf>
    <xf numFmtId="171" fontId="51" fillId="0" borderId="125" pivotButton="0" quotePrefix="0" xfId="0"/>
    <xf numFmtId="171" fontId="51" fillId="0" borderId="126" pivotButton="0" quotePrefix="0" xfId="0"/>
    <xf numFmtId="171" fontId="57" fillId="0" borderId="124" applyProtection="1" pivotButton="0" quotePrefix="0" xfId="0">
      <protection locked="0" hidden="0"/>
    </xf>
    <xf numFmtId="171" fontId="57" fillId="0" borderId="0" applyProtection="1" pivotButton="0" quotePrefix="0" xfId="0">
      <protection locked="0" hidden="0"/>
    </xf>
    <xf numFmtId="171" fontId="57" fillId="0" borderId="124" pivotButton="0" quotePrefix="0" xfId="0"/>
    <xf numFmtId="171" fontId="64" fillId="0" borderId="124" pivotButton="0" quotePrefix="0" xfId="0"/>
    <xf numFmtId="171" fontId="64" fillId="0" borderId="0" pivotButton="0" quotePrefix="0" xfId="0"/>
    <xf numFmtId="171" fontId="57" fillId="0" borderId="0" applyAlignment="1" pivotButton="0" quotePrefix="0" xfId="0">
      <alignment horizontal="left"/>
    </xf>
    <xf numFmtId="171" fontId="65" fillId="0" borderId="0" applyAlignment="1" pivotButton="0" quotePrefix="0" xfId="0">
      <alignment horizontal="left"/>
    </xf>
    <xf numFmtId="0" fontId="40" fillId="0" borderId="12" applyAlignment="1" pivotButton="0" quotePrefix="0" xfId="0">
      <alignment horizontal="center"/>
    </xf>
    <xf numFmtId="0" fontId="66" fillId="0" borderId="0" pivotButton="0" quotePrefix="0" xfId="0"/>
    <xf numFmtId="168" fontId="27" fillId="0" borderId="0" applyAlignment="1" pivotButton="0" quotePrefix="0" xfId="0">
      <alignment horizontal="left" indent="3"/>
    </xf>
    <xf numFmtId="0" fontId="68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 vertical="center" textRotation="90" wrapText="1"/>
    </xf>
    <xf numFmtId="0" fontId="32" fillId="4" borderId="0" applyAlignment="1" pivotButton="0" quotePrefix="0" xfId="0">
      <alignment horizontal="center" vertical="center"/>
    </xf>
    <xf numFmtId="0" fontId="23" fillId="0" borderId="39" applyAlignment="1" pivotButton="0" quotePrefix="0" xfId="0">
      <alignment horizontal="center" vertical="center"/>
    </xf>
    <xf numFmtId="0" fontId="23" fillId="0" borderId="127" applyAlignment="1" pivotButton="0" quotePrefix="0" xfId="0">
      <alignment horizontal="center" vertical="center" wrapText="1"/>
    </xf>
    <xf numFmtId="0" fontId="23" fillId="0" borderId="128" applyAlignment="1" pivotButton="0" quotePrefix="0" xfId="0">
      <alignment horizontal="center" vertical="center"/>
    </xf>
    <xf numFmtId="0" fontId="23" fillId="0" borderId="129" applyAlignment="1" pivotButton="0" quotePrefix="0" xfId="0">
      <alignment horizontal="center" vertical="center"/>
    </xf>
    <xf numFmtId="0" fontId="23" fillId="0" borderId="60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24" fillId="0" borderId="60" applyAlignment="1" pivotButton="0" quotePrefix="0" xfId="0">
      <alignment horizontal="center" vertical="center" wrapText="1"/>
    </xf>
    <xf numFmtId="0" fontId="70" fillId="0" borderId="60" applyAlignment="1" pivotButton="0" quotePrefix="0" xfId="0">
      <alignment horizontal="center" vertical="center" wrapText="1"/>
    </xf>
    <xf numFmtId="0" fontId="71" fillId="8" borderId="130" applyAlignment="1" pivotButton="0" quotePrefix="0" xfId="0">
      <alignment horizontal="center" vertical="center"/>
    </xf>
    <xf numFmtId="0" fontId="44" fillId="15" borderId="132" applyAlignment="1" pivotButton="0" quotePrefix="0" xfId="0">
      <alignment horizontal="center" vertical="center" wrapText="1"/>
    </xf>
    <xf numFmtId="0" fontId="44" fillId="8" borderId="4" applyAlignment="1" pivotButton="0" quotePrefix="0" xfId="0">
      <alignment horizontal="center" vertical="center"/>
    </xf>
    <xf numFmtId="0" fontId="44" fillId="15" borderId="14" applyAlignment="1" pivotButton="0" quotePrefix="0" xfId="0">
      <alignment horizontal="center" vertical="center"/>
    </xf>
    <xf numFmtId="0" fontId="44" fillId="8" borderId="1" applyAlignment="1" pivotButton="0" quotePrefix="0" xfId="0">
      <alignment horizontal="center" vertical="center" wrapText="1"/>
    </xf>
    <xf numFmtId="0" fontId="44" fillId="8" borderId="4" applyAlignment="1" pivotButton="0" quotePrefix="0" xfId="0">
      <alignment horizontal="center" vertical="center" wrapText="1"/>
    </xf>
    <xf numFmtId="0" fontId="44" fillId="15" borderId="4" applyAlignment="1" pivotButton="0" quotePrefix="0" xfId="0">
      <alignment horizontal="center" vertical="center" wrapText="1"/>
    </xf>
    <xf numFmtId="0" fontId="44" fillId="15" borderId="14" applyAlignment="1" pivotButton="0" quotePrefix="0" xfId="0">
      <alignment horizontal="center" vertical="center" wrapText="1"/>
    </xf>
    <xf numFmtId="0" fontId="44" fillId="8" borderId="1" applyAlignment="1" pivotButton="0" quotePrefix="0" xfId="0">
      <alignment horizontal="center" vertical="center"/>
    </xf>
    <xf numFmtId="0" fontId="44" fillId="6" borderId="132" applyAlignment="1" pivotButton="0" quotePrefix="0" xfId="0">
      <alignment horizontal="center" vertical="center" wrapText="1"/>
    </xf>
    <xf numFmtId="0" fontId="46" fillId="6" borderId="0" applyAlignment="1" pivotButton="0" quotePrefix="0" xfId="0">
      <alignment vertical="center" textRotation="90"/>
    </xf>
    <xf numFmtId="41" fontId="31" fillId="7" borderId="5" applyAlignment="1" pivotButton="0" quotePrefix="0" xfId="1">
      <alignment horizontal="right" vertical="center"/>
    </xf>
    <xf numFmtId="0" fontId="30" fillId="6" borderId="75" applyAlignment="1" pivotButton="0" quotePrefix="0" xfId="0">
      <alignment horizontal="left" vertical="center" wrapText="1" indent="3"/>
    </xf>
    <xf numFmtId="0" fontId="30" fillId="16" borderId="75" applyAlignment="1" pivotButton="0" quotePrefix="0" xfId="0">
      <alignment horizontal="left" vertical="center" wrapText="1" indent="3"/>
    </xf>
    <xf numFmtId="0" fontId="30" fillId="16" borderId="76" pivotButton="0" quotePrefix="0" xfId="0"/>
    <xf numFmtId="0" fontId="30" fillId="16" borderId="74" applyAlignment="1" pivotButton="0" quotePrefix="0" xfId="0">
      <alignment horizontal="left" vertical="center" wrapText="1" indent="3"/>
    </xf>
    <xf numFmtId="0" fontId="30" fillId="16" borderId="56" pivotButton="0" quotePrefix="0" xfId="0"/>
    <xf numFmtId="0" fontId="30" fillId="6" borderId="73" applyAlignment="1" pivotButton="0" quotePrefix="0" xfId="0">
      <alignment horizontal="left" vertical="center" wrapText="1" indent="3"/>
    </xf>
    <xf numFmtId="0" fontId="27" fillId="0" borderId="81" pivotButton="0" quotePrefix="0" xfId="0"/>
    <xf numFmtId="168" fontId="37" fillId="9" borderId="134" applyAlignment="1" applyProtection="1" pivotButton="0" quotePrefix="0" xfId="1">
      <alignment horizontal="right" vertical="center"/>
      <protection locked="0" hidden="0"/>
    </xf>
    <xf numFmtId="41" fontId="31" fillId="7" borderId="9" applyAlignment="1" pivotButton="0" quotePrefix="0" xfId="1">
      <alignment horizontal="right" vertical="center"/>
    </xf>
    <xf numFmtId="41" fontId="31" fillId="9" borderId="135" applyAlignment="1" pivotButton="0" quotePrefix="0" xfId="1">
      <alignment horizontal="right" vertical="center"/>
    </xf>
    <xf numFmtId="42" fontId="35" fillId="9" borderId="135" applyAlignment="1" pivotButton="0" quotePrefix="0" xfId="0">
      <alignment horizontal="right" vertical="center"/>
    </xf>
    <xf numFmtId="167" fontId="35" fillId="9" borderId="135" pivotButton="0" quotePrefix="0" xfId="0"/>
    <xf numFmtId="167" fontId="35" fillId="9" borderId="136" applyAlignment="1" pivotButton="0" quotePrefix="0" xfId="0">
      <alignment horizontal="right" vertical="center"/>
    </xf>
    <xf numFmtId="0" fontId="32" fillId="9" borderId="135" applyAlignment="1" pivotButton="0" quotePrefix="1" xfId="0">
      <alignment vertical="center"/>
    </xf>
    <xf numFmtId="0" fontId="46" fillId="0" borderId="0" applyAlignment="1" pivotButton="0" quotePrefix="0" xfId="0">
      <alignment vertical="center" textRotation="90"/>
    </xf>
    <xf numFmtId="0" fontId="73" fillId="6" borderId="0" applyAlignment="1" pivotButton="0" quotePrefix="1" xfId="0">
      <alignment vertical="center"/>
    </xf>
    <xf numFmtId="41" fontId="73" fillId="6" borderId="0" applyAlignment="1" pivotButton="0" quotePrefix="0" xfId="1">
      <alignment horizontal="right" vertical="center"/>
    </xf>
    <xf numFmtId="0" fontId="45" fillId="9" borderId="63" pivotButton="0" quotePrefix="0" xfId="0"/>
    <xf numFmtId="2" fontId="30" fillId="16" borderId="22" pivotButton="0" quotePrefix="0" xfId="0"/>
    <xf numFmtId="2" fontId="30" fillId="6" borderId="24" pivotButton="0" quotePrefix="0" xfId="0"/>
    <xf numFmtId="2" fontId="30" fillId="16" borderId="24" pivotButton="0" quotePrefix="0" xfId="0"/>
    <xf numFmtId="0" fontId="34" fillId="0" borderId="137" applyAlignment="1" pivotButton="0" quotePrefix="0" xfId="0">
      <alignment horizontal="left" vertical="center"/>
    </xf>
    <xf numFmtId="0" fontId="35" fillId="0" borderId="138" applyAlignment="1" pivotButton="0" quotePrefix="0" xfId="0">
      <alignment horizontal="right" vertical="center"/>
    </xf>
    <xf numFmtId="0" fontId="31" fillId="0" borderId="139" applyAlignment="1" pivotButton="0" quotePrefix="1" xfId="0">
      <alignment vertical="center"/>
    </xf>
    <xf numFmtId="167" fontId="35" fillId="0" borderId="140" applyAlignment="1" pivotButton="0" quotePrefix="0" xfId="0">
      <alignment horizontal="right" vertical="center"/>
    </xf>
    <xf numFmtId="0" fontId="31" fillId="0" borderId="141" applyAlignment="1" pivotButton="0" quotePrefix="1" xfId="0">
      <alignment vertical="center"/>
    </xf>
    <xf numFmtId="167" fontId="35" fillId="0" borderId="142" applyAlignment="1" pivotButton="0" quotePrefix="0" xfId="0">
      <alignment horizontal="right" vertical="center"/>
    </xf>
    <xf numFmtId="0" fontId="31" fillId="0" borderId="143" applyAlignment="1" pivotButton="0" quotePrefix="1" xfId="0">
      <alignment vertical="center"/>
    </xf>
    <xf numFmtId="41" fontId="31" fillId="7" borderId="144" applyAlignment="1" pivotButton="0" quotePrefix="0" xfId="1">
      <alignment horizontal="right" vertical="center"/>
    </xf>
    <xf numFmtId="42" fontId="35" fillId="0" borderId="145" applyAlignment="1" pivotButton="0" quotePrefix="0" xfId="0">
      <alignment horizontal="right" vertical="center"/>
    </xf>
    <xf numFmtId="167" fontId="35" fillId="0" borderId="144" pivotButton="0" quotePrefix="0" xfId="0"/>
    <xf numFmtId="167" fontId="35" fillId="0" borderId="146" applyAlignment="1" pivotButton="0" quotePrefix="0" xfId="0">
      <alignment horizontal="right" vertical="center"/>
    </xf>
    <xf numFmtId="0" fontId="34" fillId="0" borderId="147" applyAlignment="1" pivotButton="0" quotePrefix="1" xfId="0">
      <alignment horizontal="left" vertical="center"/>
    </xf>
    <xf numFmtId="41" fontId="31" fillId="7" borderId="148" applyAlignment="1" pivotButton="0" quotePrefix="0" xfId="1">
      <alignment horizontal="right" vertical="center"/>
    </xf>
    <xf numFmtId="41" fontId="31" fillId="7" borderId="144" applyAlignment="1" pivotButton="0" quotePrefix="0" xfId="1">
      <alignment horizontal="right" vertical="center"/>
    </xf>
    <xf numFmtId="41" fontId="31" fillId="7" borderId="148" applyAlignment="1" pivotButton="0" quotePrefix="0" xfId="1">
      <alignment horizontal="right" vertical="center"/>
    </xf>
    <xf numFmtId="0" fontId="34" fillId="0" borderId="149" applyAlignment="1" pivotButton="0" quotePrefix="0" xfId="0">
      <alignment horizontal="left" vertical="center"/>
    </xf>
    <xf numFmtId="41" fontId="31" fillId="7" borderId="150" applyAlignment="1" pivotButton="0" quotePrefix="0" xfId="1">
      <alignment horizontal="right" vertical="center"/>
    </xf>
    <xf numFmtId="0" fontId="34" fillId="0" borderId="117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1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31" fillId="7" borderId="5" applyAlignment="1" pivotButton="0" quotePrefix="0" xfId="1">
      <alignment horizontal="right" vertical="center"/>
    </xf>
    <xf numFmtId="0" fontId="35" fillId="9" borderId="152" applyAlignment="1" pivotButton="0" quotePrefix="0" xfId="0">
      <alignment horizontal="right" vertical="center"/>
    </xf>
    <xf numFmtId="0" fontId="35" fillId="9" borderId="153" applyAlignment="1" pivotButton="0" quotePrefix="0" xfId="0">
      <alignment horizontal="right" vertical="center"/>
    </xf>
    <xf numFmtId="42" fontId="35" fillId="0" borderId="139" applyAlignment="1" pivotButton="0" quotePrefix="0" xfId="0">
      <alignment horizontal="right" vertical="center"/>
    </xf>
    <xf numFmtId="42" fontId="35" fillId="0" borderId="141" applyAlignment="1" pivotButton="0" quotePrefix="0" xfId="0">
      <alignment horizontal="right" vertical="center"/>
    </xf>
    <xf numFmtId="42" fontId="35" fillId="0" borderId="143" applyAlignment="1" pivotButton="0" quotePrefix="0" xfId="0">
      <alignment horizontal="right" vertical="center"/>
    </xf>
    <xf numFmtId="0" fontId="35" fillId="9" borderId="154" applyAlignment="1" pivotButton="0" quotePrefix="0" xfId="0">
      <alignment horizontal="right" vertical="center"/>
    </xf>
    <xf numFmtId="0" fontId="36" fillId="9" borderId="155" pivotButton="0" quotePrefix="0" xfId="0"/>
    <xf numFmtId="0" fontId="35" fillId="9" borderId="156" applyAlignment="1" pivotButton="0" quotePrefix="0" xfId="0">
      <alignment horizontal="right" vertical="center"/>
    </xf>
    <xf numFmtId="0" fontId="31" fillId="0" borderId="160" applyAlignment="1" pivotButton="0" quotePrefix="0" xfId="0">
      <alignment vertical="center"/>
    </xf>
    <xf numFmtId="0" fontId="31" fillId="0" borderId="161" applyAlignment="1" pivotButton="0" quotePrefix="1" xfId="0">
      <alignment vertical="center"/>
    </xf>
    <xf numFmtId="41" fontId="31" fillId="7" borderId="164" applyAlignment="1" pivotButton="0" quotePrefix="0" xfId="1">
      <alignment horizontal="right" vertical="center"/>
    </xf>
    <xf numFmtId="0" fontId="47" fillId="0" borderId="170" applyAlignment="1" pivotButton="0" quotePrefix="0" xfId="0">
      <alignment horizontal="center" vertical="center"/>
    </xf>
    <xf numFmtId="168" fontId="35" fillId="9" borderId="152" applyAlignment="1" pivotButton="0" quotePrefix="0" xfId="0">
      <alignment horizontal="right" vertical="center"/>
    </xf>
    <xf numFmtId="168" fontId="35" fillId="9" borderId="154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 indent="3"/>
    </xf>
    <xf numFmtId="0" fontId="27" fillId="0" borderId="0" applyAlignment="1" pivotButton="0" quotePrefix="0" xfId="0">
      <alignment horizontal="left" vertical="center" indent="3"/>
    </xf>
    <xf numFmtId="0" fontId="27" fillId="0" borderId="0" applyAlignment="1" pivotButton="0" quotePrefix="0" xfId="0">
      <alignment horizontal="left" vertical="center" indent="2"/>
    </xf>
    <xf numFmtId="0" fontId="76" fillId="0" borderId="0" pivotButton="0" quotePrefix="0" xfId="0"/>
    <xf numFmtId="0" fontId="77" fillId="0" borderId="0" applyAlignment="1" pivotButton="0" quotePrefix="0" xfId="0">
      <alignment vertical="center"/>
    </xf>
    <xf numFmtId="171" fontId="75" fillId="0" borderId="32" pivotButton="0" quotePrefix="0" xfId="0"/>
    <xf numFmtId="41" fontId="78" fillId="7" borderId="0" applyAlignment="1" pivotButton="0" quotePrefix="0" xfId="1">
      <alignment horizontal="right" vertical="center"/>
    </xf>
    <xf numFmtId="0" fontId="79" fillId="4" borderId="0" applyAlignment="1" pivotButton="0" quotePrefix="0" xfId="0">
      <alignment horizontal="center" vertical="center"/>
    </xf>
    <xf numFmtId="0" fontId="34" fillId="0" borderId="157" applyAlignment="1" pivotButton="0" quotePrefix="0" xfId="0">
      <alignment horizontal="left" vertical="center"/>
    </xf>
    <xf numFmtId="41" fontId="31" fillId="7" borderId="0" applyAlignment="1" pivotButton="0" quotePrefix="0" xfId="1">
      <alignment horizontal="right" vertical="center"/>
    </xf>
    <xf numFmtId="167" fontId="35" fillId="0" borderId="157" applyAlignment="1" pivotButton="0" quotePrefix="0" xfId="0">
      <alignment horizontal="right" vertical="center"/>
    </xf>
    <xf numFmtId="0" fontId="34" fillId="0" borderId="12" applyAlignment="1" pivotButton="0" quotePrefix="1" xfId="0">
      <alignment horizontal="left" vertical="center"/>
    </xf>
    <xf numFmtId="0" fontId="31" fillId="0" borderId="80" applyAlignment="1" pivotButton="0" quotePrefix="1" xfId="0">
      <alignment vertical="center"/>
    </xf>
    <xf numFmtId="42" fontId="35" fillId="0" borderId="176" applyAlignment="1" pivotButton="0" quotePrefix="0" xfId="0">
      <alignment horizontal="right" vertical="center"/>
    </xf>
    <xf numFmtId="42" fontId="35" fillId="0" borderId="175" applyAlignment="1" pivotButton="0" quotePrefix="0" xfId="0">
      <alignment horizontal="right" vertical="center"/>
    </xf>
    <xf numFmtId="0" fontId="35" fillId="0" borderId="179" applyAlignment="1" pivotButton="0" quotePrefix="0" xfId="0">
      <alignment horizontal="right" vertical="center"/>
    </xf>
    <xf numFmtId="0" fontId="31" fillId="0" borderId="180" applyAlignment="1" pivotButton="0" quotePrefix="1" xfId="0">
      <alignment vertical="center"/>
    </xf>
    <xf numFmtId="42" fontId="35" fillId="0" borderId="150" applyAlignment="1" pivotButton="0" quotePrefix="0" xfId="0">
      <alignment horizontal="right" vertical="center"/>
    </xf>
    <xf numFmtId="0" fontId="31" fillId="0" borderId="184" applyAlignment="1" pivotButton="0" quotePrefix="1" xfId="0">
      <alignment vertical="center"/>
    </xf>
    <xf numFmtId="41" fontId="31" fillId="7" borderId="185" applyAlignment="1" pivotButton="0" quotePrefix="0" xfId="1">
      <alignment horizontal="right" vertical="center"/>
    </xf>
    <xf numFmtId="41" fontId="31" fillId="7" borderId="186" applyAlignment="1" pivotButton="0" quotePrefix="0" xfId="1">
      <alignment horizontal="right" vertical="center"/>
    </xf>
    <xf numFmtId="0" fontId="77" fillId="0" borderId="0" applyAlignment="1" pivotButton="0" quotePrefix="0" xfId="0">
      <alignment vertical="center" wrapText="1"/>
    </xf>
    <xf numFmtId="0" fontId="80" fillId="0" borderId="30" applyAlignment="1" pivotButton="0" quotePrefix="0" xfId="0">
      <alignment horizontal="center" wrapText="1"/>
    </xf>
    <xf numFmtId="17" fontId="50" fillId="0" borderId="171" applyAlignment="1" pivotButton="0" quotePrefix="0" xfId="0">
      <alignment horizontal="center"/>
    </xf>
    <xf numFmtId="1" fontId="66" fillId="0" borderId="0" pivotButton="0" quotePrefix="0" xfId="0"/>
    <xf numFmtId="171" fontId="50" fillId="2" borderId="188" pivotButton="0" quotePrefix="0" xfId="0"/>
    <xf numFmtId="171" fontId="51" fillId="0" borderId="182" pivotButton="0" quotePrefix="0" xfId="0"/>
    <xf numFmtId="1" fontId="27" fillId="0" borderId="182" pivotButton="0" quotePrefix="0" xfId="0"/>
    <xf numFmtId="0" fontId="0" fillId="0" borderId="182" pivotButton="0" quotePrefix="0" xfId="0"/>
    <xf numFmtId="171" fontId="51" fillId="2" borderId="188" pivotButton="0" quotePrefix="0" xfId="3"/>
    <xf numFmtId="171" fontId="50" fillId="0" borderId="182" pivotButton="0" quotePrefix="0" xfId="0"/>
    <xf numFmtId="171" fontId="49" fillId="0" borderId="182" pivotButton="0" quotePrefix="0" xfId="0"/>
    <xf numFmtId="168" fontId="35" fillId="9" borderId="193" applyAlignment="1" pivotButton="0" quotePrefix="0" xfId="0">
      <alignment horizontal="right" vertical="center"/>
    </xf>
    <xf numFmtId="0" fontId="36" fillId="9" borderId="194" pivotButton="0" quotePrefix="0" xfId="0"/>
    <xf numFmtId="0" fontId="35" fillId="9" borderId="195" applyAlignment="1" pivotButton="0" quotePrefix="0" xfId="0">
      <alignment horizontal="right" vertical="center"/>
    </xf>
    <xf numFmtId="42" fontId="35" fillId="0" borderId="196" applyAlignment="1" pivotButton="0" quotePrefix="0" xfId="0">
      <alignment horizontal="right" vertical="center"/>
    </xf>
    <xf numFmtId="0" fontId="27" fillId="0" borderId="120" pivotButton="0" quotePrefix="0" xfId="0"/>
    <xf numFmtId="0" fontId="27" fillId="0" borderId="121" pivotButton="0" quotePrefix="0" xfId="0"/>
    <xf numFmtId="0" fontId="31" fillId="0" borderId="150" applyAlignment="1" pivotButton="0" quotePrefix="1" xfId="0">
      <alignment vertical="center"/>
    </xf>
    <xf numFmtId="0" fontId="81" fillId="6" borderId="0" applyAlignment="1" pivotButton="0" quotePrefix="1" xfId="0">
      <alignment vertical="center"/>
    </xf>
    <xf numFmtId="42" fontId="82" fillId="6" borderId="0" applyAlignment="1" pivotButton="0" quotePrefix="0" xfId="0">
      <alignment horizontal="right" vertical="center"/>
    </xf>
    <xf numFmtId="167" fontId="82" fillId="6" borderId="0" pivotButton="0" quotePrefix="0" xfId="0"/>
    <xf numFmtId="167" fontId="82" fillId="6" borderId="0" applyAlignment="1" pivotButton="0" quotePrefix="0" xfId="0">
      <alignment horizontal="right" vertical="center"/>
    </xf>
    <xf numFmtId="171" fontId="57" fillId="0" borderId="0" applyAlignment="1" pivotButton="0" quotePrefix="0" xfId="0">
      <alignment horizontal="left" indent="3"/>
    </xf>
    <xf numFmtId="0" fontId="83" fillId="0" borderId="0" applyAlignment="1" pivotButton="0" quotePrefix="0" xfId="0">
      <alignment horizontal="left"/>
    </xf>
    <xf numFmtId="0" fontId="48" fillId="0" borderId="162" applyAlignment="1" pivotButton="0" quotePrefix="0" xfId="0">
      <alignment horizontal="center"/>
    </xf>
    <xf numFmtId="171" fontId="51" fillId="0" borderId="197" pivotButton="0" quotePrefix="0" xfId="0"/>
    <xf numFmtId="171" fontId="51" fillId="0" borderId="198" pivotButton="0" quotePrefix="0" xfId="0"/>
    <xf numFmtId="171" fontId="57" fillId="0" borderId="117" pivotButton="0" quotePrefix="0" xfId="0"/>
    <xf numFmtId="171" fontId="51" fillId="0" borderId="199" pivotButton="0" quotePrefix="0" xfId="0"/>
    <xf numFmtId="171" fontId="51" fillId="0" borderId="200" pivotButton="0" quotePrefix="0" xfId="0"/>
    <xf numFmtId="171" fontId="51" fillId="0" borderId="201" pivotButton="0" quotePrefix="0" xfId="0"/>
    <xf numFmtId="171" fontId="50" fillId="11" borderId="171" applyAlignment="1" pivotButton="0" quotePrefix="0" xfId="0">
      <alignment horizontal="left"/>
    </xf>
    <xf numFmtId="171" fontId="50" fillId="11" borderId="171" applyAlignment="1" pivotButton="0" quotePrefix="0" xfId="0">
      <alignment horizontal="center"/>
    </xf>
    <xf numFmtId="171" fontId="84" fillId="11" borderId="171" applyAlignment="1" applyProtection="1" pivotButton="0" quotePrefix="0" xfId="0">
      <alignment horizontal="center"/>
      <protection locked="0" hidden="0"/>
    </xf>
    <xf numFmtId="171" fontId="53" fillId="11" borderId="171" pivotButton="0" quotePrefix="0" xfId="0"/>
    <xf numFmtId="171" fontId="50" fillId="11" borderId="171" pivotButton="0" quotePrefix="0" xfId="0"/>
    <xf numFmtId="0" fontId="85" fillId="0" borderId="0" pivotButton="0" quotePrefix="0" xfId="0"/>
    <xf numFmtId="171" fontId="50" fillId="11" borderId="203" pivotButton="0" quotePrefix="0" xfId="0"/>
    <xf numFmtId="0" fontId="53" fillId="0" borderId="181" applyAlignment="1" pivotButton="0" quotePrefix="0" xfId="0">
      <alignment horizontal="center" vertical="center"/>
    </xf>
    <xf numFmtId="0" fontId="53" fillId="0" borderId="204" applyAlignment="1" pivotButton="0" quotePrefix="0" xfId="0">
      <alignment horizontal="center" vertical="center"/>
    </xf>
    <xf numFmtId="0" fontId="49" fillId="0" borderId="182" pivotButton="0" quotePrefix="0" xfId="0"/>
    <xf numFmtId="0" fontId="27" fillId="0" borderId="182" pivotButton="0" quotePrefix="0" xfId="0"/>
    <xf numFmtId="171" fontId="53" fillId="11" borderId="188" pivotButton="0" quotePrefix="0" xfId="0"/>
    <xf numFmtId="171" fontId="57" fillId="0" borderId="182" pivotButton="0" quotePrefix="0" xfId="0"/>
    <xf numFmtId="171" fontId="53" fillId="11" borderId="205" pivotButton="0" quotePrefix="0" xfId="0"/>
    <xf numFmtId="166" fontId="49" fillId="0" borderId="183" pivotButton="0" quotePrefix="0" xfId="0"/>
    <xf numFmtId="0" fontId="60" fillId="0" borderId="0" applyAlignment="1" pivotButton="0" quotePrefix="0" xfId="0">
      <alignment horizontal="left" indent="1"/>
    </xf>
    <xf numFmtId="0" fontId="86" fillId="0" borderId="0" applyAlignment="1" pivotButton="0" quotePrefix="0" xfId="0">
      <alignment horizontal="left"/>
    </xf>
    <xf numFmtId="0" fontId="75" fillId="0" borderId="0" applyAlignment="1" pivotButton="0" quotePrefix="0" xfId="0">
      <alignment horizontal="left"/>
    </xf>
    <xf numFmtId="0" fontId="75" fillId="0" borderId="0" applyAlignment="1" pivotButton="0" quotePrefix="0" xfId="0">
      <alignment horizontal="left" indent="1"/>
    </xf>
    <xf numFmtId="0" fontId="75" fillId="0" borderId="0" applyAlignment="1" pivotButton="0" quotePrefix="0" xfId="0">
      <alignment horizontal="left" indent="2"/>
    </xf>
    <xf numFmtId="0" fontId="75" fillId="0" borderId="0" applyAlignment="1" pivotButton="0" quotePrefix="0" xfId="0">
      <alignment horizontal="left" indent="3"/>
    </xf>
    <xf numFmtId="0" fontId="86" fillId="0" borderId="0" applyAlignment="1" pivotButton="0" quotePrefix="0" xfId="0">
      <alignment horizontal="left" indent="1"/>
    </xf>
    <xf numFmtId="0" fontId="27" fillId="0" borderId="122" pivotButton="0" quotePrefix="0" xfId="0"/>
    <xf numFmtId="0" fontId="30" fillId="6" borderId="191" pivotButton="0" quotePrefix="0" xfId="0"/>
    <xf numFmtId="0" fontId="30" fillId="4" borderId="191" pivotButton="0" quotePrefix="0" xfId="0"/>
    <xf numFmtId="0" fontId="59" fillId="9" borderId="213" applyAlignment="1" pivotButton="0" quotePrefix="0" xfId="0">
      <alignment vertical="center"/>
    </xf>
    <xf numFmtId="0" fontId="30" fillId="9" borderId="214" pivotButton="0" quotePrefix="0" xfId="0"/>
    <xf numFmtId="170" fontId="30" fillId="9" borderId="212" pivotButton="0" quotePrefix="0" xfId="0"/>
    <xf numFmtId="0" fontId="30" fillId="6" borderId="206" applyAlignment="1" pivotButton="0" quotePrefix="0" xfId="0">
      <alignment horizontal="left" vertical="center" indent="3"/>
    </xf>
    <xf numFmtId="170" fontId="30" fillId="6" borderId="215" pivotButton="0" quotePrefix="0" xfId="0"/>
    <xf numFmtId="0" fontId="30" fillId="4" borderId="206" applyAlignment="1" pivotButton="0" quotePrefix="0" xfId="0">
      <alignment horizontal="left" vertical="center" indent="3"/>
    </xf>
    <xf numFmtId="170" fontId="30" fillId="4" borderId="215" pivotButton="0" quotePrefix="0" xfId="0"/>
    <xf numFmtId="0" fontId="59" fillId="9" borderId="217" applyAlignment="1" pivotButton="0" quotePrefix="0" xfId="0">
      <alignment vertical="center"/>
    </xf>
    <xf numFmtId="0" fontId="30" fillId="9" borderId="192" pivotButton="0" quotePrefix="0" xfId="0"/>
    <xf numFmtId="0" fontId="45" fillId="9" borderId="192" pivotButton="0" quotePrefix="0" xfId="0"/>
    <xf numFmtId="170" fontId="30" fillId="9" borderId="218" pivotButton="0" quotePrefix="0" xfId="0"/>
    <xf numFmtId="0" fontId="30" fillId="16" borderId="191" pivotButton="0" quotePrefix="0" xfId="0"/>
    <xf numFmtId="2" fontId="30" fillId="16" borderId="191" pivotButton="0" quotePrefix="0" xfId="0"/>
    <xf numFmtId="2" fontId="30" fillId="6" borderId="191" pivotButton="0" quotePrefix="0" xfId="0"/>
    <xf numFmtId="0" fontId="59" fillId="9" borderId="36" applyAlignment="1" pivotButton="0" quotePrefix="0" xfId="0">
      <alignment vertical="center"/>
    </xf>
    <xf numFmtId="0" fontId="59" fillId="9" borderId="219" applyAlignment="1" pivotButton="0" quotePrefix="0" xfId="0">
      <alignment horizontal="center" vertical="center" wrapText="1"/>
    </xf>
    <xf numFmtId="0" fontId="59" fillId="9" borderId="208" applyAlignment="1" pivotButton="0" quotePrefix="0" xfId="0">
      <alignment horizontal="center" vertical="center" wrapText="1"/>
    </xf>
    <xf numFmtId="0" fontId="59" fillId="9" borderId="209" applyAlignment="1" pivotButton="0" quotePrefix="0" xfId="0">
      <alignment horizontal="center" vertical="center" wrapText="1"/>
    </xf>
    <xf numFmtId="0" fontId="30" fillId="6" borderId="206" applyAlignment="1" pivotButton="0" quotePrefix="0" xfId="0">
      <alignment horizontal="left" vertical="center" wrapText="1" indent="3"/>
    </xf>
    <xf numFmtId="0" fontId="30" fillId="16" borderId="206" applyAlignment="1" pivotButton="0" quotePrefix="0" xfId="0">
      <alignment horizontal="left" vertical="center" wrapText="1" indent="3"/>
    </xf>
    <xf numFmtId="170" fontId="30" fillId="16" borderId="215" pivotButton="0" quotePrefix="0" xfId="0"/>
    <xf numFmtId="0" fontId="30" fillId="16" borderId="211" applyAlignment="1" pivotButton="0" quotePrefix="0" xfId="0">
      <alignment horizontal="left" vertical="center" wrapText="1" indent="3"/>
    </xf>
    <xf numFmtId="0" fontId="30" fillId="16" borderId="216" pivotButton="0" quotePrefix="0" xfId="0"/>
    <xf numFmtId="2" fontId="30" fillId="16" borderId="216" pivotButton="0" quotePrefix="0" xfId="0"/>
    <xf numFmtId="170" fontId="30" fillId="16" borderId="210" pivotButton="0" quotePrefix="0" xfId="0"/>
    <xf numFmtId="0" fontId="30" fillId="4" borderId="220" applyAlignment="1" pivotButton="0" quotePrefix="0" xfId="0">
      <alignment horizontal="left" vertical="center" indent="3"/>
    </xf>
    <xf numFmtId="0" fontId="30" fillId="4" borderId="190" pivotButton="0" quotePrefix="0" xfId="0"/>
    <xf numFmtId="170" fontId="30" fillId="4" borderId="221" pivotButton="0" quotePrefix="0" xfId="0"/>
    <xf numFmtId="0" fontId="30" fillId="4" borderId="206" applyAlignment="1" pivotButton="0" quotePrefix="0" xfId="0">
      <alignment horizontal="left" vertical="center" indent="2"/>
    </xf>
    <xf numFmtId="0" fontId="30" fillId="6" borderId="211" applyAlignment="1" pivotButton="0" quotePrefix="0" xfId="0">
      <alignment horizontal="left" vertical="center" indent="2"/>
    </xf>
    <xf numFmtId="0" fontId="30" fillId="6" borderId="216" pivotButton="0" quotePrefix="0" xfId="0"/>
    <xf numFmtId="170" fontId="30" fillId="6" borderId="210" pivotButton="0" quotePrefix="0" xfId="0"/>
    <xf numFmtId="1" fontId="3" fillId="0" borderId="0" pivotButton="0" quotePrefix="0" xfId="0"/>
    <xf numFmtId="0" fontId="3" fillId="0" borderId="0" pivotButton="0" quotePrefix="0" xfId="0"/>
    <xf numFmtId="0" fontId="88" fillId="0" borderId="0" pivotButton="0" quotePrefix="0" xfId="0"/>
    <xf numFmtId="0" fontId="88" fillId="12" borderId="102" pivotButton="0" quotePrefix="0" xfId="0"/>
    <xf numFmtId="0" fontId="88" fillId="12" borderId="99" pivotButton="0" quotePrefix="0" xfId="0"/>
    <xf numFmtId="0" fontId="90" fillId="12" borderId="99" applyAlignment="1" pivotButton="0" quotePrefix="0" xfId="0">
      <alignment horizontal="center" vertical="center"/>
    </xf>
    <xf numFmtId="0" fontId="91" fillId="12" borderId="99" applyAlignment="1" pivotButton="0" quotePrefix="0" xfId="0">
      <alignment horizontal="center" vertical="center"/>
    </xf>
    <xf numFmtId="0" fontId="90" fillId="12" borderId="103" applyAlignment="1" pivotButton="0" quotePrefix="0" xfId="0">
      <alignment horizontal="center" vertical="center"/>
    </xf>
    <xf numFmtId="0" fontId="88" fillId="0" borderId="104" pivotButton="0" quotePrefix="0" xfId="0"/>
    <xf numFmtId="0" fontId="88" fillId="0" borderId="105" applyAlignment="1" pivotButton="0" quotePrefix="0" xfId="0">
      <alignment horizontal="left" vertical="top" wrapText="1"/>
    </xf>
    <xf numFmtId="0" fontId="88" fillId="12" borderId="96" pivotButton="0" quotePrefix="0" xfId="0"/>
    <xf numFmtId="0" fontId="88" fillId="0" borderId="105" applyAlignment="1" pivotButton="0" quotePrefix="0" xfId="0">
      <alignment horizontal="left" vertical="center" wrapText="1"/>
    </xf>
    <xf numFmtId="0" fontId="88" fillId="0" borderId="104" applyAlignment="1" pivotButton="0" quotePrefix="0" xfId="0">
      <alignment horizontal="left" indent="2"/>
    </xf>
    <xf numFmtId="0" fontId="88" fillId="0" borderId="97" pivotButton="0" quotePrefix="0" xfId="0"/>
    <xf numFmtId="174" fontId="88" fillId="0" borderId="81" pivotButton="0" quotePrefix="0" xfId="0"/>
    <xf numFmtId="170" fontId="88" fillId="0" borderId="0" pivotButton="0" quotePrefix="0" xfId="2"/>
    <xf numFmtId="0" fontId="88" fillId="0" borderId="106" pivotButton="0" quotePrefix="0" xfId="0"/>
    <xf numFmtId="0" fontId="88" fillId="0" borderId="107" pivotButton="0" quotePrefix="0" xfId="0"/>
    <xf numFmtId="0" fontId="88" fillId="0" borderId="108" pivotButton="0" quotePrefix="0" xfId="0"/>
    <xf numFmtId="0" fontId="2" fillId="0" borderId="0" pivotButton="0" quotePrefix="0" xfId="0"/>
    <xf numFmtId="0" fontId="45" fillId="9" borderId="222" pivotButton="0" quotePrefix="0" xfId="0"/>
    <xf numFmtId="0" fontId="59" fillId="9" borderId="4" applyAlignment="1" pivotButton="0" quotePrefix="0" xfId="0">
      <alignment vertical="center"/>
    </xf>
    <xf numFmtId="0" fontId="30" fillId="9" borderId="20" pivotButton="0" quotePrefix="0" xfId="0"/>
    <xf numFmtId="170" fontId="30" fillId="9" borderId="84" pivotButton="0" quotePrefix="0" xfId="0"/>
    <xf numFmtId="0" fontId="30" fillId="4" borderId="73" applyAlignment="1" pivotButton="0" quotePrefix="0" xfId="0">
      <alignment horizontal="left" vertical="center" indent="2"/>
    </xf>
    <xf numFmtId="0" fontId="30" fillId="4" borderId="66" pivotButton="0" quotePrefix="0" xfId="0"/>
    <xf numFmtId="170" fontId="30" fillId="4" borderId="67" pivotButton="0" quotePrefix="0" xfId="0"/>
    <xf numFmtId="0" fontId="53" fillId="0" borderId="0" pivotButton="0" quotePrefix="0" xfId="0"/>
    <xf numFmtId="0" fontId="49" fillId="6" borderId="0" applyAlignment="1" pivotButton="0" quotePrefix="0" xfId="0">
      <alignment horizontal="left" indent="1"/>
    </xf>
    <xf numFmtId="175" fontId="96" fillId="6" borderId="0" pivotButton="0" quotePrefix="0" xfId="2"/>
    <xf numFmtId="0" fontId="49" fillId="4" borderId="0" applyAlignment="1" pivotButton="0" quotePrefix="0" xfId="0">
      <alignment horizontal="left" indent="1"/>
    </xf>
    <xf numFmtId="175" fontId="96" fillId="4" borderId="0" pivotButton="0" quotePrefix="0" xfId="2"/>
    <xf numFmtId="0" fontId="49" fillId="0" borderId="0" applyAlignment="1" pivotButton="0" quotePrefix="0" xfId="0">
      <alignment horizontal="left" indent="1"/>
    </xf>
    <xf numFmtId="175" fontId="96" fillId="0" borderId="0" pivotButton="0" quotePrefix="0" xfId="2"/>
    <xf numFmtId="174" fontId="49" fillId="0" borderId="6" pivotButton="0" quotePrefix="0" xfId="2"/>
    <xf numFmtId="0" fontId="49" fillId="0" borderId="6" pivotButton="0" quotePrefix="0" xfId="0"/>
    <xf numFmtId="1" fontId="49" fillId="0" borderId="0" applyAlignment="1" pivotButton="0" quotePrefix="0" xfId="0">
      <alignment horizontal="right"/>
    </xf>
    <xf numFmtId="2" fontId="49" fillId="0" borderId="0" pivotButton="0" quotePrefix="0" xfId="0"/>
    <xf numFmtId="2" fontId="49" fillId="0" borderId="12" applyAlignment="1" pivotButton="0" quotePrefix="0" xfId="0">
      <alignment wrapText="1"/>
    </xf>
    <xf numFmtId="2" fontId="49" fillId="0" borderId="6" pivotButton="0" quotePrefix="0" xfId="0"/>
    <xf numFmtId="1" fontId="49" fillId="0" borderId="0" pivotButton="0" quotePrefix="0" xfId="0"/>
    <xf numFmtId="2" fontId="49" fillId="0" borderId="0" applyAlignment="1" pivotButton="0" quotePrefix="0" xfId="0">
      <alignment wrapText="1"/>
    </xf>
    <xf numFmtId="1" fontId="49" fillId="0" borderId="12" pivotButton="0" quotePrefix="0" xfId="0"/>
    <xf numFmtId="0" fontId="49" fillId="0" borderId="12" pivotButton="0" quotePrefix="0" xfId="0"/>
    <xf numFmtId="1" fontId="30" fillId="16" borderId="79" pivotButton="0" quotePrefix="0" xfId="0"/>
    <xf numFmtId="1" fontId="30" fillId="6" borderId="7" pivotButton="0" quotePrefix="0" xfId="0"/>
    <xf numFmtId="0" fontId="30" fillId="16" borderId="7" pivotButton="0" quotePrefix="0" xfId="0"/>
    <xf numFmtId="0" fontId="30" fillId="9" borderId="222" pivotButton="0" quotePrefix="0" xfId="0"/>
    <xf numFmtId="0" fontId="30" fillId="6" borderId="189" pivotButton="0" quotePrefix="0" xfId="0"/>
    <xf numFmtId="0" fontId="30" fillId="4" borderId="189" pivotButton="0" quotePrefix="0" xfId="0"/>
    <xf numFmtId="0" fontId="30" fillId="9" borderId="114" pivotButton="0" quotePrefix="0" xfId="0"/>
    <xf numFmtId="1" fontId="30" fillId="4" borderId="65" pivotButton="0" quotePrefix="0" xfId="0"/>
    <xf numFmtId="1" fontId="30" fillId="6" borderId="69" pivotButton="0" quotePrefix="0" xfId="0"/>
    <xf numFmtId="0" fontId="30" fillId="4" borderId="65" pivotButton="0" quotePrefix="0" xfId="0"/>
    <xf numFmtId="0" fontId="29" fillId="0" borderId="116" applyAlignment="1" pivotButton="0" quotePrefix="0" xfId="0">
      <alignment horizontal="center" vertical="center"/>
    </xf>
    <xf numFmtId="0" fontId="29" fillId="0" borderId="223" applyAlignment="1" pivotButton="0" quotePrefix="0" xfId="0">
      <alignment horizontal="center" vertical="center" wrapText="1"/>
    </xf>
    <xf numFmtId="0" fontId="29" fillId="0" borderId="224" applyAlignment="1" pivotButton="0" quotePrefix="0" xfId="0">
      <alignment horizontal="center" vertical="center" wrapText="1"/>
    </xf>
    <xf numFmtId="0" fontId="29" fillId="0" borderId="225" applyAlignment="1" pivotButton="0" quotePrefix="0" xfId="0">
      <alignment horizontal="center" vertical="center" wrapText="1"/>
    </xf>
    <xf numFmtId="0" fontId="59" fillId="9" borderId="2" applyAlignment="1" pivotButton="0" quotePrefix="0" xfId="0">
      <alignment horizontal="center" vertical="center" wrapText="1"/>
    </xf>
    <xf numFmtId="0" fontId="59" fillId="9" borderId="3" applyAlignment="1" pivotButton="0" quotePrefix="0" xfId="0">
      <alignment horizontal="center" vertical="center" wrapText="1"/>
    </xf>
    <xf numFmtId="0" fontId="30" fillId="16" borderId="22" pivotButton="0" quotePrefix="0" xfId="0"/>
    <xf numFmtId="2" fontId="30" fillId="6" borderId="22" pivotButton="0" quotePrefix="0" xfId="0"/>
    <xf numFmtId="0" fontId="30" fillId="16" borderId="70" pivotButton="0" quotePrefix="0" xfId="0"/>
    <xf numFmtId="0" fontId="30" fillId="9" borderId="66" pivotButton="0" quotePrefix="0" xfId="0"/>
    <xf numFmtId="0" fontId="45" fillId="9" borderId="66" pivotButton="0" quotePrefix="0" xfId="0"/>
    <xf numFmtId="0" fontId="30" fillId="4" borderId="56" applyAlignment="1" pivotButton="0" quotePrefix="0" xfId="0">
      <alignment horizontal="left" vertical="center" indent="2"/>
    </xf>
    <xf numFmtId="0" fontId="30" fillId="6" borderId="69" applyAlignment="1" pivotButton="0" quotePrefix="0" xfId="0">
      <alignment horizontal="left" vertical="center" indent="2"/>
    </xf>
    <xf numFmtId="0" fontId="102" fillId="0" borderId="0" pivotButton="0" quotePrefix="0" xfId="0"/>
    <xf numFmtId="41" fontId="31" fillId="7" borderId="11" applyAlignment="1" pivotButton="0" quotePrefix="0" xfId="1">
      <alignment horizontal="right" vertical="center"/>
    </xf>
    <xf numFmtId="41" fontId="31" fillId="7" borderId="228" applyAlignment="1" pivotButton="0" quotePrefix="0" xfId="1">
      <alignment horizontal="right" vertical="center"/>
    </xf>
    <xf numFmtId="42" fontId="35" fillId="0" borderId="229" applyAlignment="1" pivotButton="0" quotePrefix="0" xfId="0">
      <alignment horizontal="right" vertical="center"/>
    </xf>
    <xf numFmtId="167" fontId="35" fillId="0" borderId="230" pivotButton="0" quotePrefix="0" xfId="0"/>
    <xf numFmtId="167" fontId="35" fillId="0" borderId="227" applyAlignment="1" pivotButton="0" quotePrefix="0" xfId="0">
      <alignment horizontal="right" vertical="center"/>
    </xf>
    <xf numFmtId="42" fontId="35" fillId="0" borderId="231" applyAlignment="1" pivotButton="0" quotePrefix="0" xfId="0">
      <alignment horizontal="right" vertical="center"/>
    </xf>
    <xf numFmtId="167" fontId="35" fillId="0" borderId="232" pivotButton="0" quotePrefix="0" xfId="0"/>
    <xf numFmtId="167" fontId="35" fillId="0" borderId="233" applyAlignment="1" pivotButton="0" quotePrefix="0" xfId="0">
      <alignment horizontal="right" vertical="center"/>
    </xf>
    <xf numFmtId="41" fontId="31" fillId="7" borderId="234" applyAlignment="1" pivotButton="0" quotePrefix="0" xfId="1">
      <alignment horizontal="right" vertical="center"/>
    </xf>
    <xf numFmtId="0" fontId="27" fillId="0" borderId="235" pivotButton="0" quotePrefix="0" xfId="0"/>
    <xf numFmtId="42" fontId="35" fillId="0" borderId="236" applyAlignment="1" pivotButton="0" quotePrefix="0" xfId="0">
      <alignment horizontal="right" vertical="center"/>
    </xf>
    <xf numFmtId="0" fontId="35" fillId="0" borderId="237" applyAlignment="1" pivotButton="0" quotePrefix="0" xfId="0">
      <alignment horizontal="right" vertical="center"/>
    </xf>
    <xf numFmtId="0" fontId="36" fillId="0" borderId="238" pivotButton="0" quotePrefix="0" xfId="0"/>
    <xf numFmtId="0" fontId="36" fillId="0" borderId="239" pivotButton="0" quotePrefix="0" xfId="0"/>
    <xf numFmtId="0" fontId="34" fillId="0" borderId="240" applyAlignment="1" pivotButton="0" quotePrefix="0" xfId="0">
      <alignment horizontal="left" vertical="center"/>
    </xf>
    <xf numFmtId="41" fontId="31" fillId="7" borderId="9" applyAlignment="1" pivotButton="0" quotePrefix="0" xfId="1">
      <alignment horizontal="right" vertical="center"/>
    </xf>
    <xf numFmtId="167" fontId="35" fillId="0" borderId="241" applyAlignment="1" pivotButton="0" quotePrefix="0" xfId="0">
      <alignment horizontal="right" vertical="center"/>
    </xf>
    <xf numFmtId="167" fontId="35" fillId="0" borderId="233" pivotButton="0" quotePrefix="0" xfId="0"/>
    <xf numFmtId="0" fontId="34" fillId="0" borderId="189" applyAlignment="1" pivotButton="0" quotePrefix="0" xfId="0">
      <alignment horizontal="left" vertical="center"/>
    </xf>
    <xf numFmtId="41" fontId="31" fillId="7" borderId="243" applyAlignment="1" pivotButton="0" quotePrefix="0" xfId="1">
      <alignment horizontal="right" vertical="center"/>
    </xf>
    <xf numFmtId="42" fontId="35" fillId="0" borderId="242" applyAlignment="1" pivotButton="0" quotePrefix="0" xfId="0">
      <alignment horizontal="right" vertical="center"/>
    </xf>
    <xf numFmtId="0" fontId="35" fillId="0" borderId="245" applyAlignment="1" pivotButton="0" quotePrefix="0" xfId="0">
      <alignment horizontal="right" vertical="center"/>
    </xf>
    <xf numFmtId="0" fontId="34" fillId="0" borderId="244" applyAlignment="1" pivotButton="0" quotePrefix="0" xfId="0">
      <alignment horizontal="left" vertical="center"/>
    </xf>
    <xf numFmtId="42" fontId="35" fillId="0" borderId="246" applyAlignment="1" pivotButton="0" quotePrefix="0" xfId="0">
      <alignment horizontal="right" vertical="center"/>
    </xf>
    <xf numFmtId="41" fontId="31" fillId="7" borderId="164" applyAlignment="1" pivotButton="0" quotePrefix="0" xfId="1">
      <alignment horizontal="right" vertical="center"/>
    </xf>
    <xf numFmtId="42" fontId="35" fillId="0" borderId="247" applyAlignment="1" pivotButton="0" quotePrefix="0" xfId="0">
      <alignment horizontal="right" vertical="center"/>
    </xf>
    <xf numFmtId="0" fontId="35" fillId="0" borderId="248" applyAlignment="1" pivotButton="0" quotePrefix="0" xfId="0">
      <alignment horizontal="right" vertical="center"/>
    </xf>
    <xf numFmtId="0" fontId="34" fillId="0" borderId="249" applyAlignment="1" pivotButton="0" quotePrefix="0" xfId="0">
      <alignment horizontal="left" vertical="center"/>
    </xf>
    <xf numFmtId="41" fontId="31" fillId="7" borderId="250" applyAlignment="1" pivotButton="0" quotePrefix="0" xfId="1">
      <alignment horizontal="right" vertical="center"/>
    </xf>
    <xf numFmtId="41" fontId="31" fillId="7" borderId="251" applyAlignment="1" pivotButton="0" quotePrefix="0" xfId="1">
      <alignment horizontal="right" vertical="center"/>
    </xf>
    <xf numFmtId="41" fontId="31" fillId="7" borderId="252" applyAlignment="1" pivotButton="0" quotePrefix="0" xfId="1">
      <alignment horizontal="right" vertical="center"/>
    </xf>
    <xf numFmtId="41" fontId="31" fillId="7" borderId="250" applyAlignment="1" pivotButton="0" quotePrefix="0" xfId="1">
      <alignment horizontal="right" vertical="center"/>
    </xf>
    <xf numFmtId="41" fontId="31" fillId="7" borderId="251" applyAlignment="1" pivotButton="0" quotePrefix="0" xfId="1">
      <alignment horizontal="right" vertical="center"/>
    </xf>
    <xf numFmtId="41" fontId="31" fillId="7" borderId="252" applyAlignment="1" pivotButton="0" quotePrefix="0" xfId="1">
      <alignment horizontal="right" vertical="center"/>
    </xf>
    <xf numFmtId="171" fontId="0" fillId="0" borderId="0" pivotButton="0" quotePrefix="0" xfId="0"/>
    <xf numFmtId="0" fontId="108" fillId="0" borderId="0" pivotButton="0" quotePrefix="0" xfId="0"/>
    <xf numFmtId="0" fontId="109" fillId="0" borderId="0" pivotButton="0" quotePrefix="0" xfId="0"/>
    <xf numFmtId="0" fontId="37" fillId="9" borderId="43" applyAlignment="1" applyProtection="1" pivotButton="0" quotePrefix="0" xfId="1">
      <alignment horizontal="right" vertical="center"/>
      <protection locked="0" hidden="0"/>
    </xf>
    <xf numFmtId="174" fontId="88" fillId="0" borderId="0" applyAlignment="1" pivotButton="0" quotePrefix="0" xfId="2">
      <alignment horizontal="right" vertical="center" wrapText="1" indent="1"/>
    </xf>
    <xf numFmtId="0" fontId="88" fillId="0" borderId="0" applyAlignment="1" pivotButton="0" quotePrefix="0" xfId="0">
      <alignment wrapText="1"/>
    </xf>
    <xf numFmtId="0" fontId="92" fillId="0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center" vertical="center"/>
    </xf>
    <xf numFmtId="174" fontId="88" fillId="0" borderId="0" pivotButton="0" quotePrefix="0" xfId="0"/>
    <xf numFmtId="0" fontId="94" fillId="0" borderId="0" pivotButton="0" quotePrefix="0" xfId="0"/>
    <xf numFmtId="174" fontId="88" fillId="0" borderId="0" applyAlignment="1" pivotButton="0" quotePrefix="0" xfId="0">
      <alignment horizontal="right"/>
    </xf>
    <xf numFmtId="174" fontId="94" fillId="0" borderId="0" pivotButton="0" quotePrefix="0" xfId="0"/>
    <xf numFmtId="174" fontId="94" fillId="0" borderId="0" applyAlignment="1" pivotButton="0" quotePrefix="0" xfId="0">
      <alignment horizontal="right"/>
    </xf>
    <xf numFmtId="0" fontId="90" fillId="0" borderId="104" applyAlignment="1" pivotButton="0" quotePrefix="0" xfId="0">
      <alignment vertical="center"/>
    </xf>
    <xf numFmtId="0" fontId="95" fillId="13" borderId="96" applyAlignment="1" pivotButton="0" quotePrefix="0" xfId="0">
      <alignment horizontal="center" vertical="center"/>
    </xf>
    <xf numFmtId="0" fontId="87" fillId="0" borderId="104" applyAlignment="1" pivotButton="0" quotePrefix="0" xfId="0">
      <alignment horizontal="left" indent="2"/>
    </xf>
    <xf numFmtId="0" fontId="88" fillId="0" borderId="104" applyAlignment="1" pivotButton="0" quotePrefix="0" xfId="0">
      <alignment horizontal="left" indent="5"/>
    </xf>
    <xf numFmtId="0" fontId="88" fillId="0" borderId="104" applyAlignment="1" pivotButton="0" quotePrefix="0" xfId="0">
      <alignment horizontal="left" vertical="center" wrapText="1" indent="4"/>
    </xf>
    <xf numFmtId="0" fontId="88" fillId="0" borderId="0" applyAlignment="1" pivotButton="0" quotePrefix="0" xfId="0">
      <alignment horizontal="right"/>
    </xf>
    <xf numFmtId="0" fontId="87" fillId="0" borderId="104" applyAlignment="1" pivotButton="0" quotePrefix="0" xfId="0">
      <alignment horizontal="left" vertical="center" indent="4"/>
    </xf>
    <xf numFmtId="0" fontId="88" fillId="0" borderId="104" applyAlignment="1" pivotButton="0" quotePrefix="0" xfId="0">
      <alignment horizontal="left" vertical="center" indent="4"/>
    </xf>
    <xf numFmtId="175" fontId="88" fillId="0" borderId="0" pivotButton="0" quotePrefix="0" xfId="0"/>
    <xf numFmtId="0" fontId="27" fillId="0" borderId="0" applyAlignment="1" pivotButton="0" quotePrefix="0" xfId="0">
      <alignment wrapText="1"/>
    </xf>
    <xf numFmtId="174" fontId="27" fillId="0" borderId="0" pivotButton="0" quotePrefix="0" xfId="2"/>
    <xf numFmtId="170" fontId="27" fillId="0" borderId="0" pivotButton="0" quotePrefix="0" xfId="2"/>
    <xf numFmtId="0" fontId="48" fillId="0" borderId="0" applyAlignment="1" pivotButton="0" quotePrefix="0" xfId="0">
      <alignment horizontal="left" vertical="center"/>
    </xf>
    <xf numFmtId="0" fontId="48" fillId="10" borderId="22" applyAlignment="1" pivotButton="0" quotePrefix="0" xfId="0">
      <alignment horizontal="left" vertical="center" wrapText="1"/>
    </xf>
    <xf numFmtId="170" fontId="48" fillId="10" borderId="22" applyAlignment="1" pivotButton="0" quotePrefix="0" xfId="0">
      <alignment horizontal="left" vertical="top" wrapText="1"/>
    </xf>
    <xf numFmtId="0" fontId="112" fillId="0" borderId="0" pivotButton="0" quotePrefix="0" xfId="7"/>
    <xf numFmtId="174" fontId="88" fillId="0" borderId="81" pivotButton="0" quotePrefix="0" xfId="2"/>
    <xf numFmtId="0" fontId="88" fillId="0" borderId="105" pivotButton="0" quotePrefix="0" xfId="0"/>
    <xf numFmtId="0" fontId="88" fillId="0" borderId="0" applyAlignment="1" pivotButton="0" quotePrefix="0" xfId="0">
      <alignment horizontal="left" vertical="top" wrapText="1"/>
    </xf>
    <xf numFmtId="0" fontId="60" fillId="0" borderId="0" applyAlignment="1" pivotButton="0" quotePrefix="0" xfId="0">
      <alignment horizontal="center" vertical="center" wrapText="1"/>
    </xf>
    <xf numFmtId="0" fontId="60" fillId="0" borderId="131" applyAlignment="1" pivotButton="0" quotePrefix="0" xfId="0">
      <alignment horizontal="center" vertical="center"/>
    </xf>
    <xf numFmtId="0" fontId="113" fillId="0" borderId="0" applyAlignment="1" pivotButton="0" quotePrefix="0" xfId="0">
      <alignment horizontal="center" vertical="center"/>
    </xf>
    <xf numFmtId="0" fontId="113" fillId="0" borderId="0" applyAlignment="1" pivotButton="0" quotePrefix="0" xfId="0">
      <alignment horizontal="center" vertical="center" wrapText="1"/>
    </xf>
    <xf numFmtId="0" fontId="60" fillId="0" borderId="132" applyAlignment="1" pivotButton="0" quotePrefix="0" xfId="0">
      <alignment horizontal="left" vertical="top" wrapText="1"/>
    </xf>
    <xf numFmtId="0" fontId="60" fillId="0" borderId="1" applyAlignment="1" pivotButton="0" quotePrefix="0" xfId="0">
      <alignment horizontal="center" vertical="center"/>
    </xf>
    <xf numFmtId="0" fontId="60" fillId="0" borderId="2" applyAlignment="1" pivotButton="0" quotePrefix="0" xfId="0">
      <alignment horizontal="center" vertical="center" wrapText="1"/>
    </xf>
    <xf numFmtId="0" fontId="60" fillId="0" borderId="131" applyAlignment="1" pivotButton="0" quotePrefix="0" xfId="0">
      <alignment horizontal="left" vertical="top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0" fillId="5" borderId="2" applyAlignment="1" pivotButton="0" quotePrefix="0" xfId="0">
      <alignment horizontal="center" vertical="center" wrapText="1"/>
    </xf>
    <xf numFmtId="0" fontId="60" fillId="5" borderId="130" applyAlignment="1" pivotButton="0" quotePrefix="0" xfId="0">
      <alignment horizontal="left" vertical="top" wrapText="1"/>
    </xf>
    <xf numFmtId="0" fontId="60" fillId="5" borderId="4" applyAlignment="1" pivotButton="0" quotePrefix="0" xfId="0">
      <alignment horizontal="center" vertical="center" wrapText="1"/>
    </xf>
    <xf numFmtId="0" fontId="60" fillId="5" borderId="0" applyAlignment="1" pivotButton="0" quotePrefix="0" xfId="0">
      <alignment horizontal="center" vertical="center" wrapText="1"/>
    </xf>
    <xf numFmtId="0" fontId="60" fillId="5" borderId="131" applyAlignment="1" pivotButton="0" quotePrefix="0" xfId="0">
      <alignment horizontal="left" vertical="top" wrapText="1"/>
    </xf>
    <xf numFmtId="0" fontId="117" fillId="0" borderId="4" applyAlignment="1" pivotButton="0" quotePrefix="0" xfId="0">
      <alignment horizontal="center" vertical="center" wrapText="1"/>
    </xf>
    <xf numFmtId="0" fontId="30" fillId="5" borderId="2" applyAlignment="1" pivotButton="0" quotePrefix="0" xfId="0">
      <alignment horizontal="left" vertical="top" wrapText="1"/>
    </xf>
    <xf numFmtId="0" fontId="60" fillId="0" borderId="1" applyAlignment="1" pivotButton="0" quotePrefix="0" xfId="0">
      <alignment horizontal="center" vertical="center" wrapText="1"/>
    </xf>
    <xf numFmtId="0" fontId="60" fillId="0" borderId="14" applyAlignment="1" pivotButton="0" quotePrefix="0" xfId="0">
      <alignment horizontal="center" vertical="center"/>
    </xf>
    <xf numFmtId="0" fontId="60" fillId="6" borderId="14" applyAlignment="1" pivotButton="0" quotePrefix="0" xfId="0">
      <alignment horizontal="center" vertical="center"/>
    </xf>
    <xf numFmtId="2" fontId="60" fillId="6" borderId="15" applyAlignment="1" pivotButton="0" quotePrefix="0" xfId="0">
      <alignment horizontal="center" vertical="center"/>
    </xf>
    <xf numFmtId="0" fontId="60" fillId="6" borderId="16" applyAlignment="1" pivotButton="0" quotePrefix="0" xfId="0">
      <alignment horizontal="left" vertical="top" wrapText="1"/>
    </xf>
    <xf numFmtId="0" fontId="60" fillId="0" borderId="17" applyAlignment="1" pivotButton="0" quotePrefix="0" xfId="0">
      <alignment horizontal="center" vertical="center"/>
    </xf>
    <xf numFmtId="0" fontId="60" fillId="0" borderId="17" applyAlignment="1" pivotButton="0" quotePrefix="0" xfId="0">
      <alignment horizontal="left" vertical="top" wrapText="1"/>
    </xf>
    <xf numFmtId="0" fontId="60" fillId="0" borderId="60" applyAlignment="1" pivotButton="0" quotePrefix="0" xfId="0">
      <alignment horizontal="left" vertical="top" wrapText="1"/>
    </xf>
    <xf numFmtId="174" fontId="88" fillId="0" borderId="0" pivotButton="0" quotePrefix="0" xfId="2"/>
    <xf numFmtId="0" fontId="87" fillId="0" borderId="253" pivotButton="0" quotePrefix="0" xfId="0"/>
    <xf numFmtId="0" fontId="88" fillId="0" borderId="254" pivotButton="0" quotePrefix="0" xfId="0"/>
    <xf numFmtId="174" fontId="88" fillId="0" borderId="254" pivotButton="0" quotePrefix="0" xfId="0"/>
    <xf numFmtId="0" fontId="88" fillId="0" borderId="0" applyAlignment="1" pivotButton="0" quotePrefix="0" xfId="0">
      <alignment horizontal="center"/>
    </xf>
    <xf numFmtId="174" fontId="118" fillId="0" borderId="0" pivotButton="0" quotePrefix="0" xfId="0"/>
    <xf numFmtId="0" fontId="88" fillId="12" borderId="255" pivotButton="0" quotePrefix="0" xfId="0"/>
    <xf numFmtId="0" fontId="88" fillId="13" borderId="255" applyAlignment="1" pivotButton="0" quotePrefix="0" xfId="0">
      <alignment horizontal="center" vertical="center"/>
    </xf>
    <xf numFmtId="0" fontId="95" fillId="13" borderId="256" applyAlignment="1" pivotButton="0" quotePrefix="0" xfId="0">
      <alignment horizontal="center"/>
    </xf>
    <xf numFmtId="0" fontId="88" fillId="12" borderId="255" applyAlignment="1" pivotButton="0" quotePrefix="0" xfId="0">
      <alignment vertical="center" wrapText="1"/>
    </xf>
    <xf numFmtId="174" fontId="88" fillId="0" borderId="257" pivotButton="0" quotePrefix="0" xfId="0"/>
    <xf numFmtId="0" fontId="95" fillId="13" borderId="259" applyAlignment="1" pivotButton="0" quotePrefix="0" xfId="0">
      <alignment horizontal="center"/>
    </xf>
    <xf numFmtId="0" fontId="88" fillId="0" borderId="258" pivotButton="0" quotePrefix="0" xfId="0"/>
    <xf numFmtId="0" fontId="95" fillId="13" borderId="260" applyAlignment="1" pivotButton="0" quotePrefix="0" xfId="0">
      <alignment horizontal="center" vertical="center"/>
    </xf>
    <xf numFmtId="0" fontId="88" fillId="0" borderId="257" pivotButton="0" quotePrefix="0" xfId="0"/>
    <xf numFmtId="0" fontId="88" fillId="12" borderId="261" pivotButton="0" quotePrefix="0" xfId="0"/>
    <xf numFmtId="174" fontId="26" fillId="0" borderId="257" pivotButton="0" quotePrefix="0" xfId="0"/>
    <xf numFmtId="0" fontId="88" fillId="12" borderId="263" pivotButton="0" quotePrefix="0" xfId="0"/>
    <xf numFmtId="0" fontId="88" fillId="0" borderId="262" applyAlignment="1" pivotButton="0" quotePrefix="0" xfId="0">
      <alignment horizontal="left" vertical="center" wrapText="1" indent="4"/>
    </xf>
    <xf numFmtId="0" fontId="88" fillId="12" borderId="264" pivotButton="0" quotePrefix="0" xfId="0"/>
    <xf numFmtId="0" fontId="88" fillId="0" borderId="262" applyAlignment="1" pivotButton="0" quotePrefix="0" xfId="0">
      <alignment horizontal="left" vertical="center" indent="4"/>
    </xf>
    <xf numFmtId="0" fontId="88" fillId="12" borderId="265" pivotButton="0" quotePrefix="0" xfId="0"/>
    <xf numFmtId="174" fontId="94" fillId="0" borderId="257" pivotButton="0" quotePrefix="0" xfId="0"/>
    <xf numFmtId="0" fontId="95" fillId="13" borderId="267" applyAlignment="1" pivotButton="0" quotePrefix="0" xfId="0">
      <alignment horizontal="center" vertical="center"/>
    </xf>
    <xf numFmtId="0" fontId="95" fillId="0" borderId="266" applyAlignment="1" pivotButton="0" quotePrefix="0" xfId="0">
      <alignment horizontal="center" vertical="center"/>
    </xf>
    <xf numFmtId="174" fontId="88" fillId="0" borderId="257" applyAlignment="1" pivotButton="0" quotePrefix="0" xfId="2">
      <alignment horizontal="right" vertical="center" wrapText="1" indent="1"/>
    </xf>
    <xf numFmtId="0" fontId="88" fillId="12" borderId="98" applyAlignment="1" pivotButton="0" quotePrefix="0" xfId="0">
      <alignment vertical="center" wrapText="1"/>
    </xf>
    <xf numFmtId="0" fontId="87" fillId="0" borderId="262" applyAlignment="1" pivotButton="0" quotePrefix="0" xfId="0">
      <alignment horizontal="left" vertical="center" indent="4"/>
    </xf>
    <xf numFmtId="0" fontId="27" fillId="0" borderId="104" pivotButton="0" quotePrefix="0" xfId="0"/>
    <xf numFmtId="0" fontId="90" fillId="0" borderId="104" applyAlignment="1" pivotButton="0" quotePrefix="0" xfId="0">
      <alignment horizontal="left" vertical="center"/>
    </xf>
    <xf numFmtId="0" fontId="60" fillId="0" borderId="15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60" fillId="0" borderId="268" applyAlignment="1" pivotButton="0" quotePrefix="0" xfId="0">
      <alignment horizontal="center" vertical="center"/>
    </xf>
    <xf numFmtId="2" fontId="113" fillId="0" borderId="269" applyAlignment="1" pivotButton="0" quotePrefix="0" xfId="0">
      <alignment horizontal="center" vertical="center"/>
    </xf>
    <xf numFmtId="2" fontId="60" fillId="0" borderId="270" applyAlignment="1" pivotButton="0" quotePrefix="0" xfId="0">
      <alignment horizontal="center" vertical="center"/>
    </xf>
    <xf numFmtId="2" fontId="114" fillId="0" borderId="269" applyAlignment="1" pivotButton="0" quotePrefix="0" xfId="0">
      <alignment horizontal="center" vertical="center" wrapText="1"/>
    </xf>
    <xf numFmtId="2" fontId="60" fillId="5" borderId="270" applyAlignment="1" pivotButton="0" quotePrefix="0" xfId="0">
      <alignment horizontal="center" vertical="center" wrapText="1"/>
    </xf>
    <xf numFmtId="2" fontId="60" fillId="5" borderId="269" applyAlignment="1" pivotButton="0" quotePrefix="0" xfId="0">
      <alignment horizontal="center" vertical="center" wrapText="1"/>
    </xf>
    <xf numFmtId="2" fontId="60" fillId="0" borderId="271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/>
    </xf>
    <xf numFmtId="0" fontId="31" fillId="0" borderId="74" applyAlignment="1" pivotButton="0" quotePrefix="0" xfId="0">
      <alignment horizontal="left" vertical="center"/>
    </xf>
    <xf numFmtId="0" fontId="103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8" fontId="66" fillId="0" borderId="0" applyAlignment="1" pivotButton="0" quotePrefix="0" xfId="0">
      <alignment horizontal="center"/>
    </xf>
    <xf numFmtId="0" fontId="103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8" fontId="0" fillId="0" borderId="0" pivotButton="0" quotePrefix="0" xfId="0"/>
    <xf numFmtId="0" fontId="69" fillId="0" borderId="0" pivotButton="0" quotePrefix="0" xfId="0"/>
    <xf numFmtId="0" fontId="119" fillId="0" borderId="0" pivotButton="0" quotePrefix="0" xfId="0"/>
    <xf numFmtId="0" fontId="121" fillId="0" borderId="0" applyAlignment="1" pivotButton="0" quotePrefix="0" xfId="0">
      <alignment horizontal="center"/>
    </xf>
    <xf numFmtId="0" fontId="122" fillId="0" borderId="0" applyAlignment="1" applyProtection="1" pivotButton="0" quotePrefix="0" xfId="0">
      <alignment horizontal="center"/>
      <protection locked="0" hidden="0"/>
    </xf>
    <xf numFmtId="0" fontId="123" fillId="0" borderId="0" pivotButton="0" quotePrefix="0" xfId="0"/>
    <xf numFmtId="166" fontId="51" fillId="0" borderId="9" pivotButton="0" quotePrefix="0" xfId="0"/>
    <xf numFmtId="0" fontId="1" fillId="0" borderId="0" pivotButton="0" quotePrefix="0" xfId="0"/>
    <xf numFmtId="0" fontId="97" fillId="0" borderId="117" applyAlignment="1" pivotButton="0" quotePrefix="0" xfId="0">
      <alignment horizontal="center"/>
    </xf>
    <xf numFmtId="174" fontId="97" fillId="0" borderId="0" applyAlignment="1" pivotButton="0" quotePrefix="0" xfId="2">
      <alignment horizontal="center"/>
    </xf>
    <xf numFmtId="0" fontId="97" fillId="0" borderId="0" applyAlignment="1" pivotButton="0" quotePrefix="0" xfId="0">
      <alignment horizontal="center"/>
    </xf>
    <xf numFmtId="0" fontId="97" fillId="0" borderId="157" applyAlignment="1" pivotButton="0" quotePrefix="0" xfId="0">
      <alignment horizontal="center"/>
    </xf>
    <xf numFmtId="0" fontId="98" fillId="0" borderId="149" applyAlignment="1" pivotButton="0" quotePrefix="0" xfId="0">
      <alignment horizontal="left"/>
    </xf>
    <xf numFmtId="0" fontId="49" fillId="0" borderId="272" pivotButton="0" quotePrefix="0" xfId="0"/>
    <xf numFmtId="0" fontId="53" fillId="0" borderId="117" applyAlignment="1" pivotButton="0" quotePrefix="0" xfId="0">
      <alignment horizontal="left" indent="1"/>
    </xf>
    <xf numFmtId="0" fontId="49" fillId="0" borderId="157" pivotButton="0" quotePrefix="0" xfId="0"/>
    <xf numFmtId="0" fontId="49" fillId="0" borderId="117" applyAlignment="1" pivotButton="0" quotePrefix="0" xfId="0">
      <alignment horizontal="left" indent="2"/>
    </xf>
    <xf numFmtId="0" fontId="49" fillId="0" borderId="273" applyAlignment="1" pivotButton="0" quotePrefix="0" xfId="0">
      <alignment horizontal="left" indent="2"/>
    </xf>
    <xf numFmtId="0" fontId="49" fillId="0" borderId="241" pivotButton="0" quotePrefix="0" xfId="0"/>
    <xf numFmtId="0" fontId="49" fillId="0" borderId="117" applyAlignment="1" pivotButton="0" quotePrefix="0" xfId="0">
      <alignment horizontal="left" indent="1"/>
    </xf>
    <xf numFmtId="0" fontId="98" fillId="0" borderId="149" pivotButton="0" quotePrefix="0" xfId="0"/>
    <xf numFmtId="0" fontId="49" fillId="0" borderId="117" applyAlignment="1" pivotButton="0" quotePrefix="0" xfId="0">
      <alignment horizontal="left" indent="3"/>
    </xf>
    <xf numFmtId="0" fontId="53" fillId="0" borderId="273" applyAlignment="1" pivotButton="0" quotePrefix="0" xfId="0">
      <alignment horizontal="left" indent="1"/>
    </xf>
    <xf numFmtId="0" fontId="49" fillId="0" borderId="117" pivotButton="0" quotePrefix="0" xfId="0"/>
    <xf numFmtId="0" fontId="53" fillId="0" borderId="149" pivotButton="0" quotePrefix="0" xfId="0"/>
    <xf numFmtId="0" fontId="53" fillId="0" borderId="117" applyAlignment="1" pivotButton="0" quotePrefix="0" xfId="0">
      <alignment horizontal="left" wrapText="1" indent="1"/>
    </xf>
    <xf numFmtId="0" fontId="49" fillId="0" borderId="118" applyAlignment="1" pivotButton="0" quotePrefix="0" xfId="0">
      <alignment horizontal="left" indent="2"/>
    </xf>
    <xf numFmtId="1" fontId="49" fillId="0" borderId="162" pivotButton="0" quotePrefix="0" xfId="0"/>
    <xf numFmtId="0" fontId="49" fillId="0" borderId="162" pivotButton="0" quotePrefix="0" xfId="0"/>
    <xf numFmtId="0" fontId="49" fillId="0" borderId="163" pivotButton="0" quotePrefix="0" xfId="0"/>
    <xf numFmtId="2" fontId="60" fillId="0" borderId="269" applyAlignment="1" pivotButton="0" quotePrefix="0" xfId="0">
      <alignment horizontal="center" vertical="center" wrapText="1"/>
    </xf>
    <xf numFmtId="176" fontId="60" fillId="0" borderId="4" applyAlignment="1" pivotButton="0" quotePrefix="0" xfId="0">
      <alignment horizontal="center" vertical="center"/>
    </xf>
    <xf numFmtId="2" fontId="116" fillId="0" borderId="269" applyAlignment="1" pivotButton="0" quotePrefix="0" xfId="0">
      <alignment horizontal="center" vertical="center"/>
    </xf>
    <xf numFmtId="176" fontId="60" fillId="0" borderId="0" applyAlignment="1" pivotButton="0" quotePrefix="0" xfId="0">
      <alignment horizontal="center" vertical="center" wrapText="1"/>
    </xf>
    <xf numFmtId="2" fontId="60" fillId="0" borderId="27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16" fontId="39" fillId="0" borderId="32" applyAlignment="1" pivotButton="0" quotePrefix="1" xfId="0">
      <alignment horizontal="center" vertical="center"/>
    </xf>
    <xf numFmtId="16" fontId="50" fillId="0" borderId="32" applyAlignment="1" pivotButton="0" quotePrefix="1" xfId="0">
      <alignment horizontal="center" vertical="center"/>
    </xf>
    <xf numFmtId="0" fontId="100" fillId="0" borderId="274" applyAlignment="1" pivotButton="0" quotePrefix="0" xfId="0">
      <alignment horizontal="center" wrapText="1"/>
    </xf>
    <xf numFmtId="0" fontId="27" fillId="0" borderId="117" pivotButton="0" quotePrefix="0" xfId="0"/>
    <xf numFmtId="169" fontId="101" fillId="0" borderId="157" applyAlignment="1" pivotButton="0" quotePrefix="0" xfId="0">
      <alignment horizontal="fill"/>
    </xf>
    <xf numFmtId="1" fontId="27" fillId="0" borderId="117" pivotButton="0" quotePrefix="0" xfId="0"/>
    <xf numFmtId="1" fontId="101" fillId="0" borderId="157" pivotButton="0" quotePrefix="0" xfId="0"/>
    <xf numFmtId="2" fontId="101" fillId="0" borderId="157" pivotButton="0" quotePrefix="0" xfId="0"/>
    <xf numFmtId="177" fontId="101" fillId="0" borderId="157" pivotButton="0" quotePrefix="0" xfId="0"/>
    <xf numFmtId="0" fontId="27" fillId="0" borderId="273" pivotButton="0" quotePrefix="0" xfId="0"/>
    <xf numFmtId="177" fontId="102" fillId="0" borderId="157" pivotButton="0" quotePrefix="0" xfId="0"/>
    <xf numFmtId="1" fontId="69" fillId="0" borderId="157" pivotButton="0" quotePrefix="0" xfId="0"/>
    <xf numFmtId="0" fontId="20" fillId="0" borderId="118" pivotButton="0" quotePrefix="0" xfId="0"/>
    <xf numFmtId="0" fontId="20" fillId="0" borderId="162" pivotButton="0" quotePrefix="0" xfId="0"/>
    <xf numFmtId="1" fontId="21" fillId="0" borderId="163" pivotButton="0" quotePrefix="0" xfId="0"/>
    <xf numFmtId="0" fontId="50" fillId="0" borderId="116" applyAlignment="1" pivotButton="0" quotePrefix="0" xfId="0">
      <alignment horizontal="center" vertical="center"/>
    </xf>
    <xf numFmtId="0" fontId="50" fillId="0" borderId="122" pivotButton="0" quotePrefix="0" xfId="0"/>
    <xf numFmtId="0" fontId="50" fillId="0" borderId="122" applyAlignment="1" pivotButton="0" quotePrefix="0" xfId="0">
      <alignment horizontal="left"/>
    </xf>
    <xf numFmtId="0" fontId="50" fillId="0" borderId="123" pivotButton="0" quotePrefix="0" xfId="0"/>
    <xf numFmtId="0" fontId="50" fillId="0" borderId="117" applyAlignment="1" pivotButton="0" quotePrefix="0" xfId="0">
      <alignment horizontal="center" vertical="center"/>
    </xf>
    <xf numFmtId="0" fontId="50" fillId="0" borderId="157" pivotButton="0" quotePrefix="0" xfId="0"/>
    <xf numFmtId="0" fontId="49" fillId="0" borderId="122" pivotButton="0" quotePrefix="0" xfId="0"/>
    <xf numFmtId="0" fontId="0" fillId="0" borderId="123" pivotButton="0" quotePrefix="0" xfId="0"/>
    <xf numFmtId="0" fontId="53" fillId="0" borderId="0" applyAlignment="1" pivotButton="0" quotePrefix="0" xfId="0">
      <alignment horizontal="center" vertical="center"/>
    </xf>
    <xf numFmtId="0" fontId="0" fillId="0" borderId="157" pivotButton="0" quotePrefix="0" xfId="0"/>
    <xf numFmtId="17" fontId="50" fillId="0" borderId="202" applyAlignment="1" pivotButton="0" quotePrefix="0" xfId="0">
      <alignment horizontal="center"/>
    </xf>
    <xf numFmtId="0" fontId="100" fillId="0" borderId="275" applyAlignment="1" pivotButton="0" quotePrefix="0" xfId="0">
      <alignment horizontal="center" wrapText="1"/>
    </xf>
    <xf numFmtId="0" fontId="102" fillId="0" borderId="157" pivotButton="0" quotePrefix="0" xfId="0"/>
    <xf numFmtId="0" fontId="0" fillId="0" borderId="162" pivotButton="0" quotePrefix="0" xfId="0"/>
    <xf numFmtId="0" fontId="0" fillId="0" borderId="118" pivotButton="0" quotePrefix="0" xfId="0"/>
    <xf numFmtId="177" fontId="21" fillId="0" borderId="163" pivotButton="0" quotePrefix="0" xfId="0"/>
    <xf numFmtId="1" fontId="102" fillId="0" borderId="157" pivotButton="0" quotePrefix="0" xfId="0"/>
    <xf numFmtId="177" fontId="102" fillId="0" borderId="163" pivotButton="0" quotePrefix="0" xfId="0"/>
    <xf numFmtId="0" fontId="103" fillId="0" borderId="157" applyAlignment="1" pivotButton="0" quotePrefix="0" xfId="0">
      <alignment horizontal="center" wrapText="1"/>
    </xf>
    <xf numFmtId="168" fontId="126" fillId="9" borderId="43" applyAlignment="1" applyProtection="1" pivotButton="0" quotePrefix="0" xfId="1">
      <alignment horizontal="right" vertical="center"/>
      <protection locked="0" hidden="0"/>
    </xf>
    <xf numFmtId="168" fontId="127" fillId="9" borderId="43" applyAlignment="1" applyProtection="1" pivotButton="0" quotePrefix="0" xfId="1">
      <alignment horizontal="right" vertical="center"/>
      <protection locked="0" hidden="0"/>
    </xf>
    <xf numFmtId="0" fontId="50" fillId="0" borderId="276" pivotButton="0" quotePrefix="0" xfId="0"/>
    <xf numFmtId="0" fontId="50" fillId="0" borderId="277" applyAlignment="1" pivotButton="0" quotePrefix="0" xfId="0">
      <alignment horizontal="center" vertical="center"/>
    </xf>
    <xf numFmtId="0" fontId="50" fillId="0" borderId="278" applyAlignment="1" pivotButton="0" quotePrefix="0" xfId="0">
      <alignment horizontal="center" vertical="center"/>
    </xf>
    <xf numFmtId="169" fontId="40" fillId="0" borderId="82" applyAlignment="1" pivotButton="0" quotePrefix="0" xfId="0">
      <alignment horizontal="fill"/>
    </xf>
    <xf numFmtId="1" fontId="27" fillId="0" borderId="82" pivotButton="0" quotePrefix="0" xfId="0"/>
    <xf numFmtId="0" fontId="27" fillId="0" borderId="82" pivotButton="0" quotePrefix="0" xfId="0"/>
    <xf numFmtId="0" fontId="27" fillId="0" borderId="279" pivotButton="0" quotePrefix="0" xfId="0"/>
    <xf numFmtId="0" fontId="20" fillId="0" borderId="280" pivotButton="0" quotePrefix="0" xfId="0"/>
    <xf numFmtId="0" fontId="53" fillId="0" borderId="281" applyAlignment="1" pivotButton="0" quotePrefix="0" xfId="0">
      <alignment horizontal="center" vertical="center"/>
    </xf>
    <xf numFmtId="0" fontId="53" fillId="0" borderId="282" applyAlignment="1" pivotButton="0" quotePrefix="0" xfId="0">
      <alignment horizontal="center" vertical="center"/>
    </xf>
    <xf numFmtId="0" fontId="53" fillId="0" borderId="283" applyAlignment="1" pivotButton="0" quotePrefix="0" xfId="0">
      <alignment horizontal="center" vertical="center"/>
    </xf>
    <xf numFmtId="0" fontId="49" fillId="0" borderId="284" pivotButton="0" quotePrefix="0" xfId="0"/>
    <xf numFmtId="0" fontId="53" fillId="0" borderId="82" applyAlignment="1" pivotButton="0" quotePrefix="0" xfId="0">
      <alignment horizontal="center" vertical="center"/>
    </xf>
    <xf numFmtId="171" fontId="50" fillId="11" borderId="33" pivotButton="0" quotePrefix="0" xfId="0"/>
    <xf numFmtId="171" fontId="50" fillId="11" borderId="23" pivotButton="0" quotePrefix="0" xfId="0"/>
    <xf numFmtId="171" fontId="51" fillId="11" borderId="33" pivotButton="0" quotePrefix="0" xfId="3"/>
    <xf numFmtId="171" fontId="51" fillId="11" borderId="23" pivotButton="0" quotePrefix="0" xfId="3"/>
    <xf numFmtId="0" fontId="49" fillId="0" borderId="0" applyAlignment="1" pivotButton="0" quotePrefix="0" xfId="0">
      <alignment wrapText="1"/>
    </xf>
    <xf numFmtId="168" fontId="34" fillId="0" borderId="23" applyAlignment="1" pivotButton="0" quotePrefix="0" xfId="0">
      <alignment horizontal="left" vertical="center"/>
    </xf>
    <xf numFmtId="168" fontId="31" fillId="0" borderId="23" applyAlignment="1" pivotButton="0" quotePrefix="0" xfId="0">
      <alignment horizontal="left" vertical="center"/>
    </xf>
    <xf numFmtId="171" fontId="50" fillId="0" borderId="33" pivotButton="0" quotePrefix="0" xfId="0"/>
    <xf numFmtId="171" fontId="51" fillId="0" borderId="32" applyAlignment="1" pivotButton="0" quotePrefix="0" xfId="0">
      <alignment horizontal="fill"/>
    </xf>
    <xf numFmtId="171" fontId="51" fillId="0" borderId="33" pivotButton="0" quotePrefix="0" xfId="3"/>
    <xf numFmtId="171" fontId="50" fillId="0" borderId="171" pivotButton="0" quotePrefix="0" xfId="0"/>
    <xf numFmtId="166" fontId="51" fillId="0" borderId="35" pivotButton="0" quotePrefix="0" xfId="0"/>
    <xf numFmtId="171" fontId="54" fillId="0" borderId="187" pivotButton="0" quotePrefix="0" xfId="0"/>
    <xf numFmtId="0" fontId="110" fillId="0" borderId="0" applyAlignment="1" pivotButton="0" quotePrefix="0" xfId="0">
      <alignment wrapText="1"/>
    </xf>
    <xf numFmtId="0" fontId="110" fillId="0" borderId="0" pivotButton="0" quotePrefix="0" xfId="0"/>
    <xf numFmtId="174" fontId="110" fillId="0" borderId="0" pivotButton="0" quotePrefix="0" xfId="2"/>
    <xf numFmtId="170" fontId="110" fillId="0" borderId="0" pivotButton="0" quotePrefix="0" xfId="2"/>
    <xf numFmtId="0" fontId="110" fillId="0" borderId="0" applyAlignment="1" pivotButton="0" quotePrefix="0" xfId="0">
      <alignment vertical="center" wrapText="1"/>
    </xf>
    <xf numFmtId="170" fontId="110" fillId="0" borderId="0" applyAlignment="1" pivotButton="0" quotePrefix="0" xfId="2">
      <alignment vertical="center" wrapText="1"/>
    </xf>
    <xf numFmtId="0" fontId="27" fillId="0" borderId="0" applyAlignment="1" pivotButton="0" quotePrefix="0" xfId="0">
      <alignment horizontal="left" vertical="top" wrapText="1"/>
    </xf>
    <xf numFmtId="0" fontId="111" fillId="0" borderId="0" applyAlignment="1" pivotButton="0" quotePrefix="0" xfId="4">
      <alignment horizontal="left" vertical="top" wrapText="1"/>
    </xf>
    <xf numFmtId="0" fontId="69" fillId="0" borderId="0" applyAlignment="1" pivotButton="0" quotePrefix="0" xfId="0">
      <alignment horizontal="left" vertical="top" wrapText="1"/>
    </xf>
    <xf numFmtId="0" fontId="48" fillId="0" borderId="0" applyAlignment="1" pivotButton="0" quotePrefix="0" xfId="0">
      <alignment horizontal="left" vertical="top"/>
    </xf>
    <xf numFmtId="178" fontId="27" fillId="0" borderId="0" pivotButton="0" quotePrefix="0" xfId="2"/>
    <xf numFmtId="178" fontId="27" fillId="0" borderId="0" pivotButton="0" quotePrefix="0" xfId="2"/>
    <xf numFmtId="170" fontId="27" fillId="0" borderId="0" pivotButton="0" quotePrefix="0" xfId="2"/>
    <xf numFmtId="170" fontId="60" fillId="0" borderId="0" pivotButton="0" quotePrefix="0" xfId="0"/>
    <xf numFmtId="0" fontId="61" fillId="0" borderId="15" applyAlignment="1" pivotButton="0" quotePrefix="0" xfId="0">
      <alignment horizontal="center"/>
    </xf>
    <xf numFmtId="0" fontId="61" fillId="0" borderId="0" applyAlignment="1" pivotButton="0" quotePrefix="0" xfId="0">
      <alignment horizontal="center"/>
    </xf>
    <xf numFmtId="168" fontId="35" fillId="0" borderId="22" applyAlignment="1" pivotButton="0" quotePrefix="0" xfId="0">
      <alignment horizontal="right" vertical="center"/>
    </xf>
    <xf numFmtId="0" fontId="36" fillId="0" borderId="10" pivotButton="0" quotePrefix="0" xfId="0"/>
    <xf numFmtId="2" fontId="30" fillId="4" borderId="191" pivotButton="0" quotePrefix="0" xfId="0"/>
    <xf numFmtId="171" fontId="57" fillId="0" borderId="0" applyAlignment="1" pivotButton="0" quotePrefix="0" xfId="0">
      <alignment horizontal="left" indent="2"/>
    </xf>
    <xf numFmtId="2" fontId="30" fillId="6" borderId="207" pivotButton="0" quotePrefix="0" xfId="0"/>
    <xf numFmtId="2" fontId="30" fillId="4" borderId="22" pivotButton="0" quotePrefix="0" xfId="0"/>
    <xf numFmtId="0" fontId="75" fillId="0" borderId="0" applyAlignment="1" pivotButton="0" quotePrefix="0" xfId="0">
      <alignment horizontal="right" indent="3"/>
    </xf>
    <xf numFmtId="171" fontId="51" fillId="0" borderId="0" applyAlignment="1" pivotButton="0" quotePrefix="0" xfId="0">
      <alignment horizontal="right"/>
    </xf>
    <xf numFmtId="171" fontId="51" fillId="0" borderId="124" applyAlignment="1" pivotButton="0" quotePrefix="0" xfId="0">
      <alignment horizontal="right"/>
    </xf>
    <xf numFmtId="0" fontId="51" fillId="0" borderId="0" applyAlignment="1" pivotButton="0" quotePrefix="0" xfId="0">
      <alignment horizontal="right"/>
    </xf>
    <xf numFmtId="168" fontId="132" fillId="0" borderId="0" applyAlignment="1" pivotButton="0" quotePrefix="0" xfId="0">
      <alignment horizontal="left" vertical="center"/>
    </xf>
    <xf numFmtId="166" fontId="49" fillId="0" borderId="285" pivotButton="0" quotePrefix="0" xfId="0"/>
    <xf numFmtId="0" fontId="51" fillId="0" borderId="182" applyAlignment="1" pivotButton="0" quotePrefix="0" xfId="0">
      <alignment horizontal="right"/>
    </xf>
    <xf numFmtId="0" fontId="53" fillId="0" borderId="203" applyAlignment="1" pivotButton="0" quotePrefix="0" xfId="0">
      <alignment horizontal="center" vertical="center"/>
    </xf>
    <xf numFmtId="171" fontId="50" fillId="11" borderId="188" pivotButton="0" quotePrefix="0" xfId="0"/>
    <xf numFmtId="171" fontId="51" fillId="11" borderId="188" pivotButton="0" quotePrefix="0" xfId="3"/>
    <xf numFmtId="0" fontId="129" fillId="0" borderId="0" applyAlignment="1" pivotButton="0" quotePrefix="0" xfId="0">
      <alignment vertical="center" wrapText="1"/>
    </xf>
    <xf numFmtId="171" fontId="134" fillId="0" borderId="0" applyAlignment="1" pivotButton="0" quotePrefix="0" xfId="0">
      <alignment horizontal="left"/>
    </xf>
    <xf numFmtId="0" fontId="75" fillId="0" borderId="0" applyAlignment="1" pivotButton="0" quotePrefix="0" xfId="0">
      <alignment horizontal="left" wrapText="1" indent="3"/>
    </xf>
    <xf numFmtId="0" fontId="75" fillId="0" borderId="0" applyAlignment="1" pivotButton="0" quotePrefix="0" xfId="0">
      <alignment horizontal="left" wrapText="1" indent="2"/>
    </xf>
    <xf numFmtId="171" fontId="57" fillId="0" borderId="0" applyAlignment="1" pivotButton="0" quotePrefix="0" xfId="0">
      <alignment horizontal="left" wrapText="1" indent="2"/>
    </xf>
    <xf numFmtId="171" fontId="134" fillId="0" borderId="0" applyAlignment="1" pivotButton="0" quotePrefix="0" xfId="0">
      <alignment horizontal="left" indent="1"/>
    </xf>
    <xf numFmtId="0" fontId="135" fillId="8" borderId="0" applyAlignment="1" pivotButton="0" quotePrefix="0" xfId="0">
      <alignment horizontal="center" vertical="center" wrapText="1"/>
    </xf>
    <xf numFmtId="170" fontId="135" fillId="8" borderId="0" applyAlignment="1" pivotButton="0" quotePrefix="0" xfId="2">
      <alignment horizontal="center" vertical="center" wrapText="1"/>
    </xf>
    <xf numFmtId="170" fontId="0" fillId="0" borderId="0" pivotButton="0" quotePrefix="0" xfId="0"/>
    <xf numFmtId="179" fontId="27" fillId="0" borderId="0" pivotButton="0" quotePrefix="0" xfId="0"/>
    <xf numFmtId="0" fontId="136" fillId="8" borderId="0" applyAlignment="1" pivotButton="0" quotePrefix="0" xfId="0">
      <alignment horizontal="center" vertical="center" wrapText="1"/>
    </xf>
    <xf numFmtId="0" fontId="11" fillId="0" borderId="0" applyAlignment="1" pivotButton="0" quotePrefix="0" xfId="4">
      <alignment horizontal="left" vertical="top" wrapText="1"/>
    </xf>
    <xf numFmtId="178" fontId="27" fillId="0" borderId="0" pivotButton="0" quotePrefix="0" xfId="0"/>
    <xf numFmtId="0" fontId="48" fillId="0" borderId="0" applyAlignment="1" pivotButton="0" quotePrefix="0" xfId="0">
      <alignment horizontal="left" vertical="top" wrapText="1"/>
    </xf>
    <xf numFmtId="0" fontId="137" fillId="0" borderId="183" applyAlignment="1" pivotButton="0" quotePrefix="0" xfId="0">
      <alignment horizontal="center" vertical="center" textRotation="90" wrapText="1"/>
    </xf>
    <xf numFmtId="0" fontId="48" fillId="0" borderId="0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center" vertical="center" wrapText="1"/>
    </xf>
    <xf numFmtId="2" fontId="48" fillId="0" borderId="0" pivotButton="0" quotePrefix="0" xfId="0"/>
    <xf numFmtId="2" fontId="30" fillId="4" borderId="207" pivotButton="0" quotePrefix="0" xfId="0"/>
    <xf numFmtId="0" fontId="30" fillId="6" borderId="286" pivotButton="0" quotePrefix="0" xfId="0"/>
    <xf numFmtId="0" fontId="30" fillId="6" borderId="26" pivotButton="0" quotePrefix="0" xfId="0"/>
    <xf numFmtId="0" fontId="30" fillId="4" borderId="26" pivotButton="0" quotePrefix="0" xfId="0"/>
    <xf numFmtId="170" fontId="30" fillId="6" borderId="287" pivotButton="0" quotePrefix="0" xfId="0"/>
    <xf numFmtId="2" fontId="30" fillId="6" borderId="289" pivotButton="0" quotePrefix="0" xfId="0"/>
    <xf numFmtId="2" fontId="30" fillId="6" borderId="291" pivotButton="0" quotePrefix="0" xfId="0"/>
    <xf numFmtId="2" fontId="30" fillId="4" borderId="290" pivotButton="0" quotePrefix="0" xfId="0"/>
    <xf numFmtId="2" fontId="30" fillId="4" borderId="292" pivotButton="0" quotePrefix="0" xfId="0"/>
    <xf numFmtId="2" fontId="30" fillId="4" borderId="288" pivotButton="0" quotePrefix="0" xfId="0"/>
    <xf numFmtId="2" fontId="30" fillId="4" borderId="291" pivotButton="0" quotePrefix="0" xfId="0"/>
    <xf numFmtId="0" fontId="30" fillId="6" borderId="293" applyAlignment="1" pivotButton="0" quotePrefix="0" xfId="0">
      <alignment horizontal="left" vertical="center" indent="3"/>
    </xf>
    <xf numFmtId="0" fontId="30" fillId="6" borderId="294" pivotButton="0" quotePrefix="0" xfId="0"/>
    <xf numFmtId="170" fontId="30" fillId="6" borderId="295" pivotButton="0" quotePrefix="0" xfId="0"/>
    <xf numFmtId="0" fontId="30" fillId="6" borderId="296" applyAlignment="1" pivotButton="0" quotePrefix="0" xfId="0">
      <alignment horizontal="left" vertical="center" indent="3"/>
    </xf>
    <xf numFmtId="170" fontId="30" fillId="6" borderId="297" pivotButton="0" quotePrefix="0" xfId="0"/>
    <xf numFmtId="0" fontId="30" fillId="4" borderId="296" applyAlignment="1" pivotButton="0" quotePrefix="0" xfId="0">
      <alignment horizontal="left" vertical="center" indent="3"/>
    </xf>
    <xf numFmtId="170" fontId="30" fillId="4" borderId="297" pivotButton="0" quotePrefix="0" xfId="0"/>
    <xf numFmtId="0" fontId="30" fillId="4" borderId="298" applyAlignment="1" pivotButton="0" quotePrefix="0" xfId="0">
      <alignment horizontal="left" vertical="center" indent="3"/>
    </xf>
    <xf numFmtId="0" fontId="30" fillId="4" borderId="299" pivotButton="0" quotePrefix="0" xfId="0"/>
    <xf numFmtId="170" fontId="30" fillId="4" borderId="300" pivotButton="0" quotePrefix="0" xfId="0"/>
    <xf numFmtId="0" fontId="30" fillId="6" borderId="301" pivotButton="0" quotePrefix="0" xfId="0"/>
    <xf numFmtId="170" fontId="30" fillId="6" borderId="302" pivotButton="0" quotePrefix="0" xfId="0"/>
    <xf numFmtId="2" fontId="30" fillId="6" borderId="303" pivotButton="0" quotePrefix="0" xfId="0"/>
    <xf numFmtId="2" fontId="30" fillId="6" borderId="292" pivotButton="0" quotePrefix="0" xfId="0"/>
    <xf numFmtId="0" fontId="30" fillId="6" borderId="73" pivotButton="0" quotePrefix="0" xfId="0"/>
    <xf numFmtId="0" fontId="30" fillId="16" borderId="74" pivotButton="0" quotePrefix="0" xfId="0"/>
    <xf numFmtId="0" fontId="30" fillId="16" borderId="75" pivotButton="0" quotePrefix="0" xfId="0"/>
    <xf numFmtId="170" fontId="30" fillId="16" borderId="111" pivotButton="0" quotePrefix="0" xfId="0"/>
    <xf numFmtId="170" fontId="30" fillId="6" borderId="304" pivotButton="0" quotePrefix="0" xfId="0"/>
    <xf numFmtId="170" fontId="30" fillId="16" borderId="304" pivotButton="0" quotePrefix="0" xfId="0"/>
    <xf numFmtId="0" fontId="45" fillId="9" borderId="20" pivotButton="0" quotePrefix="0" xfId="0"/>
    <xf numFmtId="2" fontId="30" fillId="6" borderId="305" pivotButton="0" quotePrefix="0" xfId="0"/>
    <xf numFmtId="2" fontId="30" fillId="16" borderId="306" pivotButton="0" quotePrefix="0" xfId="0"/>
    <xf numFmtId="2" fontId="30" fillId="6" borderId="306" pivotButton="0" quotePrefix="0" xfId="0"/>
    <xf numFmtId="2" fontId="30" fillId="16" borderId="307" pivotButton="0" quotePrefix="0" xfId="0"/>
    <xf numFmtId="1" fontId="30" fillId="6" borderId="191" pivotButton="0" quotePrefix="0" xfId="0"/>
    <xf numFmtId="0" fontId="30" fillId="9" borderId="0" pivotButton="0" quotePrefix="0" xfId="0"/>
    <xf numFmtId="170" fontId="30" fillId="9" borderId="8" pivotButton="0" quotePrefix="0" xfId="0"/>
    <xf numFmtId="0" fontId="30" fillId="6" borderId="293" applyAlignment="1" pivotButton="0" quotePrefix="0" xfId="0">
      <alignment horizontal="left" vertical="center" wrapText="1" indent="3"/>
    </xf>
    <xf numFmtId="2" fontId="30" fillId="6" borderId="214" pivotButton="0" quotePrefix="0" xfId="0"/>
    <xf numFmtId="0" fontId="30" fillId="16" borderId="296" applyAlignment="1" pivotButton="0" quotePrefix="0" xfId="0">
      <alignment horizontal="left" vertical="center" wrapText="1" indent="3"/>
    </xf>
    <xf numFmtId="170" fontId="30" fillId="16" borderId="308" pivotButton="0" quotePrefix="0" xfId="0"/>
    <xf numFmtId="0" fontId="30" fillId="6" borderId="296" applyAlignment="1" pivotButton="0" quotePrefix="0" xfId="0">
      <alignment horizontal="left" vertical="center" wrapText="1" indent="3"/>
    </xf>
    <xf numFmtId="170" fontId="30" fillId="6" borderId="308" pivotButton="0" quotePrefix="0" xfId="0"/>
    <xf numFmtId="0" fontId="30" fillId="16" borderId="309" applyAlignment="1" pivotButton="0" quotePrefix="0" xfId="0">
      <alignment horizontal="left" vertical="center" wrapText="1" indent="3"/>
    </xf>
    <xf numFmtId="170" fontId="30" fillId="16" borderId="310" pivotButton="0" quotePrefix="0" xfId="0"/>
    <xf numFmtId="0" fontId="59" fillId="9" borderId="311" applyAlignment="1" pivotButton="0" quotePrefix="0" xfId="0">
      <alignment vertical="center"/>
    </xf>
    <xf numFmtId="170" fontId="30" fillId="9" borderId="312" pivotButton="0" quotePrefix="0" xfId="0"/>
    <xf numFmtId="170" fontId="30" fillId="4" borderId="308" pivotButton="0" quotePrefix="0" xfId="0"/>
    <xf numFmtId="0" fontId="30" fillId="4" borderId="313" pivotButton="0" quotePrefix="0" xfId="0"/>
    <xf numFmtId="2" fontId="30" fillId="4" borderId="313" pivotButton="0" quotePrefix="0" xfId="0"/>
    <xf numFmtId="170" fontId="30" fillId="4" borderId="314" pivotButton="0" quotePrefix="0" xfId="0"/>
    <xf numFmtId="0" fontId="30" fillId="6" borderId="315" applyAlignment="1" pivotButton="0" quotePrefix="0" xfId="0">
      <alignment horizontal="left" vertical="center" wrapText="1" indent="3"/>
    </xf>
    <xf numFmtId="0" fontId="30" fillId="6" borderId="316" pivotButton="0" quotePrefix="0" xfId="0"/>
    <xf numFmtId="0" fontId="30" fillId="16" borderId="317" applyAlignment="1" pivotButton="0" quotePrefix="0" xfId="0">
      <alignment horizontal="left" vertical="center" wrapText="1" indent="3"/>
    </xf>
    <xf numFmtId="0" fontId="30" fillId="6" borderId="318" applyAlignment="1" pivotButton="0" quotePrefix="0" xfId="0">
      <alignment horizontal="left" vertical="center" wrapText="1" indent="3"/>
    </xf>
    <xf numFmtId="170" fontId="30" fillId="6" borderId="319" pivotButton="0" quotePrefix="0" xfId="0"/>
    <xf numFmtId="0" fontId="30" fillId="16" borderId="318" applyAlignment="1" pivotButton="0" quotePrefix="0" xfId="0">
      <alignment horizontal="left" vertical="center" wrapText="1" indent="3"/>
    </xf>
    <xf numFmtId="170" fontId="30" fillId="16" borderId="319" pivotButton="0" quotePrefix="0" xfId="0"/>
    <xf numFmtId="0" fontId="59" fillId="9" borderId="320" applyAlignment="1" pivotButton="0" quotePrefix="0" xfId="0">
      <alignment vertical="center"/>
    </xf>
    <xf numFmtId="170" fontId="30" fillId="9" borderId="321" pivotButton="0" quotePrefix="0" xfId="0"/>
    <xf numFmtId="0" fontId="30" fillId="6" borderId="311" applyAlignment="1" pivotButton="0" quotePrefix="0" xfId="0">
      <alignment horizontal="left" vertical="center" indent="3"/>
    </xf>
    <xf numFmtId="170" fontId="30" fillId="6" borderId="322" pivotButton="0" quotePrefix="0" xfId="0"/>
    <xf numFmtId="1" fontId="30" fillId="6" borderId="76" pivotButton="0" quotePrefix="0" xfId="0"/>
    <xf numFmtId="1" fontId="30" fillId="6" borderId="75" pivotButton="0" quotePrefix="0" xfId="0"/>
    <xf numFmtId="1" fontId="30" fillId="6" borderId="22" pivotButton="0" quotePrefix="0" xfId="0"/>
    <xf numFmtId="0" fontId="30" fillId="6" borderId="323" applyAlignment="1" pivotButton="0" quotePrefix="0" xfId="0">
      <alignment horizontal="left" vertical="center" wrapText="1" indent="3"/>
    </xf>
    <xf numFmtId="1" fontId="30" fillId="6" borderId="324" pivotButton="0" quotePrefix="0" xfId="0"/>
    <xf numFmtId="2" fontId="30" fillId="6" borderId="294" pivotButton="0" quotePrefix="0" xfId="0"/>
    <xf numFmtId="0" fontId="30" fillId="16" borderId="325" applyAlignment="1" pivotButton="0" quotePrefix="0" xfId="0">
      <alignment horizontal="left" vertical="center" wrapText="1" indent="3"/>
    </xf>
    <xf numFmtId="0" fontId="30" fillId="6" borderId="326" applyAlignment="1" pivotButton="0" quotePrefix="0" xfId="0">
      <alignment horizontal="left" vertical="center" wrapText="1" indent="3"/>
    </xf>
    <xf numFmtId="0" fontId="30" fillId="16" borderId="326" applyAlignment="1" pivotButton="0" quotePrefix="0" xfId="0">
      <alignment horizontal="left" vertical="center" wrapText="1" indent="3"/>
    </xf>
    <xf numFmtId="0" fontId="59" fillId="9" borderId="327" applyAlignment="1" pivotButton="0" quotePrefix="0" xfId="0">
      <alignment vertical="center"/>
    </xf>
    <xf numFmtId="170" fontId="30" fillId="9" borderId="328" pivotButton="0" quotePrefix="0" xfId="0"/>
    <xf numFmtId="0" fontId="30" fillId="6" borderId="329" applyAlignment="1" pivotButton="0" quotePrefix="0" xfId="0">
      <alignment horizontal="left" vertical="center" indent="3"/>
    </xf>
    <xf numFmtId="170" fontId="30" fillId="6" borderId="330" pivotButton="0" quotePrefix="0" xfId="0"/>
    <xf numFmtId="0" fontId="30" fillId="4" borderId="329" applyAlignment="1" pivotButton="0" quotePrefix="0" xfId="0">
      <alignment horizontal="left" vertical="center" indent="3"/>
    </xf>
    <xf numFmtId="0" fontId="30" fillId="4" borderId="211" applyAlignment="1" pivotButton="0" quotePrefix="0" xfId="0">
      <alignment horizontal="left" vertical="center" indent="3"/>
    </xf>
    <xf numFmtId="0" fontId="30" fillId="4" borderId="331" pivotButton="0" quotePrefix="0" xfId="0"/>
    <xf numFmtId="2" fontId="30" fillId="4" borderId="331" pivotButton="0" quotePrefix="0" xfId="0"/>
    <xf numFmtId="1" fontId="30" fillId="6" borderId="191" applyAlignment="1" pivotButton="0" quotePrefix="0" xfId="0">
      <alignment horizontal="left" indent="22"/>
    </xf>
    <xf numFmtId="0" fontId="75" fillId="0" borderId="0" applyAlignment="1" pivotButton="0" quotePrefix="0" xfId="0">
      <alignment horizontal="left" wrapText="1"/>
    </xf>
    <xf numFmtId="0" fontId="60" fillId="0" borderId="0" pivotButton="0" quotePrefix="0" xfId="3"/>
    <xf numFmtId="169" fontId="50" fillId="0" borderId="119" pivotButton="0" quotePrefix="0" xfId="0"/>
    <xf numFmtId="17" fontId="50" fillId="0" borderId="332" applyAlignment="1" pivotButton="0" quotePrefix="0" xfId="0">
      <alignment horizontal="center"/>
    </xf>
    <xf numFmtId="169" fontId="40" fillId="0" borderId="119" applyAlignment="1" pivotButton="0" quotePrefix="0" xfId="0">
      <alignment horizontal="fill"/>
    </xf>
    <xf numFmtId="1" fontId="27" fillId="0" borderId="119" pivotButton="0" quotePrefix="0" xfId="0"/>
    <xf numFmtId="0" fontId="27" fillId="0" borderId="333" pivotButton="0" quotePrefix="0" xfId="0"/>
    <xf numFmtId="0" fontId="27" fillId="0" borderId="334" pivotButton="0" quotePrefix="0" xfId="0"/>
    <xf numFmtId="0" fontId="50" fillId="0" borderId="0" applyAlignment="1" pivotButton="0" quotePrefix="0" xfId="0">
      <alignment horizontal="center"/>
    </xf>
    <xf numFmtId="0" fontId="50" fillId="0" borderId="335" pivotButton="0" quotePrefix="0" xfId="0"/>
    <xf numFmtId="0" fontId="27" fillId="0" borderId="336" pivotButton="0" quotePrefix="0" xfId="0"/>
    <xf numFmtId="41" fontId="0" fillId="0" borderId="0" pivotButton="0" quotePrefix="0" xfId="0"/>
    <xf numFmtId="0" fontId="30" fillId="0" borderId="0" applyAlignment="1" pivotButton="0" quotePrefix="0" xfId="0">
      <alignment horizontal="left" vertical="top" wrapText="1"/>
    </xf>
    <xf numFmtId="0" fontId="30" fillId="0" borderId="157" applyAlignment="1" pivotButton="0" quotePrefix="0" xfId="0">
      <alignment horizontal="left" vertical="top" wrapText="1"/>
    </xf>
    <xf numFmtId="0" fontId="27" fillId="0" borderId="117" applyAlignment="1" pivotButton="0" quotePrefix="0" xfId="0">
      <alignment horizontal="left" vertical="top" wrapText="1"/>
    </xf>
    <xf numFmtId="0" fontId="27" fillId="0" borderId="157" applyAlignment="1" pivotButton="0" quotePrefix="0" xfId="0">
      <alignment horizontal="left" vertical="top" wrapText="1"/>
    </xf>
    <xf numFmtId="0" fontId="133" fillId="0" borderId="117" applyAlignment="1" pivotButton="0" quotePrefix="0" xfId="0">
      <alignment horizontal="left" vertical="top" wrapText="1"/>
    </xf>
    <xf numFmtId="0" fontId="133" fillId="0" borderId="0" applyAlignment="1" pivotButton="0" quotePrefix="0" xfId="0">
      <alignment horizontal="left" vertical="top" wrapText="1"/>
    </xf>
    <xf numFmtId="0" fontId="133" fillId="0" borderId="157" applyAlignment="1" pivotButton="0" quotePrefix="0" xfId="0">
      <alignment horizontal="left" vertical="top" wrapText="1"/>
    </xf>
    <xf numFmtId="0" fontId="30" fillId="0" borderId="117" applyAlignment="1" pivotButton="0" quotePrefix="0" xfId="0">
      <alignment horizontal="left" vertical="top" wrapText="1"/>
    </xf>
    <xf numFmtId="0" fontId="60" fillId="0" borderId="117" applyAlignment="1" pivotButton="0" quotePrefix="0" xfId="0">
      <alignment horizontal="left" vertical="top" wrapText="1"/>
    </xf>
    <xf numFmtId="0" fontId="60" fillId="0" borderId="0" applyAlignment="1" pivotButton="0" quotePrefix="0" xfId="0">
      <alignment horizontal="left" vertical="top" wrapText="1"/>
    </xf>
    <xf numFmtId="0" fontId="60" fillId="0" borderId="157" applyAlignment="1" pivotButton="0" quotePrefix="0" xfId="0">
      <alignment horizontal="left" vertical="top" wrapText="1"/>
    </xf>
    <xf numFmtId="0" fontId="106" fillId="0" borderId="117" applyAlignment="1" pivotButton="0" quotePrefix="0" xfId="0">
      <alignment horizontal="left" vertical="top" wrapText="1"/>
    </xf>
    <xf numFmtId="0" fontId="33" fillId="5" borderId="0" applyAlignment="1" pivotButton="0" quotePrefix="0" xfId="6">
      <alignment horizontal="center" vertical="center" wrapText="1"/>
    </xf>
    <xf numFmtId="9" fontId="0" fillId="0" borderId="0" pivotButton="0" quotePrefix="0" xfId="0"/>
    <xf numFmtId="9" fontId="0" fillId="0" borderId="0" applyAlignment="1" pivotButton="0" quotePrefix="0" xfId="0">
      <alignment horizontal="center" vertical="center"/>
    </xf>
    <xf numFmtId="9" fontId="138" fillId="0" borderId="0" applyAlignment="1" pivotButton="0" quotePrefix="0" xfId="0">
      <alignment horizontal="center" vertical="center"/>
    </xf>
    <xf numFmtId="0" fontId="138" fillId="0" borderId="0" pivotButton="0" quotePrefix="0" xfId="0"/>
    <xf numFmtId="0" fontId="31" fillId="0" borderId="0" applyAlignment="1" pivotButton="0" quotePrefix="0" xfId="0">
      <alignment vertical="center"/>
    </xf>
    <xf numFmtId="168" fontId="37" fillId="9" borderId="0" applyAlignment="1" applyProtection="1" pivotButton="0" quotePrefix="0" xfId="1">
      <alignment horizontal="right" vertical="center"/>
      <protection locked="0" hidden="0"/>
    </xf>
    <xf numFmtId="168" fontId="35" fillId="9" borderId="139" applyAlignment="1" pivotButton="0" quotePrefix="0" xfId="0">
      <alignment horizontal="right" vertical="center"/>
    </xf>
    <xf numFmtId="0" fontId="36" fillId="9" borderId="20" pivotButton="0" quotePrefix="0" xfId="0"/>
    <xf numFmtId="0" fontId="35" fillId="9" borderId="138" applyAlignment="1" pivotButton="0" quotePrefix="0" xfId="0">
      <alignment horizontal="right" vertical="center"/>
    </xf>
    <xf numFmtId="0" fontId="31" fillId="0" borderId="117" applyAlignment="1" pivotButton="0" quotePrefix="0" xfId="0">
      <alignment vertical="center"/>
    </xf>
    <xf numFmtId="9" fontId="108" fillId="0" borderId="0" applyAlignment="1" pivotButton="0" quotePrefix="0" xfId="0">
      <alignment horizontal="center"/>
    </xf>
    <xf numFmtId="0" fontId="108" fillId="0" borderId="0" applyAlignment="1" pivotButton="0" quotePrefix="0" xfId="0">
      <alignment horizontal="center"/>
    </xf>
    <xf numFmtId="0" fontId="48" fillId="0" borderId="116" applyAlignment="1" pivotButton="0" quotePrefix="0" xfId="0">
      <alignment horizontal="center"/>
    </xf>
    <xf numFmtId="0" fontId="48" fillId="0" borderId="122" applyAlignment="1" pivotButton="0" quotePrefix="0" xfId="0">
      <alignment horizontal="center"/>
    </xf>
    <xf numFmtId="0" fontId="48" fillId="0" borderId="123" applyAlignment="1" pivotButton="0" quotePrefix="0" xfId="0">
      <alignment horizontal="center"/>
    </xf>
    <xf numFmtId="42" fontId="35" fillId="0" borderId="139" applyAlignment="1" pivotButton="0" quotePrefix="0" xfId="0">
      <alignment vertical="center" wrapText="1"/>
    </xf>
    <xf numFmtId="42" fontId="35" fillId="0" borderId="141" applyAlignment="1" pivotButton="0" quotePrefix="0" xfId="0">
      <alignment vertical="center"/>
    </xf>
    <xf numFmtId="42" fontId="35" fillId="0" borderId="143" applyAlignment="1" pivotButton="0" quotePrefix="0" xfId="0">
      <alignment vertical="center"/>
    </xf>
    <xf numFmtId="168" fontId="127" fillId="9" borderId="0" applyAlignment="1" applyProtection="1" pivotButton="0" quotePrefix="0" xfId="1">
      <alignment horizontal="right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33" fillId="5" borderId="337" applyAlignment="1" pivotButton="0" quotePrefix="0" xfId="6">
      <alignment horizontal="center" vertical="center" wrapText="1"/>
    </xf>
    <xf numFmtId="0" fontId="128" fillId="0" borderId="116" applyAlignment="1" pivotButton="0" quotePrefix="0" xfId="0">
      <alignment horizontal="center"/>
    </xf>
    <xf numFmtId="0" fontId="128" fillId="0" borderId="122" applyAlignment="1" pivotButton="0" quotePrefix="0" xfId="0">
      <alignment horizontal="center"/>
    </xf>
    <xf numFmtId="0" fontId="128" fillId="0" borderId="123" applyAlignment="1" pivotButton="0" quotePrefix="0" xfId="0">
      <alignment horizontal="center"/>
    </xf>
    <xf numFmtId="168" fontId="35" fillId="9" borderId="10" applyAlignment="1" pivotButton="0" quotePrefix="0" xfId="0">
      <alignment horizontal="right" vertical="center"/>
    </xf>
    <xf numFmtId="0" fontId="35" fillId="9" borderId="9" applyAlignment="1" pivotButton="0" quotePrefix="0" xfId="0">
      <alignment horizontal="right" vertical="center"/>
    </xf>
    <xf numFmtId="9" fontId="0" fillId="0" borderId="0" applyAlignment="1" pivotButton="0" quotePrefix="0" xfId="0">
      <alignment horizontal="center"/>
    </xf>
    <xf numFmtId="168" fontId="37" fillId="17" borderId="43" applyAlignment="1" applyProtection="1" pivotButton="0" quotePrefix="0" xfId="0">
      <alignment horizontal="right" vertical="center"/>
      <protection locked="0" hidden="0"/>
    </xf>
    <xf numFmtId="0" fontId="6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124" fillId="0" borderId="181" applyAlignment="1" pivotButton="0" quotePrefix="0" xfId="0">
      <alignment horizontal="center" vertical="center" textRotation="90"/>
    </xf>
    <xf numFmtId="0" fontId="124" fillId="0" borderId="182" applyAlignment="1" pivotButton="0" quotePrefix="0" xfId="0">
      <alignment horizontal="center" vertical="center" textRotation="90"/>
    </xf>
    <xf numFmtId="0" fontId="124" fillId="0" borderId="183" applyAlignment="1" pivotButton="0" quotePrefix="0" xfId="0">
      <alignment horizontal="center" vertical="center" textRotation="90"/>
    </xf>
    <xf numFmtId="0" fontId="125" fillId="0" borderId="181" applyAlignment="1" pivotButton="0" quotePrefix="0" xfId="0">
      <alignment horizontal="center" vertical="center" textRotation="90"/>
    </xf>
    <xf numFmtId="0" fontId="125" fillId="0" borderId="182" applyAlignment="1" pivotButton="0" quotePrefix="0" xfId="0">
      <alignment horizontal="center" vertical="center" textRotation="90"/>
    </xf>
    <xf numFmtId="0" fontId="125" fillId="0" borderId="183" applyAlignment="1" pivotButton="0" quotePrefix="0" xfId="0">
      <alignment horizontal="center" vertical="center" textRotation="90"/>
    </xf>
    <xf numFmtId="0" fontId="74" fillId="0" borderId="3" applyAlignment="1" pivotButton="0" quotePrefix="0" xfId="0">
      <alignment horizontal="center" vertical="center" textRotation="90"/>
    </xf>
    <xf numFmtId="0" fontId="74" fillId="0" borderId="16" applyAlignment="1" pivotButton="0" quotePrefix="0" xfId="0">
      <alignment horizontal="center" vertical="center" textRotation="90"/>
    </xf>
    <xf numFmtId="0" fontId="70" fillId="0" borderId="2" applyAlignment="1" pivotButton="0" quotePrefix="0" xfId="0">
      <alignment horizontal="center" vertical="center" textRotation="90"/>
    </xf>
    <xf numFmtId="0" fontId="70" fillId="0" borderId="0" applyAlignment="1" pivotButton="0" quotePrefix="0" xfId="0">
      <alignment horizontal="center" vertical="center" textRotation="90"/>
    </xf>
    <xf numFmtId="0" fontId="70" fillId="0" borderId="15" applyAlignment="1" pivotButton="0" quotePrefix="0" xfId="0">
      <alignment horizontal="center" vertical="center" textRotation="90"/>
    </xf>
    <xf numFmtId="0" fontId="70" fillId="0" borderId="3" applyAlignment="1" pivotButton="0" quotePrefix="0" xfId="0">
      <alignment horizontal="center" vertical="center" textRotation="90"/>
    </xf>
    <xf numFmtId="0" fontId="70" fillId="0" borderId="8" applyAlignment="1" pivotButton="0" quotePrefix="0" xfId="0">
      <alignment horizontal="center" vertical="center" textRotation="90"/>
    </xf>
    <xf numFmtId="0" fontId="70" fillId="0" borderId="16" applyAlignment="1" pivotButton="0" quotePrefix="0" xfId="0">
      <alignment horizontal="center" vertical="center" textRotation="90"/>
    </xf>
    <xf numFmtId="0" fontId="74" fillId="0" borderId="0" applyAlignment="1" pivotButton="0" quotePrefix="0" xfId="0">
      <alignment horizontal="center" vertical="center" textRotation="90"/>
    </xf>
    <xf numFmtId="0" fontId="74" fillId="0" borderId="15" applyAlignment="1" pivotButton="0" quotePrefix="0" xfId="0">
      <alignment horizontal="center" vertical="center" textRotation="90"/>
    </xf>
    <xf numFmtId="0" fontId="89" fillId="14" borderId="109" applyAlignment="1" pivotButton="0" quotePrefix="0" xfId="0">
      <alignment horizontal="center"/>
    </xf>
    <xf numFmtId="0" fontId="89" fillId="14" borderId="100" applyAlignment="1" pivotButton="0" quotePrefix="0" xfId="0">
      <alignment horizontal="center"/>
    </xf>
    <xf numFmtId="0" fontId="89" fillId="14" borderId="101" applyAlignment="1" pivotButton="0" quotePrefix="0" xfId="0">
      <alignment horizontal="center"/>
    </xf>
    <xf numFmtId="0" fontId="99" fillId="0" borderId="0" applyAlignment="1" pivotButton="0" quotePrefix="0" xfId="0">
      <alignment horizontal="center"/>
    </xf>
    <xf numFmtId="0" fontId="88" fillId="0" borderId="116" applyAlignment="1" pivotButton="0" quotePrefix="0" xfId="0">
      <alignment horizontal="center"/>
    </xf>
    <xf numFmtId="0" fontId="88" fillId="0" borderId="122" applyAlignment="1" pivotButton="0" quotePrefix="0" xfId="0">
      <alignment horizontal="center"/>
    </xf>
    <xf numFmtId="0" fontId="88" fillId="0" borderId="123" applyAlignment="1" pivotButton="0" quotePrefix="0" xfId="0">
      <alignment horizontal="center"/>
    </xf>
    <xf numFmtId="0" fontId="88" fillId="0" borderId="107" applyAlignment="1" pivotButton="0" quotePrefix="0" xfId="0">
      <alignment horizontal="center"/>
    </xf>
    <xf numFmtId="0" fontId="27" fillId="0" borderId="117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0" fontId="27" fillId="0" borderId="157" applyAlignment="1" pivotButton="0" quotePrefix="0" xfId="0">
      <alignment horizontal="left" vertical="top" wrapText="1"/>
    </xf>
    <xf numFmtId="0" fontId="27" fillId="0" borderId="117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vertical="top" wrapText="1"/>
    </xf>
    <xf numFmtId="0" fontId="27" fillId="0" borderId="157" applyAlignment="1" pivotButton="0" quotePrefix="0" xfId="0">
      <alignment horizontal="center" vertical="top" wrapText="1"/>
    </xf>
    <xf numFmtId="0" fontId="27" fillId="0" borderId="118" applyAlignment="1" pivotButton="0" quotePrefix="0" xfId="0">
      <alignment horizontal="left" vertical="top" wrapText="1"/>
    </xf>
    <xf numFmtId="0" fontId="27" fillId="0" borderId="162" applyAlignment="1" pivotButton="0" quotePrefix="0" xfId="0">
      <alignment horizontal="left" vertical="top" wrapText="1"/>
    </xf>
    <xf numFmtId="0" fontId="27" fillId="0" borderId="163" applyAlignment="1" pivotButton="0" quotePrefix="0" xfId="0">
      <alignment horizontal="left" vertical="top" wrapText="1"/>
    </xf>
    <xf numFmtId="0" fontId="29" fillId="0" borderId="226" applyAlignment="1" pivotButton="0" quotePrefix="0" xfId="0">
      <alignment horizontal="center"/>
    </xf>
    <xf numFmtId="0" fontId="29" fillId="0" borderId="120" applyAlignment="1" pivotButton="0" quotePrefix="0" xfId="0">
      <alignment horizontal="center"/>
    </xf>
    <xf numFmtId="0" fontId="29" fillId="0" borderId="121" applyAlignment="1" pivotButton="0" quotePrefix="0" xfId="0">
      <alignment horizontal="center"/>
    </xf>
    <xf numFmtId="0" fontId="27" fillId="0" borderId="116" applyAlignment="1" pivotButton="0" quotePrefix="0" xfId="0">
      <alignment horizontal="left" vertical="top" wrapText="1"/>
    </xf>
    <xf numFmtId="0" fontId="27" fillId="0" borderId="122" applyAlignment="1" pivotButton="0" quotePrefix="0" xfId="0">
      <alignment horizontal="left" vertical="top" wrapText="1"/>
    </xf>
    <xf numFmtId="0" fontId="27" fillId="0" borderId="123" applyAlignment="1" pivotButton="0" quotePrefix="0" xfId="0">
      <alignment horizontal="left" vertical="top" wrapText="1"/>
    </xf>
    <xf numFmtId="0" fontId="106" fillId="0" borderId="117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top" wrapText="1"/>
    </xf>
    <xf numFmtId="0" fontId="30" fillId="0" borderId="157" applyAlignment="1" pivotButton="0" quotePrefix="0" xfId="0">
      <alignment horizontal="left" vertical="top" wrapText="1"/>
    </xf>
    <xf numFmtId="0" fontId="106" fillId="0" borderId="0" applyAlignment="1" pivotButton="0" quotePrefix="0" xfId="0">
      <alignment horizontal="left" vertical="top" wrapText="1"/>
    </xf>
    <xf numFmtId="0" fontId="106" fillId="0" borderId="157" applyAlignment="1" pivotButton="0" quotePrefix="0" xfId="0">
      <alignment horizontal="left" vertical="top" wrapText="1"/>
    </xf>
    <xf numFmtId="0" fontId="30" fillId="0" borderId="117" applyAlignment="1" pivotButton="0" quotePrefix="0" xfId="0">
      <alignment horizontal="left" vertical="top" wrapText="1"/>
    </xf>
    <xf numFmtId="0" fontId="133" fillId="0" borderId="117" applyAlignment="1" pivotButton="0" quotePrefix="0" xfId="0">
      <alignment horizontal="left" vertical="top" wrapText="1"/>
    </xf>
    <xf numFmtId="0" fontId="133" fillId="0" borderId="0" applyAlignment="1" pivotButton="0" quotePrefix="0" xfId="0">
      <alignment horizontal="left" vertical="top" wrapText="1"/>
    </xf>
    <xf numFmtId="0" fontId="133" fillId="0" borderId="157" applyAlignment="1" pivotButton="0" quotePrefix="0" xfId="0">
      <alignment horizontal="left" vertical="top" wrapText="1"/>
    </xf>
    <xf numFmtId="0" fontId="30" fillId="0" borderId="181" applyAlignment="1" pivotButton="0" quotePrefix="0" xfId="0">
      <alignment horizontal="center" vertical="center" textRotation="90" wrapText="1"/>
    </xf>
    <xf numFmtId="0" fontId="30" fillId="0" borderId="182" applyAlignment="1" pivotButton="0" quotePrefix="0" xfId="0">
      <alignment horizontal="center" vertical="center" textRotation="90" wrapText="1"/>
    </xf>
    <xf numFmtId="0" fontId="30" fillId="0" borderId="183" applyAlignment="1" pivotButton="0" quotePrefix="0" xfId="0">
      <alignment horizontal="center" vertical="center" textRotation="90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0" fillId="0" borderId="116" applyAlignment="1" pivotButton="0" quotePrefix="0" xfId="0">
      <alignment horizontal="center" vertical="center" textRotation="90" wrapText="1"/>
    </xf>
    <xf numFmtId="0" fontId="30" fillId="0" borderId="117" applyAlignment="1" pivotButton="0" quotePrefix="0" xfId="0">
      <alignment horizontal="center" vertical="center" textRotation="90" wrapText="1"/>
    </xf>
    <xf numFmtId="0" fontId="30" fillId="0" borderId="118" applyAlignment="1" pivotButton="0" quotePrefix="0" xfId="0">
      <alignment horizontal="center" vertical="center" textRotation="90" wrapText="1"/>
    </xf>
    <xf numFmtId="0" fontId="34" fillId="0" borderId="116" applyAlignment="1" pivotButton="0" quotePrefix="0" xfId="0">
      <alignment horizontal="left" vertical="center"/>
    </xf>
    <xf numFmtId="0" fontId="34" fillId="0" borderId="122" applyAlignment="1" pivotButton="0" quotePrefix="0" xfId="0">
      <alignment horizontal="left" vertical="center"/>
    </xf>
    <xf numFmtId="0" fontId="34" fillId="0" borderId="123" applyAlignment="1" pivotButton="0" quotePrefix="0" xfId="0">
      <alignment horizontal="left" vertical="center"/>
    </xf>
    <xf numFmtId="0" fontId="30" fillId="0" borderId="95" applyAlignment="1" pivotButton="0" quotePrefix="0" xfId="0">
      <alignment horizontal="center" vertical="center" textRotation="90" wrapText="1"/>
    </xf>
    <xf numFmtId="0" fontId="30" fillId="0" borderId="93" applyAlignment="1" pivotButton="0" quotePrefix="0" xfId="0">
      <alignment horizontal="center" vertical="center" textRotation="90" wrapText="1"/>
    </xf>
    <xf numFmtId="0" fontId="30" fillId="0" borderId="110" applyAlignment="1" pivotButton="0" quotePrefix="0" xfId="0">
      <alignment horizontal="center" vertical="center" textRotation="90" wrapText="1"/>
    </xf>
    <xf numFmtId="0" fontId="34" fillId="0" borderId="4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4" fillId="0" borderId="169" applyAlignment="1" pivotButton="0" quotePrefix="0" xfId="0">
      <alignment horizontal="left" vertical="center"/>
    </xf>
    <xf numFmtId="0" fontId="30" fillId="0" borderId="162" applyAlignment="1" pivotButton="0" quotePrefix="0" xfId="0">
      <alignment horizontal="center" vertical="center" textRotation="90" wrapText="1"/>
    </xf>
    <xf numFmtId="0" fontId="30" fillId="0" borderId="172" applyAlignment="1" pivotButton="0" quotePrefix="0" xfId="0">
      <alignment horizontal="center" vertical="center" textRotation="90" wrapText="1"/>
    </xf>
    <xf numFmtId="0" fontId="30" fillId="0" borderId="173" applyAlignment="1" pivotButton="0" quotePrefix="0" xfId="0">
      <alignment horizontal="center" vertical="center" textRotation="90" wrapText="1"/>
    </xf>
    <xf numFmtId="0" fontId="30" fillId="0" borderId="174" applyAlignment="1" pivotButton="0" quotePrefix="0" xfId="0">
      <alignment horizontal="center" vertical="center" textRotation="90" wrapText="1"/>
    </xf>
    <xf numFmtId="0" fontId="34" fillId="0" borderId="177" applyAlignment="1" pivotButton="0" quotePrefix="0" xfId="0">
      <alignment horizontal="left" vertical="center"/>
    </xf>
    <xf numFmtId="0" fontId="34" fillId="0" borderId="178" applyAlignment="1" pivotButton="0" quotePrefix="0" xfId="0">
      <alignment horizontal="left" vertical="center"/>
    </xf>
    <xf numFmtId="0" fontId="46" fillId="0" borderId="86" applyAlignment="1" pivotButton="0" quotePrefix="0" xfId="0">
      <alignment horizontal="center" vertical="center" textRotation="90"/>
    </xf>
    <xf numFmtId="0" fontId="46" fillId="0" borderId="87" applyAlignment="1" pivotButton="0" quotePrefix="0" xfId="0">
      <alignment horizontal="center" vertical="center" textRotation="90"/>
    </xf>
    <xf numFmtId="0" fontId="34" fillId="0" borderId="133" applyAlignment="1" pivotButton="0" quotePrefix="0" xfId="0">
      <alignment horizontal="left" vertical="center"/>
    </xf>
    <xf numFmtId="0" fontId="34" fillId="0" borderId="157" applyAlignment="1" pivotButton="0" quotePrefix="0" xfId="0">
      <alignment horizontal="left" vertical="center"/>
    </xf>
    <xf numFmtId="167" fontId="35" fillId="0" borderId="133" applyAlignment="1" pivotButton="0" quotePrefix="0" xfId="0">
      <alignment horizontal="center" vertical="center"/>
    </xf>
    <xf numFmtId="167" fontId="35" fillId="0" borderId="0" applyAlignment="1" pivotButton="0" quotePrefix="0" xfId="0">
      <alignment horizontal="center" vertical="center"/>
    </xf>
    <xf numFmtId="167" fontId="35" fillId="0" borderId="151" applyAlignment="1" pivotButton="0" quotePrefix="0" xfId="0">
      <alignment horizontal="center" vertical="center"/>
    </xf>
    <xf numFmtId="0" fontId="46" fillId="0" borderId="158" applyAlignment="1" pivotButton="0" quotePrefix="0" xfId="0">
      <alignment horizontal="center" vertical="center" textRotation="90"/>
    </xf>
    <xf numFmtId="0" fontId="46" fillId="0" borderId="133" applyAlignment="1" pivotButton="0" quotePrefix="0" xfId="0">
      <alignment horizontal="center" vertical="center" textRotation="90"/>
    </xf>
    <xf numFmtId="0" fontId="31" fillId="0" borderId="117" applyAlignment="1" pivotButton="0" quotePrefix="1" xfId="0">
      <alignment horizontal="center" vertical="center"/>
    </xf>
    <xf numFmtId="0" fontId="31" fillId="0" borderId="0" applyAlignment="1" pivotButton="0" quotePrefix="1" xfId="0">
      <alignment horizontal="center" vertical="center"/>
    </xf>
    <xf numFmtId="0" fontId="31" fillId="0" borderId="157" applyAlignment="1" pivotButton="0" quotePrefix="1" xfId="0">
      <alignment horizontal="center" vertical="center"/>
    </xf>
    <xf numFmtId="0" fontId="34" fillId="0" borderId="117" applyAlignment="1" pivotButton="0" quotePrefix="0" xfId="0">
      <alignment horizontal="left" vertical="center"/>
    </xf>
    <xf numFmtId="0" fontId="72" fillId="0" borderId="133" applyAlignment="1" pivotButton="0" quotePrefix="0" xfId="0">
      <alignment horizontal="center" vertical="center" textRotation="90"/>
    </xf>
    <xf numFmtId="0" fontId="72" fillId="0" borderId="0" applyAlignment="1" pivotButton="0" quotePrefix="0" xfId="0">
      <alignment horizontal="center" vertical="center" textRotation="90"/>
    </xf>
    <xf numFmtId="167" fontId="35" fillId="0" borderId="117" applyAlignment="1" pivotButton="0" quotePrefix="0" xfId="0">
      <alignment horizontal="center" vertical="center"/>
    </xf>
    <xf numFmtId="167" fontId="35" fillId="0" borderId="157" applyAlignment="1" pivotButton="0" quotePrefix="0" xfId="0">
      <alignment horizontal="center" vertical="center"/>
    </xf>
    <xf numFmtId="167" fontId="35" fillId="0" borderId="118" applyAlignment="1" pivotButton="0" quotePrefix="0" xfId="0">
      <alignment horizontal="center" vertical="center"/>
    </xf>
    <xf numFmtId="167" fontId="35" fillId="0" borderId="162" applyAlignment="1" pivotButton="0" quotePrefix="0" xfId="0">
      <alignment horizontal="center" vertical="center"/>
    </xf>
    <xf numFmtId="167" fontId="35" fillId="0" borderId="163" applyAlignment="1" pivotButton="0" quotePrefix="0" xfId="0">
      <alignment horizontal="center" vertical="center"/>
    </xf>
    <xf numFmtId="0" fontId="46" fillId="0" borderId="88" applyAlignment="1" pivotButton="0" quotePrefix="0" xfId="0">
      <alignment horizontal="center" vertical="center" textRotation="90"/>
    </xf>
    <xf numFmtId="0" fontId="34" fillId="0" borderId="151" applyAlignment="1" pivotButton="0" quotePrefix="0" xfId="0">
      <alignment horizontal="left" vertical="center"/>
    </xf>
    <xf numFmtId="0" fontId="31" fillId="0" borderId="133" applyAlignment="1" pivotButton="0" quotePrefix="1" xfId="0">
      <alignment horizontal="center" vertical="center"/>
    </xf>
    <xf numFmtId="0" fontId="31" fillId="0" borderId="151" applyAlignment="1" pivotButton="0" quotePrefix="1" xfId="0">
      <alignment horizontal="center" vertical="center"/>
    </xf>
    <xf numFmtId="0" fontId="46" fillId="0" borderId="159" applyAlignment="1" pivotButton="0" quotePrefix="0" xfId="0">
      <alignment horizontal="center" vertical="center" textRotation="90"/>
    </xf>
    <xf numFmtId="0" fontId="29" fillId="0" borderId="0" applyAlignment="1" pivotButton="0" quotePrefix="0" xfId="0">
      <alignment horizontal="center"/>
    </xf>
    <xf numFmtId="0" fontId="29" fillId="0" borderId="18" applyAlignment="1" pivotButton="0" quotePrefix="0" xfId="0">
      <alignment horizontal="center"/>
    </xf>
    <xf numFmtId="0" fontId="29" fillId="0" borderId="17" applyAlignment="1" pivotButton="0" quotePrefix="0" xfId="0">
      <alignment horizontal="center"/>
    </xf>
    <xf numFmtId="0" fontId="29" fillId="0" borderId="61" applyAlignment="1" pivotButton="0" quotePrefix="0" xfId="0">
      <alignment horizontal="center"/>
    </xf>
    <xf numFmtId="0" fontId="34" fillId="0" borderId="38" applyAlignment="1" pivotButton="0" quotePrefix="0" xfId="0">
      <alignment horizontal="left" vertical="center"/>
    </xf>
    <xf numFmtId="0" fontId="34" fillId="0" borderId="165" applyAlignment="1" pivotButton="0" quotePrefix="0" xfId="0">
      <alignment horizontal="left" vertical="center"/>
    </xf>
    <xf numFmtId="0" fontId="34" fillId="0" borderId="166" applyAlignment="1" pivotButton="0" quotePrefix="0" xfId="0">
      <alignment horizontal="left" vertical="center"/>
    </xf>
    <xf numFmtId="0" fontId="34" fillId="0" borderId="167" applyAlignment="1" pivotButton="0" quotePrefix="0" xfId="0">
      <alignment horizontal="left" vertical="center"/>
    </xf>
    <xf numFmtId="0" fontId="34" fillId="0" borderId="168" applyAlignment="1" pivotButton="0" quotePrefix="0" xfId="0">
      <alignment horizontal="left" vertical="center"/>
    </xf>
    <xf numFmtId="0" fontId="46" fillId="0" borderId="82" applyAlignment="1" pivotButton="0" quotePrefix="0" xfId="0">
      <alignment horizontal="center" vertical="center" textRotation="90" wrapText="1"/>
    </xf>
    <xf numFmtId="0" fontId="49" fillId="0" borderId="116" applyAlignment="1" pivotButton="0" quotePrefix="0" xfId="0">
      <alignment horizontal="center" vertical="center" textRotation="90" wrapText="1"/>
    </xf>
    <xf numFmtId="0" fontId="49" fillId="0" borderId="117" applyAlignment="1" pivotButton="0" quotePrefix="0" xfId="0">
      <alignment horizontal="center" vertical="center" textRotation="90" wrapText="1"/>
    </xf>
    <xf numFmtId="0" fontId="49" fillId="0" borderId="118" applyAlignment="1" pivotButton="0" quotePrefix="0" xfId="0">
      <alignment horizontal="center" vertical="center" textRotation="90" wrapText="1"/>
    </xf>
    <xf numFmtId="0" fontId="48" fillId="0" borderId="226" applyAlignment="1" pivotButton="0" quotePrefix="0" xfId="0">
      <alignment horizontal="center"/>
    </xf>
    <xf numFmtId="0" fontId="48" fillId="0" borderId="120" applyAlignment="1" pivotButton="0" quotePrefix="0" xfId="0">
      <alignment horizontal="center"/>
    </xf>
    <xf numFmtId="0" fontId="48" fillId="0" borderId="12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0" fontId="29" fillId="0" borderId="2" applyAlignment="1" pivotButton="0" quotePrefix="0" xfId="0">
      <alignment horizontal="center"/>
    </xf>
    <xf numFmtId="0" fontId="29" fillId="0" borderId="3" applyAlignment="1" pivotButton="0" quotePrefix="0" xfId="0">
      <alignment horizontal="center"/>
    </xf>
    <xf numFmtId="0" fontId="105" fillId="0" borderId="117" applyAlignment="1" pivotButton="0" quotePrefix="0" xfId="0">
      <alignment horizontal="left" vertical="top" wrapText="1"/>
    </xf>
    <xf numFmtId="0" fontId="105" fillId="0" borderId="0" applyAlignment="1" pivotButton="0" quotePrefix="0" xfId="0">
      <alignment horizontal="left" vertical="top" wrapText="1"/>
    </xf>
    <xf numFmtId="0" fontId="105" fillId="0" borderId="157" applyAlignment="1" pivotButton="0" quotePrefix="0" xfId="0">
      <alignment horizontal="left" vertical="top" wrapText="1"/>
    </xf>
    <xf numFmtId="0" fontId="128" fillId="0" borderId="226" applyAlignment="1" pivotButton="0" quotePrefix="0" xfId="0">
      <alignment horizontal="center"/>
    </xf>
    <xf numFmtId="0" fontId="128" fillId="0" borderId="120" applyAlignment="1" pivotButton="0" quotePrefix="0" xfId="0">
      <alignment horizontal="center"/>
    </xf>
    <xf numFmtId="0" fontId="128" fillId="0" borderId="121" applyAlignment="1" pivotButton="0" quotePrefix="0" xfId="0">
      <alignment horizontal="center"/>
    </xf>
    <xf numFmtId="0" fontId="131" fillId="0" borderId="116" applyAlignment="1" pivotButton="0" quotePrefix="0" xfId="0">
      <alignment horizontal="left" vertical="top" wrapText="1"/>
    </xf>
    <xf numFmtId="0" fontId="60" fillId="0" borderId="122" applyAlignment="1" pivotButton="0" quotePrefix="0" xfId="0">
      <alignment horizontal="left" vertical="top" wrapText="1"/>
    </xf>
    <xf numFmtId="0" fontId="60" fillId="0" borderId="123" applyAlignment="1" pivotButton="0" quotePrefix="0" xfId="0">
      <alignment horizontal="left" vertical="top" wrapText="1"/>
    </xf>
    <xf numFmtId="0" fontId="107" fillId="0" borderId="117" applyAlignment="1" pivotButton="0" quotePrefix="0" xfId="0">
      <alignment horizontal="left" vertical="top" wrapText="1"/>
    </xf>
    <xf numFmtId="0" fontId="107" fillId="0" borderId="0" applyAlignment="1" pivotButton="0" quotePrefix="0" xfId="0">
      <alignment horizontal="left" vertical="top" wrapText="1"/>
    </xf>
    <xf numFmtId="0" fontId="107" fillId="0" borderId="157" applyAlignment="1" pivotButton="0" quotePrefix="0" xfId="0">
      <alignment horizontal="left" vertical="top" wrapText="1"/>
    </xf>
    <xf numFmtId="0" fontId="131" fillId="0" borderId="117" applyAlignment="1" pivotButton="0" quotePrefix="0" xfId="0">
      <alignment horizontal="left" vertical="top" wrapText="1"/>
    </xf>
    <xf numFmtId="0" fontId="60" fillId="0" borderId="0" applyAlignment="1" pivotButton="0" quotePrefix="0" xfId="0">
      <alignment horizontal="left" vertical="top" wrapText="1"/>
    </xf>
    <xf numFmtId="0" fontId="60" fillId="0" borderId="157" applyAlignment="1" pivotButton="0" quotePrefix="0" xfId="0">
      <alignment horizontal="left" vertical="top" wrapText="1"/>
    </xf>
    <xf numFmtId="0" fontId="60" fillId="0" borderId="117" applyAlignment="1" pivotButton="0" quotePrefix="0" xfId="0">
      <alignment horizontal="left" vertical="top" wrapText="1"/>
    </xf>
    <xf numFmtId="0" fontId="60" fillId="0" borderId="117" applyAlignment="1" pivotButton="0" quotePrefix="0" xfId="0">
      <alignment horizontal="center" vertical="top" wrapText="1"/>
    </xf>
    <xf numFmtId="0" fontId="60" fillId="0" borderId="0" applyAlignment="1" pivotButton="0" quotePrefix="0" xfId="0">
      <alignment horizontal="center" vertical="top" wrapText="1"/>
    </xf>
    <xf numFmtId="0" fontId="60" fillId="0" borderId="157" applyAlignment="1" pivotButton="0" quotePrefix="0" xfId="0">
      <alignment horizontal="center" vertical="top" wrapText="1"/>
    </xf>
    <xf numFmtId="0" fontId="60" fillId="0" borderId="118" applyAlignment="1" pivotButton="0" quotePrefix="0" xfId="0">
      <alignment horizontal="left" vertical="top" wrapText="1"/>
    </xf>
    <xf numFmtId="0" fontId="60" fillId="0" borderId="162" applyAlignment="1" pivotButton="0" quotePrefix="0" xfId="0">
      <alignment horizontal="left" vertical="top" wrapText="1"/>
    </xf>
    <xf numFmtId="0" fontId="60" fillId="0" borderId="163" applyAlignment="1" pivotButton="0" quotePrefix="0" xfId="0">
      <alignment horizontal="left" vertical="top" wrapText="1"/>
    </xf>
    <xf numFmtId="0" fontId="106" fillId="0" borderId="116" applyAlignment="1" pivotButton="0" quotePrefix="0" xfId="0">
      <alignment horizontal="left" vertical="top" wrapText="1"/>
    </xf>
    <xf numFmtId="0" fontId="30" fillId="0" borderId="122" applyAlignment="1" pivotButton="0" quotePrefix="0" xfId="0">
      <alignment horizontal="left" vertical="top" wrapText="1"/>
    </xf>
    <xf numFmtId="0" fontId="30" fillId="0" borderId="123" applyAlignment="1" pivotButton="0" quotePrefix="0" xfId="0">
      <alignment horizontal="left" vertical="top" wrapText="1"/>
    </xf>
    <xf numFmtId="0" fontId="46" fillId="0" borderId="181" applyAlignment="1" pivotButton="0" quotePrefix="0" xfId="0">
      <alignment horizontal="center" vertical="center" textRotation="90" wrapText="1"/>
    </xf>
    <xf numFmtId="0" fontId="46" fillId="0" borderId="182" applyAlignment="1" pivotButton="0" quotePrefix="0" xfId="0">
      <alignment horizontal="center" vertical="center" textRotation="90" wrapText="1"/>
    </xf>
    <xf numFmtId="0" fontId="46" fillId="0" borderId="183" applyAlignment="1" pivotButton="0" quotePrefix="0" xfId="0">
      <alignment horizontal="center" vertical="center" textRotation="90" wrapText="1"/>
    </xf>
    <xf numFmtId="0" fontId="46" fillId="0" borderId="181" applyAlignment="1" pivotButton="0" quotePrefix="0" xfId="0">
      <alignment horizontal="center" vertical="center" textRotation="90"/>
    </xf>
    <xf numFmtId="0" fontId="46" fillId="0" borderId="182" applyAlignment="1" pivotButton="0" quotePrefix="0" xfId="0">
      <alignment horizontal="center" vertical="center" textRotation="90"/>
    </xf>
    <xf numFmtId="0" fontId="46" fillId="0" borderId="183" applyAlignment="1" pivotButton="0" quotePrefix="0" xfId="0">
      <alignment horizontal="center" vertical="center" textRotation="90"/>
    </xf>
    <xf numFmtId="0" fontId="46" fillId="0" borderId="116" applyAlignment="1" pivotButton="0" quotePrefix="0" xfId="0">
      <alignment horizontal="center" vertical="center" textRotation="90"/>
    </xf>
    <xf numFmtId="0" fontId="46" fillId="0" borderId="117" applyAlignment="1" pivotButton="0" quotePrefix="0" xfId="0">
      <alignment horizontal="center" vertical="center" textRotation="90"/>
    </xf>
    <xf numFmtId="0" fontId="46" fillId="0" borderId="118" applyAlignment="1" pivotButton="0" quotePrefix="0" xfId="0">
      <alignment horizontal="center" vertical="center" textRotation="90"/>
    </xf>
    <xf numFmtId="0" fontId="27" fillId="0" borderId="181" applyAlignment="1" pivotButton="0" quotePrefix="0" xfId="0">
      <alignment horizontal="center" vertical="center" textRotation="90"/>
    </xf>
    <xf numFmtId="0" fontId="27" fillId="0" borderId="182" applyAlignment="1" pivotButton="0" quotePrefix="0" xfId="0">
      <alignment horizontal="center" vertical="center" textRotation="90"/>
    </xf>
    <xf numFmtId="0" fontId="27" fillId="0" borderId="183" applyAlignment="1" pivotButton="0" quotePrefix="0" xfId="0">
      <alignment horizontal="center" vertical="center" textRotation="90"/>
    </xf>
    <xf numFmtId="0" fontId="27" fillId="0" borderId="181" applyAlignment="1" pivotButton="0" quotePrefix="0" xfId="0">
      <alignment horizontal="center" vertical="center" textRotation="90" wrapText="1"/>
    </xf>
    <xf numFmtId="0" fontId="27" fillId="0" borderId="183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center"/>
    </xf>
    <xf numFmtId="0" fontId="120" fillId="0" borderId="116" applyAlignment="1" pivotButton="0" quotePrefix="0" xfId="0">
      <alignment horizontal="center"/>
    </xf>
    <xf numFmtId="0" fontId="120" fillId="0" borderId="122" applyAlignment="1" pivotButton="0" quotePrefix="0" xfId="0">
      <alignment horizontal="center"/>
    </xf>
    <xf numFmtId="0" fontId="120" fillId="0" borderId="123" applyAlignment="1" pivotButton="0" quotePrefix="0" xfId="0">
      <alignment horizontal="center"/>
    </xf>
    <xf numFmtId="0" fontId="51" fillId="0" borderId="116" applyAlignment="1" pivotButton="0" quotePrefix="0" xfId="0">
      <alignment horizontal="left"/>
    </xf>
    <xf numFmtId="0" fontId="51" fillId="0" borderId="122" applyAlignment="1" pivotButton="0" quotePrefix="0" xfId="0">
      <alignment horizontal="left"/>
    </xf>
    <xf numFmtId="0" fontId="51" fillId="0" borderId="123" applyAlignment="1" pivotButton="0" quotePrefix="0" xfId="0">
      <alignment horizontal="left"/>
    </xf>
    <xf numFmtId="0" fontId="130" fillId="0" borderId="117" applyAlignment="1" pivotButton="0" quotePrefix="0" xfId="0">
      <alignment horizontal="left" indent="1"/>
    </xf>
    <xf numFmtId="0" fontId="51" fillId="0" borderId="0" applyAlignment="1" pivotButton="0" quotePrefix="0" xfId="0">
      <alignment horizontal="left" indent="1"/>
    </xf>
    <xf numFmtId="0" fontId="51" fillId="0" borderId="157" applyAlignment="1" pivotButton="0" quotePrefix="0" xfId="0">
      <alignment horizontal="left" indent="1"/>
    </xf>
    <xf numFmtId="0" fontId="51" fillId="0" borderId="117" applyAlignment="1" pivotButton="0" quotePrefix="0" xfId="0">
      <alignment horizontal="left"/>
    </xf>
    <xf numFmtId="0" fontId="51" fillId="0" borderId="0" applyAlignment="1" pivotButton="0" quotePrefix="0" xfId="0">
      <alignment horizontal="left"/>
    </xf>
    <xf numFmtId="0" fontId="51" fillId="0" borderId="157" applyAlignment="1" pivotButton="0" quotePrefix="0" xfId="0">
      <alignment horizontal="left"/>
    </xf>
    <xf numFmtId="0" fontId="130" fillId="0" borderId="0" applyAlignment="1" pivotButton="0" quotePrefix="0" xfId="0">
      <alignment horizontal="left" indent="1"/>
    </xf>
    <xf numFmtId="0" fontId="130" fillId="0" borderId="157" applyAlignment="1" pivotButton="0" quotePrefix="0" xfId="0">
      <alignment horizontal="left" indent="1"/>
    </xf>
    <xf numFmtId="0" fontId="51" fillId="0" borderId="118" applyAlignment="1" pivotButton="0" quotePrefix="0" xfId="0">
      <alignment horizontal="left"/>
    </xf>
    <xf numFmtId="0" fontId="51" fillId="0" borderId="162" applyAlignment="1" pivotButton="0" quotePrefix="0" xfId="0">
      <alignment horizontal="left"/>
    </xf>
    <xf numFmtId="0" fontId="51" fillId="0" borderId="163" applyAlignment="1" pivotButton="0" quotePrefix="0" xfId="0">
      <alignment horizontal="left"/>
    </xf>
    <xf numFmtId="0" fontId="130" fillId="0" borderId="117" applyAlignment="1" pivotButton="0" quotePrefix="0" xfId="0">
      <alignment horizontal="left"/>
    </xf>
    <xf numFmtId="0" fontId="130" fillId="0" borderId="0" applyAlignment="1" pivotButton="0" quotePrefix="0" xfId="0">
      <alignment horizontal="left"/>
    </xf>
    <xf numFmtId="0" fontId="130" fillId="0" borderId="157" applyAlignment="1" pivotButton="0" quotePrefix="0" xfId="0">
      <alignment horizontal="left"/>
    </xf>
    <xf numFmtId="0" fontId="129" fillId="0" borderId="0" applyAlignment="1" pivotButton="0" quotePrefix="0" xfId="0">
      <alignment horizontal="center"/>
    </xf>
    <xf numFmtId="0" fontId="124" fillId="0" borderId="338" applyAlignment="1" pivotButton="0" quotePrefix="0" xfId="0">
      <alignment horizontal="center" vertical="center" textRotation="90"/>
    </xf>
    <xf numFmtId="0" fontId="74" fillId="0" borderId="61" applyAlignment="1" pivotButton="0" quotePrefix="0" xfId="0">
      <alignment horizontal="center" vertical="center" textRotation="90"/>
    </xf>
    <xf numFmtId="0" fontId="0" fillId="0" borderId="16" pivotButton="0" quotePrefix="0" xfId="0"/>
    <xf numFmtId="0" fontId="70" fillId="0" borderId="17" applyAlignment="1" pivotButton="0" quotePrefix="0" xfId="0">
      <alignment horizontal="center" vertical="center" textRotation="90"/>
    </xf>
    <xf numFmtId="0" fontId="0" fillId="0" borderId="183" pivotButton="0" quotePrefix="0" xfId="0"/>
    <xf numFmtId="0" fontId="0" fillId="0" borderId="15" pivotButton="0" quotePrefix="0" xfId="0"/>
    <xf numFmtId="176" fontId="60" fillId="0" borderId="4" applyAlignment="1" pivotButton="0" quotePrefix="0" xfId="0">
      <alignment horizontal="center" vertical="center"/>
    </xf>
    <xf numFmtId="176" fontId="60" fillId="0" borderId="0" applyAlignment="1" pivotButton="0" quotePrefix="0" xfId="0">
      <alignment horizontal="center" vertical="center" wrapText="1"/>
    </xf>
    <xf numFmtId="0" fontId="125" fillId="0" borderId="338" applyAlignment="1" pivotButton="0" quotePrefix="0" xfId="0">
      <alignment horizontal="center" vertical="center" textRotation="90"/>
    </xf>
    <xf numFmtId="0" fontId="70" fillId="0" borderId="61" applyAlignment="1" pivotButton="0" quotePrefix="0" xfId="0">
      <alignment horizontal="center" vertical="center" textRotation="90"/>
    </xf>
    <xf numFmtId="0" fontId="0" fillId="0" borderId="8" pivotButton="0" quotePrefix="0" xfId="0"/>
    <xf numFmtId="175" fontId="96" fillId="6" borderId="0" pivotButton="0" quotePrefix="0" xfId="2"/>
    <xf numFmtId="175" fontId="96" fillId="4" borderId="0" pivotButton="0" quotePrefix="0" xfId="2"/>
    <xf numFmtId="175" fontId="96" fillId="0" borderId="0" pivotButton="0" quotePrefix="0" xfId="2"/>
    <xf numFmtId="0" fontId="0" fillId="0" borderId="107" pivotButton="0" quotePrefix="0" xfId="0"/>
    <xf numFmtId="0" fontId="89" fillId="14" borderId="339" applyAlignment="1" pivotButton="0" quotePrefix="0" xfId="0">
      <alignment horizontal="center"/>
    </xf>
    <xf numFmtId="0" fontId="0" fillId="0" borderId="100" pivotButton="0" quotePrefix="0" xfId="0"/>
    <xf numFmtId="0" fontId="0" fillId="0" borderId="101" pivotButton="0" quotePrefix="0" xfId="0"/>
    <xf numFmtId="174" fontId="88" fillId="0" borderId="0" pivotButton="0" quotePrefix="0" xfId="0"/>
    <xf numFmtId="174" fontId="88" fillId="0" borderId="257" pivotButton="0" quotePrefix="0" xfId="0"/>
    <xf numFmtId="174" fontId="88" fillId="0" borderId="0" applyAlignment="1" pivotButton="0" quotePrefix="0" xfId="0">
      <alignment horizontal="right"/>
    </xf>
    <xf numFmtId="174" fontId="88" fillId="0" borderId="257" applyAlignment="1" pivotButton="0" quotePrefix="0" xfId="2">
      <alignment horizontal="right" vertical="center" wrapText="1" indent="1"/>
    </xf>
    <xf numFmtId="174" fontId="94" fillId="0" borderId="0" pivotButton="0" quotePrefix="0" xfId="0"/>
    <xf numFmtId="174" fontId="88" fillId="0" borderId="0" applyAlignment="1" pivotButton="0" quotePrefix="0" xfId="2">
      <alignment horizontal="right" vertical="center" wrapText="1" indent="1"/>
    </xf>
    <xf numFmtId="175" fontId="88" fillId="0" borderId="0" pivotButton="0" quotePrefix="0" xfId="0"/>
    <xf numFmtId="174" fontId="94" fillId="0" borderId="0" applyAlignment="1" pivotButton="0" quotePrefix="0" xfId="0">
      <alignment horizontal="right"/>
    </xf>
    <xf numFmtId="174" fontId="118" fillId="0" borderId="0" pivotButton="0" quotePrefix="0" xfId="0"/>
    <xf numFmtId="174" fontId="26" fillId="0" borderId="257" pivotButton="0" quotePrefix="0" xfId="0"/>
    <xf numFmtId="174" fontId="88" fillId="0" borderId="81" pivotButton="0" quotePrefix="0" xfId="0"/>
    <xf numFmtId="174" fontId="88" fillId="0" borderId="81" pivotButton="0" quotePrefix="0" xfId="2"/>
    <xf numFmtId="174" fontId="88" fillId="0" borderId="0" pivotButton="0" quotePrefix="0" xfId="2"/>
    <xf numFmtId="170" fontId="88" fillId="0" borderId="0" pivotButton="0" quotePrefix="0" xfId="2"/>
    <xf numFmtId="174" fontId="94" fillId="0" borderId="257" pivotButton="0" quotePrefix="0" xfId="0"/>
    <xf numFmtId="174" fontId="88" fillId="0" borderId="254" pivotButton="0" quotePrefix="0" xfId="0"/>
    <xf numFmtId="0" fontId="88" fillId="0" borderId="181" applyAlignment="1" pivotButton="0" quotePrefix="0" xfId="0">
      <alignment horizontal="center"/>
    </xf>
    <xf numFmtId="0" fontId="0" fillId="0" borderId="122" pivotButton="0" quotePrefix="0" xfId="0"/>
    <xf numFmtId="174" fontId="97" fillId="0" borderId="0" applyAlignment="1" pivotButton="0" quotePrefix="0" xfId="2">
      <alignment horizontal="center"/>
    </xf>
    <xf numFmtId="174" fontId="49" fillId="0" borderId="6" pivotButton="0" quotePrefix="0" xfId="2"/>
    <xf numFmtId="0" fontId="29" fillId="0" borderId="60" applyAlignment="1" pivotButton="0" quotePrefix="0" xfId="0">
      <alignment horizontal="center"/>
    </xf>
    <xf numFmtId="0" fontId="0" fillId="0" borderId="17" pivotButton="0" quotePrefix="0" xfId="0"/>
    <xf numFmtId="0" fontId="0" fillId="0" borderId="61" pivotButton="0" quotePrefix="0" xfId="0"/>
    <xf numFmtId="170" fontId="30" fillId="6" borderId="295" pivotButton="0" quotePrefix="0" xfId="0"/>
    <xf numFmtId="170" fontId="30" fillId="16" borderId="308" pivotButton="0" quotePrefix="0" xfId="0"/>
    <xf numFmtId="170" fontId="30" fillId="6" borderId="319" pivotButton="0" quotePrefix="0" xfId="0"/>
    <xf numFmtId="170" fontId="30" fillId="16" borderId="319" pivotButton="0" quotePrefix="0" xfId="0"/>
    <xf numFmtId="170" fontId="30" fillId="9" borderId="321" pivotButton="0" quotePrefix="0" xfId="0"/>
    <xf numFmtId="170" fontId="30" fillId="6" borderId="322" pivotButton="0" quotePrefix="0" xfId="0"/>
    <xf numFmtId="170" fontId="30" fillId="6" borderId="297" pivotButton="0" quotePrefix="0" xfId="0"/>
    <xf numFmtId="170" fontId="30" fillId="4" borderId="297" pivotButton="0" quotePrefix="0" xfId="0"/>
    <xf numFmtId="170" fontId="30" fillId="4" borderId="300" pivotButton="0" quotePrefix="0" xfId="0"/>
    <xf numFmtId="170" fontId="30" fillId="9" borderId="84" pivotButton="0" quotePrefix="0" xfId="0"/>
    <xf numFmtId="170" fontId="30" fillId="4" borderId="67" pivotButton="0" quotePrefix="0" xfId="0"/>
    <xf numFmtId="170" fontId="30" fillId="6" borderId="71" pivotButton="0" quotePrefix="0" xfId="0"/>
    <xf numFmtId="0" fontId="46" fillId="0" borderId="344" applyAlignment="1" pivotButton="0" quotePrefix="0" xfId="0">
      <alignment horizontal="center" vertical="center" textRotation="90"/>
    </xf>
    <xf numFmtId="0" fontId="34" fillId="0" borderId="345" applyAlignment="1" pivotButton="0" quotePrefix="0" xfId="0">
      <alignment horizontal="left" vertical="center"/>
    </xf>
    <xf numFmtId="0" fontId="0" fillId="0" borderId="38" pivotButton="0" quotePrefix="0" xfId="0"/>
    <xf numFmtId="0" fontId="29" fillId="0" borderId="338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0" fillId="0" borderId="87" pivotButton="0" quotePrefix="0" xfId="0"/>
    <xf numFmtId="168" fontId="37" fillId="9" borderId="43" applyAlignment="1" applyProtection="1" pivotButton="0" quotePrefix="0" xfId="1">
      <alignment horizontal="right" vertical="center"/>
      <protection locked="0" hidden="0"/>
    </xf>
    <xf numFmtId="168" fontId="35" fillId="9" borderId="154" applyAlignment="1" pivotButton="0" quotePrefix="0" xfId="0">
      <alignment horizontal="right" vertical="center"/>
    </xf>
    <xf numFmtId="0" fontId="27" fillId="0" borderId="181" applyAlignment="1" pivotButton="0" quotePrefix="0" xfId="0">
      <alignment horizontal="left" vertical="top" wrapText="1"/>
    </xf>
    <xf numFmtId="168" fontId="37" fillId="9" borderId="0" applyAlignment="1" applyProtection="1" pivotButton="0" quotePrefix="0" xfId="1">
      <alignment horizontal="right" vertical="center"/>
      <protection locked="0" hidden="0"/>
    </xf>
    <xf numFmtId="168" fontId="35" fillId="9" borderId="139" applyAlignment="1" pivotButton="0" quotePrefix="0" xfId="0">
      <alignment horizontal="right" vertical="center"/>
    </xf>
    <xf numFmtId="167" fontId="35" fillId="0" borderId="21" pivotButton="0" quotePrefix="0" xfId="0"/>
    <xf numFmtId="167" fontId="35" fillId="0" borderId="140" applyAlignment="1" pivotButton="0" quotePrefix="0" xfId="0">
      <alignment horizontal="right" vertical="center"/>
    </xf>
    <xf numFmtId="0" fontId="106" fillId="0" borderId="182" applyAlignment="1" pivotButton="0" quotePrefix="0" xfId="0">
      <alignment horizontal="left" vertical="top" wrapText="1"/>
    </xf>
    <xf numFmtId="167" fontId="35" fillId="0" borderId="22" pivotButton="0" quotePrefix="0" xfId="0"/>
    <xf numFmtId="167" fontId="35" fillId="0" borderId="142" applyAlignment="1" pivotButton="0" quotePrefix="0" xfId="0">
      <alignment horizontal="right" vertical="center"/>
    </xf>
    <xf numFmtId="0" fontId="0" fillId="0" borderId="117" pivotButton="0" quotePrefix="0" xfId="0"/>
    <xf numFmtId="167" fontId="35" fillId="0" borderId="144" pivotButton="0" quotePrefix="0" xfId="0"/>
    <xf numFmtId="167" fontId="35" fillId="0" borderId="146" applyAlignment="1" pivotButton="0" quotePrefix="0" xfId="0">
      <alignment horizontal="right" vertical="center"/>
    </xf>
    <xf numFmtId="167" fontId="35" fillId="0" borderId="133" applyAlignment="1" pivotButton="0" quotePrefix="0" xfId="0">
      <alignment horizontal="center" vertical="center"/>
    </xf>
    <xf numFmtId="0" fontId="30" fillId="0" borderId="182" applyAlignment="1" pivotButton="0" quotePrefix="0" xfId="0">
      <alignment horizontal="left" vertical="top" wrapText="1"/>
    </xf>
    <xf numFmtId="0" fontId="34" fillId="0" borderId="346" applyAlignment="1" pivotButton="0" quotePrefix="0" xfId="0">
      <alignment horizontal="left" vertical="center"/>
    </xf>
    <xf numFmtId="0" fontId="133" fillId="0" borderId="182" applyAlignment="1" pivotButton="0" quotePrefix="0" xfId="0">
      <alignment horizontal="left" vertical="top" wrapText="1"/>
    </xf>
    <xf numFmtId="168" fontId="35" fillId="9" borderId="152" applyAlignment="1" pivotButton="0" quotePrefix="0" xfId="0">
      <alignment horizontal="right" vertical="center"/>
    </xf>
    <xf numFmtId="0" fontId="27" fillId="0" borderId="182" applyAlignment="1" pivotButton="0" quotePrefix="0" xfId="0">
      <alignment horizontal="left" vertical="top" wrapText="1"/>
    </xf>
    <xf numFmtId="0" fontId="0" fillId="0" borderId="88" pivotButton="0" quotePrefix="0" xfId="0"/>
    <xf numFmtId="167" fontId="35" fillId="0" borderId="347" applyAlignment="1" pivotButton="0" quotePrefix="0" xfId="0">
      <alignment horizontal="center" vertical="center"/>
    </xf>
    <xf numFmtId="0" fontId="0" fillId="0" borderId="151" pivotButton="0" quotePrefix="0" xfId="0"/>
    <xf numFmtId="0" fontId="46" fillId="0" borderId="348" applyAlignment="1" pivotButton="0" quotePrefix="0" xfId="0">
      <alignment horizontal="center" vertical="center" textRotation="90"/>
    </xf>
    <xf numFmtId="0" fontId="34" fillId="0" borderId="181" applyAlignment="1" pivotButton="0" quotePrefix="0" xfId="0">
      <alignment horizontal="left" vertical="center"/>
    </xf>
    <xf numFmtId="0" fontId="0" fillId="0" borderId="133" pivotButton="0" quotePrefix="0" xfId="0"/>
    <xf numFmtId="167" fontId="35" fillId="0" borderId="182" applyAlignment="1" pivotButton="0" quotePrefix="0" xfId="0">
      <alignment horizontal="center" vertical="center"/>
    </xf>
    <xf numFmtId="0" fontId="27" fillId="0" borderId="182" applyAlignment="1" pivotButton="0" quotePrefix="0" xfId="0">
      <alignment horizontal="center" vertical="top" wrapText="1"/>
    </xf>
    <xf numFmtId="0" fontId="34" fillId="0" borderId="182" applyAlignment="1" pivotButton="0" quotePrefix="0" xfId="0">
      <alignment horizontal="left" vertical="center"/>
    </xf>
    <xf numFmtId="167" fontId="35" fillId="0" borderId="230" pivotButton="0" quotePrefix="0" xfId="0"/>
    <xf numFmtId="167" fontId="35" fillId="0" borderId="227" applyAlignment="1" pivotButton="0" quotePrefix="0" xfId="0">
      <alignment horizontal="right" vertical="center"/>
    </xf>
    <xf numFmtId="167" fontId="35" fillId="0" borderId="232" pivotButton="0" quotePrefix="0" xfId="0"/>
    <xf numFmtId="167" fontId="35" fillId="0" borderId="233" applyAlignment="1" pivotButton="0" quotePrefix="0" xfId="0">
      <alignment horizontal="right" vertical="center"/>
    </xf>
    <xf numFmtId="0" fontId="0" fillId="0" borderId="159" pivotButton="0" quotePrefix="0" xfId="0"/>
    <xf numFmtId="167" fontId="35" fillId="0" borderId="183" applyAlignment="1" pivotButton="0" quotePrefix="0" xfId="0">
      <alignment horizontal="center" vertical="center"/>
    </xf>
    <xf numFmtId="0" fontId="0" fillId="0" borderId="163" pivotButton="0" quotePrefix="0" xfId="0"/>
    <xf numFmtId="0" fontId="34" fillId="0" borderId="347" applyAlignment="1" pivotButton="0" quotePrefix="0" xfId="0">
      <alignment horizontal="left" vertical="center"/>
    </xf>
    <xf numFmtId="0" fontId="27" fillId="0" borderId="183" applyAlignment="1" pivotButton="0" quotePrefix="0" xfId="0">
      <alignment horizontal="left" vertical="top" wrapText="1"/>
    </xf>
    <xf numFmtId="0" fontId="31" fillId="0" borderId="347" applyAlignment="1" pivotButton="0" quotePrefix="1" xfId="0">
      <alignment horizontal="center" vertical="center"/>
    </xf>
    <xf numFmtId="167" fontId="35" fillId="0" borderId="0" pivotButton="0" quotePrefix="0" xfId="0"/>
    <xf numFmtId="167" fontId="35" fillId="0" borderId="0" applyAlignment="1" pivotButton="0" quotePrefix="0" xfId="0">
      <alignment horizontal="right" vertical="center"/>
    </xf>
    <xf numFmtId="168" fontId="126" fillId="9" borderId="43" applyAlignment="1" applyProtection="1" pivotButton="0" quotePrefix="0" xfId="1">
      <alignment horizontal="right" vertical="center"/>
      <protection locked="0" hidden="0"/>
    </xf>
    <xf numFmtId="0" fontId="31" fillId="0" borderId="182" applyAlignment="1" pivotButton="0" quotePrefix="1" xfId="0">
      <alignment horizontal="center" vertical="center"/>
    </xf>
    <xf numFmtId="168" fontId="37" fillId="9" borderId="134" applyAlignment="1" applyProtection="1" pivotButton="0" quotePrefix="0" xfId="1">
      <alignment horizontal="right" vertical="center"/>
      <protection locked="0" hidden="0"/>
    </xf>
    <xf numFmtId="167" fontId="35" fillId="6" borderId="0" pivotButton="0" quotePrefix="0" xfId="0"/>
    <xf numFmtId="167" fontId="35" fillId="6" borderId="0" applyAlignment="1" pivotButton="0" quotePrefix="0" xfId="0">
      <alignment horizontal="right" vertical="center"/>
    </xf>
    <xf numFmtId="167" fontId="35" fillId="9" borderId="135" pivotButton="0" quotePrefix="0" xfId="0"/>
    <xf numFmtId="167" fontId="35" fillId="9" borderId="136" applyAlignment="1" pivotButton="0" quotePrefix="0" xfId="0">
      <alignment horizontal="right" vertical="center"/>
    </xf>
    <xf numFmtId="0" fontId="34" fillId="0" borderId="342" applyAlignment="1" pivotButton="0" quotePrefix="0" xfId="0">
      <alignment horizontal="left" vertical="center"/>
    </xf>
    <xf numFmtId="0" fontId="0" fillId="0" borderId="166" pivotButton="0" quotePrefix="0" xfId="0"/>
    <xf numFmtId="0" fontId="0" fillId="0" borderId="167" pivotButton="0" quotePrefix="0" xfId="0"/>
    <xf numFmtId="0" fontId="0" fillId="0" borderId="82" pivotButton="0" quotePrefix="0" xfId="0"/>
    <xf numFmtId="167" fontId="35" fillId="0" borderId="52" applyAlignment="1" pivotButton="0" quotePrefix="0" xfId="0">
      <alignment horizontal="right" vertical="center"/>
    </xf>
    <xf numFmtId="167" fontId="35" fillId="0" borderId="54" applyAlignment="1" pivotButton="0" quotePrefix="0" xfId="0">
      <alignment horizontal="right" vertical="center"/>
    </xf>
    <xf numFmtId="167" fontId="35" fillId="0" borderId="85" applyAlignment="1" pivotButton="0" quotePrefix="0" xfId="0">
      <alignment horizontal="right" vertical="center"/>
    </xf>
    <xf numFmtId="0" fontId="34" fillId="0" borderId="343" applyAlignment="1" pivotButton="0" quotePrefix="0" xfId="0">
      <alignment horizontal="left" vertical="center"/>
    </xf>
    <xf numFmtId="0" fontId="49" fillId="0" borderId="226" applyAlignment="1" pivotButton="0" quotePrefix="0" xfId="0">
      <alignment horizontal="center" vertical="center" textRotation="90" wrapText="1"/>
    </xf>
    <xf numFmtId="0" fontId="30" fillId="0" borderId="226" applyAlignment="1" pivotButton="0" quotePrefix="0" xfId="0">
      <alignment horizontal="center" vertical="center" textRotation="90" wrapText="1"/>
    </xf>
    <xf numFmtId="167" fontId="35" fillId="0" borderId="84" applyAlignment="1" pivotButton="0" quotePrefix="0" xfId="0">
      <alignment horizontal="right" vertical="center"/>
    </xf>
    <xf numFmtId="0" fontId="30" fillId="0" borderId="349" applyAlignment="1" pivotButton="0" quotePrefix="0" xfId="0">
      <alignment horizontal="center" vertical="center" textRotation="90" wrapText="1"/>
    </xf>
    <xf numFmtId="0" fontId="0" fillId="0" borderId="177" pivotButton="0" quotePrefix="0" xfId="0"/>
    <xf numFmtId="0" fontId="0" fillId="0" borderId="178" pivotButton="0" quotePrefix="0" xfId="0"/>
    <xf numFmtId="0" fontId="0" fillId="0" borderId="173" pivotButton="0" quotePrefix="0" xfId="0"/>
    <xf numFmtId="0" fontId="0" fillId="0" borderId="174" pivotButton="0" quotePrefix="0" xfId="0"/>
    <xf numFmtId="0" fontId="30" fillId="0" borderId="338" applyAlignment="1" pivotButton="0" quotePrefix="0" xfId="0">
      <alignment horizontal="center" vertical="center" textRotation="90" wrapText="1"/>
    </xf>
    <xf numFmtId="0" fontId="0" fillId="0" borderId="2" pivotButton="0" quotePrefix="0" xfId="0"/>
    <xf numFmtId="0" fontId="0" fillId="0" borderId="3" pivotButton="0" quotePrefix="0" xfId="0"/>
    <xf numFmtId="167" fontId="35" fillId="0" borderId="72" applyAlignment="1" pivotButton="0" quotePrefix="0" xfId="0">
      <alignment horizontal="right" vertical="center"/>
    </xf>
    <xf numFmtId="167" fontId="35" fillId="0" borderId="68" applyAlignment="1" pivotButton="0" quotePrefix="0" xfId="0">
      <alignment horizontal="right" vertical="center"/>
    </xf>
    <xf numFmtId="167" fontId="35" fillId="0" borderId="70" pivotButton="0" quotePrefix="0" xfId="0"/>
    <xf numFmtId="167" fontId="35" fillId="0" borderId="71" applyAlignment="1" pivotButton="0" quotePrefix="0" xfId="0">
      <alignment horizontal="right" vertical="center"/>
    </xf>
    <xf numFmtId="167" fontId="35" fillId="0" borderId="157" applyAlignment="1" pivotButton="0" quotePrefix="0" xfId="0">
      <alignment horizontal="right" vertical="center"/>
    </xf>
    <xf numFmtId="167" fontId="35" fillId="0" borderId="233" pivotButton="0" quotePrefix="0" xfId="0"/>
    <xf numFmtId="167" fontId="35" fillId="0" borderId="241" applyAlignment="1" pivotButton="0" quotePrefix="0" xfId="0">
      <alignment horizontal="right" vertical="center"/>
    </xf>
    <xf numFmtId="0" fontId="30" fillId="0" borderId="350" applyAlignment="1" pivotButton="0" quotePrefix="0" xfId="0">
      <alignment horizontal="center" vertical="center" textRotation="90" wrapText="1"/>
    </xf>
    <xf numFmtId="0" fontId="34" fillId="0" borderId="351" applyAlignment="1" pivotButton="0" quotePrefix="0" xfId="0">
      <alignment horizontal="left" vertical="center"/>
    </xf>
    <xf numFmtId="0" fontId="0" fillId="0" borderId="169" pivotButton="0" quotePrefix="0" xfId="0"/>
    <xf numFmtId="0" fontId="0" fillId="0" borderId="93" pivotButton="0" quotePrefix="0" xfId="0"/>
    <xf numFmtId="168" fontId="34" fillId="0" borderId="23" applyAlignment="1" pivotButton="0" quotePrefix="0" xfId="0">
      <alignment horizontal="left" vertical="center"/>
    </xf>
    <xf numFmtId="167" fontId="35" fillId="0" borderId="89" applyAlignment="1" pivotButton="0" quotePrefix="0" xfId="0">
      <alignment horizontal="right" vertical="center"/>
    </xf>
    <xf numFmtId="168" fontId="0" fillId="0" borderId="0" applyAlignment="1" pivotButton="0" quotePrefix="0" xfId="0">
      <alignment horizontal="center"/>
    </xf>
    <xf numFmtId="167" fontId="35" fillId="0" borderId="90" applyAlignment="1" pivotButton="0" quotePrefix="0" xfId="0">
      <alignment horizontal="right" vertical="center"/>
    </xf>
    <xf numFmtId="0" fontId="0" fillId="0" borderId="110" pivotButton="0" quotePrefix="0" xfId="0"/>
    <xf numFmtId="167" fontId="35" fillId="0" borderId="91" pivotButton="0" quotePrefix="0" xfId="0"/>
    <xf numFmtId="167" fontId="35" fillId="0" borderId="92" applyAlignment="1" pivotButton="0" quotePrefix="0" xfId="0">
      <alignment horizontal="right" vertical="center"/>
    </xf>
    <xf numFmtId="170" fontId="30" fillId="6" borderId="287" pivotButton="0" quotePrefix="0" xfId="0"/>
    <xf numFmtId="170" fontId="30" fillId="16" borderId="111" pivotButton="0" quotePrefix="0" xfId="0"/>
    <xf numFmtId="170" fontId="30" fillId="6" borderId="304" pivotButton="0" quotePrefix="0" xfId="0"/>
    <xf numFmtId="170" fontId="30" fillId="16" borderId="304" pivotButton="0" quotePrefix="0" xfId="0"/>
    <xf numFmtId="170" fontId="30" fillId="9" borderId="64" pivotButton="0" quotePrefix="0" xfId="0"/>
    <xf numFmtId="170" fontId="30" fillId="6" borderId="302" pivotButton="0" quotePrefix="0" xfId="0"/>
    <xf numFmtId="0" fontId="48" fillId="0" borderId="338" applyAlignment="1" pivotButton="0" quotePrefix="0" xfId="0">
      <alignment horizontal="center"/>
    </xf>
    <xf numFmtId="168" fontId="127" fillId="9" borderId="43" applyAlignment="1" applyProtection="1" pivotButton="0" quotePrefix="0" xfId="1">
      <alignment horizontal="right" vertical="center"/>
      <protection locked="0" hidden="0"/>
    </xf>
    <xf numFmtId="168" fontId="127" fillId="9" borderId="0" applyAlignment="1" applyProtection="1" pivotButton="0" quotePrefix="0" xfId="1">
      <alignment horizontal="right" vertical="center"/>
      <protection locked="0" hidden="0"/>
    </xf>
    <xf numFmtId="168" fontId="66" fillId="0" borderId="0" applyAlignment="1" pivotButton="0" quotePrefix="0" xfId="0">
      <alignment horizontal="center"/>
    </xf>
    <xf numFmtId="0" fontId="29" fillId="0" borderId="130" applyAlignment="1" pivotButton="0" quotePrefix="0" xfId="0">
      <alignment horizontal="center"/>
    </xf>
    <xf numFmtId="170" fontId="30" fillId="6" borderId="308" pivotButton="0" quotePrefix="0" xfId="0"/>
    <xf numFmtId="170" fontId="30" fillId="16" borderId="310" pivotButton="0" quotePrefix="0" xfId="0"/>
    <xf numFmtId="170" fontId="30" fillId="9" borderId="312" pivotButton="0" quotePrefix="0" xfId="0"/>
    <xf numFmtId="170" fontId="30" fillId="4" borderId="308" pivotButton="0" quotePrefix="0" xfId="0"/>
    <xf numFmtId="170" fontId="30" fillId="4" borderId="314" pivotButton="0" quotePrefix="0" xfId="0"/>
    <xf numFmtId="170" fontId="30" fillId="9" borderId="8" pivotButton="0" quotePrefix="0" xfId="0"/>
    <xf numFmtId="170" fontId="30" fillId="4" borderId="68" pivotButton="0" quotePrefix="0" xfId="0"/>
    <xf numFmtId="168" fontId="31" fillId="0" borderId="23" applyAlignment="1" pivotButton="0" quotePrefix="0" xfId="0">
      <alignment horizontal="left" vertical="center"/>
    </xf>
    <xf numFmtId="0" fontId="105" fillId="0" borderId="182" applyAlignment="1" pivotButton="0" quotePrefix="0" xfId="0">
      <alignment horizontal="left" vertical="top" wrapText="1"/>
    </xf>
    <xf numFmtId="170" fontId="30" fillId="9" borderId="328" pivotButton="0" quotePrefix="0" xfId="0"/>
    <xf numFmtId="170" fontId="30" fillId="6" borderId="330" pivotButton="0" quotePrefix="0" xfId="0"/>
    <xf numFmtId="0" fontId="128" fillId="0" borderId="338" applyAlignment="1" pivotButton="0" quotePrefix="0" xfId="0">
      <alignment horizontal="center"/>
    </xf>
    <xf numFmtId="0" fontId="131" fillId="0" borderId="181" applyAlignment="1" pivotButton="0" quotePrefix="0" xfId="0">
      <alignment horizontal="left" vertical="top" wrapText="1"/>
    </xf>
    <xf numFmtId="0" fontId="107" fillId="0" borderId="182" applyAlignment="1" pivotButton="0" quotePrefix="0" xfId="0">
      <alignment horizontal="left" vertical="top" wrapText="1"/>
    </xf>
    <xf numFmtId="0" fontId="131" fillId="0" borderId="182" applyAlignment="1" pivotButton="0" quotePrefix="0" xfId="0">
      <alignment horizontal="left" vertical="top" wrapText="1"/>
    </xf>
    <xf numFmtId="0" fontId="60" fillId="0" borderId="182" applyAlignment="1" pivotButton="0" quotePrefix="0" xfId="0">
      <alignment horizontal="left" vertical="top" wrapText="1"/>
    </xf>
    <xf numFmtId="0" fontId="60" fillId="0" borderId="182" applyAlignment="1" pivotButton="0" quotePrefix="0" xfId="0">
      <alignment horizontal="center" vertical="top" wrapText="1"/>
    </xf>
    <xf numFmtId="0" fontId="60" fillId="0" borderId="183" applyAlignment="1" pivotButton="0" quotePrefix="0" xfId="0">
      <alignment horizontal="left" vertical="top" wrapText="1"/>
    </xf>
    <xf numFmtId="167" fontId="82" fillId="6" borderId="0" pivotButton="0" quotePrefix="0" xfId="0"/>
    <xf numFmtId="167" fontId="82" fillId="6" borderId="0" applyAlignment="1" pivotButton="0" quotePrefix="0" xfId="0">
      <alignment horizontal="right" vertical="center"/>
    </xf>
    <xf numFmtId="168" fontId="37" fillId="17" borderId="43" applyAlignment="1" applyProtection="1" pivotButton="0" quotePrefix="0" xfId="0">
      <alignment horizontal="right" vertical="center"/>
      <protection locked="0" hidden="0"/>
    </xf>
    <xf numFmtId="168" fontId="35" fillId="0" borderId="22" applyAlignment="1" pivotButton="0" quotePrefix="0" xfId="0">
      <alignment horizontal="right" vertical="center"/>
    </xf>
    <xf numFmtId="168" fontId="0" fillId="0" borderId="0" applyAlignment="1" pivotButton="0" quotePrefix="0" xfId="0">
      <alignment horizontal="center" vertical="center"/>
    </xf>
    <xf numFmtId="170" fontId="30" fillId="6" borderId="215" pivotButton="0" quotePrefix="0" xfId="0"/>
    <xf numFmtId="170" fontId="30" fillId="16" borderId="215" pivotButton="0" quotePrefix="0" xfId="0"/>
    <xf numFmtId="170" fontId="30" fillId="16" borderId="210" pivotButton="0" quotePrefix="0" xfId="0"/>
    <xf numFmtId="170" fontId="30" fillId="9" borderId="218" pivotButton="0" quotePrefix="0" xfId="0"/>
    <xf numFmtId="170" fontId="30" fillId="4" borderId="215" pivotButton="0" quotePrefix="0" xfId="0"/>
    <xf numFmtId="170" fontId="30" fillId="4" borderId="221" pivotButton="0" quotePrefix="0" xfId="0"/>
    <xf numFmtId="170" fontId="30" fillId="9" borderId="212" pivotButton="0" quotePrefix="0" xfId="0"/>
    <xf numFmtId="170" fontId="30" fillId="6" borderId="210" pivotButton="0" quotePrefix="0" xfId="0"/>
    <xf numFmtId="0" fontId="106" fillId="0" borderId="181" applyAlignment="1" pivotButton="0" quotePrefix="0" xfId="0">
      <alignment horizontal="left" vertical="top" wrapText="1"/>
    </xf>
    <xf numFmtId="168" fontId="35" fillId="9" borderId="193" applyAlignment="1" pivotButton="0" quotePrefix="0" xfId="0">
      <alignment horizontal="right" vertical="center"/>
    </xf>
    <xf numFmtId="168" fontId="35" fillId="9" borderId="10" applyAlignment="1" pivotButton="0" quotePrefix="0" xfId="0">
      <alignment horizontal="right" vertical="center"/>
    </xf>
    <xf numFmtId="0" fontId="46" fillId="0" borderId="226" applyAlignment="1" pivotButton="0" quotePrefix="0" xfId="0">
      <alignment horizontal="center" vertical="center" textRotation="90"/>
    </xf>
    <xf numFmtId="0" fontId="46" fillId="0" borderId="338" applyAlignment="1" pivotButton="0" quotePrefix="0" xfId="0">
      <alignment horizontal="center" vertical="center" textRotation="90"/>
    </xf>
    <xf numFmtId="167" fontId="35" fillId="0" borderId="151" applyAlignment="1" pivotButton="0" quotePrefix="0" xfId="0">
      <alignment horizontal="center" vertical="center"/>
    </xf>
    <xf numFmtId="0" fontId="46" fillId="0" borderId="338" applyAlignment="1" pivotButton="0" quotePrefix="0" xfId="0">
      <alignment horizontal="center" vertical="center" textRotation="90" wrapText="1"/>
    </xf>
    <xf numFmtId="168" fontId="0" fillId="0" borderId="0" pivotButton="0" quotePrefix="0" xfId="0"/>
    <xf numFmtId="170" fontId="0" fillId="0" borderId="0" pivotButton="0" quotePrefix="0" xfId="0"/>
    <xf numFmtId="174" fontId="110" fillId="0" borderId="0" pivotButton="0" quotePrefix="0" xfId="2"/>
    <xf numFmtId="170" fontId="110" fillId="0" borderId="0" pivotButton="0" quotePrefix="0" xfId="2"/>
    <xf numFmtId="170" fontId="135" fillId="8" borderId="0" applyAlignment="1" pivotButton="0" quotePrefix="0" xfId="2">
      <alignment horizontal="center" vertical="center" wrapText="1"/>
    </xf>
    <xf numFmtId="170" fontId="110" fillId="0" borderId="0" applyAlignment="1" pivotButton="0" quotePrefix="0" xfId="2">
      <alignment vertical="center" wrapText="1"/>
    </xf>
    <xf numFmtId="0" fontId="27" fillId="0" borderId="338" applyAlignment="1" pivotButton="0" quotePrefix="0" xfId="0">
      <alignment horizontal="center" vertical="center" textRotation="90"/>
    </xf>
    <xf numFmtId="170" fontId="27" fillId="0" borderId="0" pivotButton="0" quotePrefix="0" xfId="2"/>
    <xf numFmtId="178" fontId="27" fillId="0" borderId="0" pivotButton="0" quotePrefix="0" xfId="2"/>
    <xf numFmtId="0" fontId="27" fillId="0" borderId="338" applyAlignment="1" pivotButton="0" quotePrefix="0" xfId="0">
      <alignment horizontal="center" vertical="center" textRotation="90" wrapText="1"/>
    </xf>
    <xf numFmtId="179" fontId="27" fillId="0" borderId="0" pivotButton="0" quotePrefix="0" xfId="0"/>
    <xf numFmtId="178" fontId="27" fillId="0" borderId="0" pivotButton="0" quotePrefix="0" xfId="0"/>
    <xf numFmtId="174" fontId="27" fillId="0" borderId="0" pivotButton="0" quotePrefix="0" xfId="2"/>
    <xf numFmtId="170" fontId="48" fillId="10" borderId="22" applyAlignment="1" pivotButton="0" quotePrefix="0" xfId="0">
      <alignment horizontal="left" vertical="top" wrapText="1"/>
    </xf>
    <xf numFmtId="165" fontId="10" fillId="0" borderId="0" applyAlignment="1" pivotButton="0" quotePrefix="0" xfId="0">
      <alignment horizontal="left"/>
    </xf>
    <xf numFmtId="164" fontId="10" fillId="0" borderId="0" pivotButton="0" quotePrefix="0" xfId="0"/>
    <xf numFmtId="169" fontId="50" fillId="0" borderId="0" pivotButton="0" quotePrefix="0" xfId="0"/>
    <xf numFmtId="169" fontId="50" fillId="0" borderId="119" pivotButton="0" quotePrefix="0" xfId="0"/>
    <xf numFmtId="169" fontId="40" fillId="0" borderId="0" applyAlignment="1" pivotButton="0" quotePrefix="0" xfId="0">
      <alignment horizontal="fill"/>
    </xf>
    <xf numFmtId="169" fontId="40" fillId="0" borderId="119" applyAlignment="1" pivotButton="0" quotePrefix="0" xfId="0">
      <alignment horizontal="fill"/>
    </xf>
    <xf numFmtId="169" fontId="40" fillId="0" borderId="82" applyAlignment="1" pivotButton="0" quotePrefix="0" xfId="0">
      <alignment horizontal="fill"/>
    </xf>
    <xf numFmtId="169" fontId="101" fillId="0" borderId="157" applyAlignment="1" pivotButton="0" quotePrefix="0" xfId="0">
      <alignment horizontal="fill"/>
    </xf>
    <xf numFmtId="168" fontId="27" fillId="0" borderId="0" pivotButton="0" quotePrefix="0" xfId="0"/>
    <xf numFmtId="177" fontId="101" fillId="0" borderId="157" pivotButton="0" quotePrefix="0" xfId="0"/>
    <xf numFmtId="168" fontId="27" fillId="0" borderId="0" applyAlignment="1" pivotButton="0" quotePrefix="0" xfId="0">
      <alignment horizontal="left" indent="2"/>
    </xf>
    <xf numFmtId="168" fontId="27" fillId="0" borderId="0" applyAlignment="1" pivotButton="0" quotePrefix="0" xfId="0">
      <alignment horizontal="left" indent="3"/>
    </xf>
    <xf numFmtId="177" fontId="102" fillId="0" borderId="157" pivotButton="0" quotePrefix="0" xfId="0"/>
    <xf numFmtId="168" fontId="38" fillId="0" borderId="0" pivotButton="0" quotePrefix="0" xfId="0"/>
    <xf numFmtId="177" fontId="21" fillId="0" borderId="163" pivotButton="0" quotePrefix="0" xfId="0"/>
    <xf numFmtId="177" fontId="102" fillId="0" borderId="163" pivotButton="0" quotePrefix="0" xfId="0"/>
    <xf numFmtId="169" fontId="39" fillId="0" borderId="0" pivotButton="0" quotePrefix="0" xfId="0"/>
    <xf numFmtId="171" fontId="57" fillId="0" borderId="0" applyAlignment="1" pivotButton="0" quotePrefix="0" xfId="0">
      <alignment horizontal="left" indent="1"/>
    </xf>
    <xf numFmtId="171" fontId="57" fillId="0" borderId="0" pivotButton="0" quotePrefix="0" xfId="0"/>
    <xf numFmtId="171" fontId="51" fillId="0" borderId="124" pivotButton="0" quotePrefix="0" xfId="0"/>
    <xf numFmtId="171" fontId="51" fillId="0" borderId="0" pivotButton="0" quotePrefix="0" xfId="0"/>
    <xf numFmtId="171" fontId="57" fillId="0" borderId="117" pivotButton="0" quotePrefix="0" xfId="0"/>
    <xf numFmtId="171" fontId="57" fillId="0" borderId="0" applyAlignment="1" pivotButton="0" quotePrefix="0" xfId="0">
      <alignment horizontal="left" indent="2"/>
    </xf>
    <xf numFmtId="171" fontId="57" fillId="0" borderId="0" applyAlignment="1" pivotButton="0" quotePrefix="0" xfId="0">
      <alignment horizontal="left" wrapText="1" indent="2"/>
    </xf>
    <xf numFmtId="171" fontId="63" fillId="0" borderId="0" applyAlignment="1" pivotButton="0" quotePrefix="0" xfId="0">
      <alignment horizontal="left"/>
    </xf>
    <xf numFmtId="171" fontId="51" fillId="0" borderId="125" pivotButton="0" quotePrefix="0" xfId="0"/>
    <xf numFmtId="171" fontId="51" fillId="0" borderId="197" pivotButton="0" quotePrefix="0" xfId="0"/>
    <xf numFmtId="171" fontId="51" fillId="0" borderId="126" pivotButton="0" quotePrefix="0" xfId="0"/>
    <xf numFmtId="171" fontId="51" fillId="0" borderId="198" pivotButton="0" quotePrefix="0" xfId="0"/>
    <xf numFmtId="171" fontId="57" fillId="0" borderId="124" applyProtection="1" pivotButton="0" quotePrefix="0" xfId="0">
      <protection locked="0" hidden="0"/>
    </xf>
    <xf numFmtId="171" fontId="57" fillId="0" borderId="0" applyProtection="1" pivotButton="0" quotePrefix="0" xfId="0">
      <protection locked="0" hidden="0"/>
    </xf>
    <xf numFmtId="171" fontId="57" fillId="0" borderId="124" pivotButton="0" quotePrefix="0" xfId="0"/>
    <xf numFmtId="171" fontId="134" fillId="0" borderId="0" applyAlignment="1" pivotButton="0" quotePrefix="0" xfId="0">
      <alignment horizontal="left" indent="1"/>
    </xf>
    <xf numFmtId="171" fontId="57" fillId="0" borderId="0" applyAlignment="1" pivotButton="0" quotePrefix="0" xfId="0">
      <alignment horizontal="left" indent="3"/>
    </xf>
    <xf numFmtId="171" fontId="64" fillId="0" borderId="124" pivotButton="0" quotePrefix="0" xfId="0"/>
    <xf numFmtId="171" fontId="64" fillId="0" borderId="0" pivotButton="0" quotePrefix="0" xfId="0"/>
    <xf numFmtId="171" fontId="57" fillId="0" borderId="0" applyAlignment="1" pivotButton="0" quotePrefix="0" xfId="0">
      <alignment horizontal="left"/>
    </xf>
    <xf numFmtId="171" fontId="51" fillId="0" borderId="0" applyAlignment="1" pivotButton="0" quotePrefix="0" xfId="0">
      <alignment horizontal="left"/>
    </xf>
    <xf numFmtId="171" fontId="134" fillId="0" borderId="0" applyAlignment="1" pivotButton="0" quotePrefix="0" xfId="0">
      <alignment horizontal="left"/>
    </xf>
    <xf numFmtId="171" fontId="51" fillId="0" borderId="199" pivotButton="0" quotePrefix="0" xfId="0"/>
    <xf numFmtId="171" fontId="51" fillId="0" borderId="0" applyAlignment="1" pivotButton="0" quotePrefix="0" xfId="0">
      <alignment horizontal="left" indent="1"/>
    </xf>
    <xf numFmtId="171" fontId="54" fillId="0" borderId="0" applyAlignment="1" pivotButton="0" quotePrefix="0" xfId="0">
      <alignment horizontal="left"/>
    </xf>
    <xf numFmtId="171" fontId="58" fillId="0" borderId="0" applyAlignment="1" pivotButton="0" quotePrefix="0" xfId="0">
      <alignment horizontal="left"/>
    </xf>
    <xf numFmtId="171" fontId="65" fillId="0" borderId="0" applyAlignment="1" pivotButton="0" quotePrefix="0" xfId="0">
      <alignment horizontal="left"/>
    </xf>
    <xf numFmtId="171" fontId="51" fillId="0" borderId="200" pivotButton="0" quotePrefix="0" xfId="0"/>
    <xf numFmtId="171" fontId="51" fillId="0" borderId="201" pivotButton="0" quotePrefix="0" xfId="0"/>
    <xf numFmtId="171" fontId="51" fillId="0" borderId="0" applyAlignment="1" pivotButton="0" quotePrefix="1" xfId="0">
      <alignment horizontal="center"/>
    </xf>
    <xf numFmtId="171" fontId="55" fillId="0" borderId="0" applyAlignment="1" applyProtection="1" pivotButton="0" quotePrefix="0" xfId="0">
      <alignment horizontal="center"/>
      <protection locked="0" hidden="0"/>
    </xf>
    <xf numFmtId="171" fontId="49" fillId="0" borderId="0" pivotButton="0" quotePrefix="0" xfId="0"/>
    <xf numFmtId="171" fontId="75" fillId="0" borderId="32" pivotButton="0" quotePrefix="0" xfId="0"/>
    <xf numFmtId="171" fontId="51" fillId="0" borderId="182" pivotButton="0" quotePrefix="0" xfId="0"/>
    <xf numFmtId="171" fontId="51" fillId="0" borderId="0" applyAlignment="1" pivotButton="0" quotePrefix="0" xfId="0">
      <alignment horizontal="center"/>
    </xf>
    <xf numFmtId="171" fontId="56" fillId="0" borderId="0" applyAlignment="1" applyProtection="1" pivotButton="0" quotePrefix="0" xfId="0">
      <alignment horizontal="center"/>
      <protection locked="0" hidden="0"/>
    </xf>
    <xf numFmtId="171" fontId="51" fillId="0" borderId="32" pivotButton="0" quotePrefix="0" xfId="0"/>
    <xf numFmtId="171" fontId="50" fillId="2" borderId="23" applyAlignment="1" pivotButton="0" quotePrefix="0" xfId="0">
      <alignment horizontal="left"/>
    </xf>
    <xf numFmtId="171" fontId="50" fillId="0" borderId="33" pivotButton="0" quotePrefix="0" xfId="0"/>
    <xf numFmtId="171" fontId="50" fillId="2" borderId="33" pivotButton="0" quotePrefix="0" xfId="0"/>
    <xf numFmtId="171" fontId="50" fillId="2" borderId="188" pivotButton="0" quotePrefix="0" xfId="0"/>
    <xf numFmtId="171" fontId="50" fillId="11" borderId="33" pivotButton="0" quotePrefix="0" xfId="0"/>
    <xf numFmtId="171" fontId="50" fillId="11" borderId="188" pivotButton="0" quotePrefix="0" xfId="0"/>
    <xf numFmtId="171" fontId="0" fillId="0" borderId="0" pivotButton="0" quotePrefix="0" xfId="0"/>
    <xf numFmtId="171" fontId="54" fillId="0" borderId="0" pivotButton="0" quotePrefix="0" xfId="0"/>
    <xf numFmtId="171" fontId="51" fillId="0" borderId="32" applyAlignment="1" pivotButton="0" quotePrefix="0" xfId="0">
      <alignment horizontal="fill"/>
    </xf>
    <xf numFmtId="171" fontId="51" fillId="0" borderId="58" applyAlignment="1" pivotButton="0" quotePrefix="0" xfId="0">
      <alignment horizontal="fill"/>
    </xf>
    <xf numFmtId="171" fontId="51" fillId="0" borderId="0" applyAlignment="1" pivotButton="0" quotePrefix="0" xfId="0">
      <alignment horizontal="fill"/>
    </xf>
    <xf numFmtId="171" fontId="49" fillId="0" borderId="182" pivotButton="0" quotePrefix="0" xfId="0"/>
    <xf numFmtId="171" fontId="50" fillId="0" borderId="0" applyAlignment="1" pivotButton="0" quotePrefix="0" xfId="0">
      <alignment horizontal="left"/>
    </xf>
    <xf numFmtId="171" fontId="51" fillId="0" borderId="59" pivotButton="0" quotePrefix="0" xfId="0"/>
    <xf numFmtId="171" fontId="51" fillId="0" borderId="57" pivotButton="0" quotePrefix="0" xfId="0"/>
    <xf numFmtId="171" fontId="53" fillId="11" borderId="188" pivotButton="0" quotePrefix="0" xfId="0"/>
    <xf numFmtId="171" fontId="50" fillId="0" borderId="34" pivotButton="0" quotePrefix="0" xfId="0"/>
    <xf numFmtId="171" fontId="50" fillId="0" borderId="6" pivotButton="0" quotePrefix="0" xfId="0"/>
    <xf numFmtId="171" fontId="50" fillId="2" borderId="23" pivotButton="0" quotePrefix="0" xfId="0"/>
    <xf numFmtId="171" fontId="50" fillId="11" borderId="23" pivotButton="0" quotePrefix="0" xfId="0"/>
    <xf numFmtId="171" fontId="51" fillId="2" borderId="23" applyAlignment="1" pivotButton="0" quotePrefix="0" xfId="0">
      <alignment horizontal="right"/>
    </xf>
    <xf numFmtId="171" fontId="55" fillId="0" borderId="0" applyAlignment="1" applyProtection="1" pivotButton="0" quotePrefix="0" xfId="0">
      <alignment horizontal="left"/>
      <protection locked="0" hidden="0"/>
    </xf>
    <xf numFmtId="171" fontId="51" fillId="0" borderId="33" pivotButton="0" quotePrefix="0" xfId="3"/>
    <xf numFmtId="171" fontId="51" fillId="2" borderId="33" pivotButton="0" quotePrefix="0" xfId="3"/>
    <xf numFmtId="171" fontId="51" fillId="2" borderId="23" pivotButton="0" quotePrefix="0" xfId="3"/>
    <xf numFmtId="171" fontId="51" fillId="2" borderId="188" pivotButton="0" quotePrefix="0" xfId="3"/>
    <xf numFmtId="171" fontId="51" fillId="11" borderId="33" pivotButton="0" quotePrefix="0" xfId="3"/>
    <xf numFmtId="171" fontId="51" fillId="11" borderId="23" pivotButton="0" quotePrefix="0" xfId="3"/>
    <xf numFmtId="171" fontId="51" fillId="11" borderId="188" pivotButton="0" quotePrefix="0" xfId="3"/>
    <xf numFmtId="171" fontId="50" fillId="0" borderId="32" pivotButton="0" quotePrefix="0" xfId="0"/>
    <xf numFmtId="171" fontId="50" fillId="0" borderId="0" pivotButton="0" quotePrefix="0" xfId="0"/>
    <xf numFmtId="171" fontId="50" fillId="0" borderId="182" pivotButton="0" quotePrefix="0" xfId="0"/>
    <xf numFmtId="171" fontId="57" fillId="0" borderId="182" pivotButton="0" quotePrefix="0" xfId="0"/>
    <xf numFmtId="171" fontId="51" fillId="0" borderId="0" applyAlignment="1" pivotButton="0" quotePrefix="0" xfId="0">
      <alignment horizontal="right"/>
    </xf>
    <xf numFmtId="171" fontId="51" fillId="0" borderId="124" applyAlignment="1" pivotButton="0" quotePrefix="0" xfId="0">
      <alignment horizontal="right"/>
    </xf>
    <xf numFmtId="171" fontId="50" fillId="11" borderId="171" applyAlignment="1" pivotButton="0" quotePrefix="0" xfId="0">
      <alignment horizontal="left"/>
    </xf>
    <xf numFmtId="171" fontId="50" fillId="11" borderId="171" applyAlignment="1" pivotButton="0" quotePrefix="0" xfId="0">
      <alignment horizontal="center"/>
    </xf>
    <xf numFmtId="171" fontId="84" fillId="11" borderId="171" applyAlignment="1" applyProtection="1" pivotButton="0" quotePrefix="0" xfId="0">
      <alignment horizontal="center"/>
      <protection locked="0" hidden="0"/>
    </xf>
    <xf numFmtId="171" fontId="53" fillId="11" borderId="171" pivotButton="0" quotePrefix="0" xfId="0"/>
    <xf numFmtId="171" fontId="50" fillId="0" borderId="171" pivotButton="0" quotePrefix="0" xfId="0"/>
    <xf numFmtId="171" fontId="50" fillId="11" borderId="171" pivotButton="0" quotePrefix="0" xfId="0"/>
    <xf numFmtId="171" fontId="50" fillId="11" borderId="203" pivotButton="0" quotePrefix="0" xfId="0"/>
    <xf numFmtId="171" fontId="54" fillId="0" borderId="187" pivotButton="0" quotePrefix="0" xfId="0"/>
    <xf numFmtId="171" fontId="53" fillId="11" borderId="205" pivotButton="0" quotePrefix="0" xfId="0"/>
    <xf numFmtId="166" fontId="51" fillId="0" borderId="35" pivotButton="0" quotePrefix="0" xfId="0"/>
    <xf numFmtId="167" fontId="51" fillId="0" borderId="35" pivotButton="0" quotePrefix="0" xfId="0"/>
    <xf numFmtId="167" fontId="51" fillId="0" borderId="29" pivotButton="0" quotePrefix="0" xfId="0"/>
    <xf numFmtId="166" fontId="49" fillId="0" borderId="285" pivotButton="0" quotePrefix="0" xfId="0"/>
    <xf numFmtId="166" fontId="49" fillId="0" borderId="183" pivotButton="0" quotePrefix="0" xfId="0"/>
    <xf numFmtId="166" fontId="51" fillId="0" borderId="9" pivotButton="0" quotePrefix="0" xfId="0"/>
    <xf numFmtId="166" fontId="40" fillId="0" borderId="0" pivotButton="0" quotePrefix="0" xfId="0"/>
    <xf numFmtId="166" fontId="16" fillId="0" borderId="0" pivotButton="0" quotePrefix="0" xfId="0"/>
    <xf numFmtId="0" fontId="120" fillId="0" borderId="181" applyAlignment="1" pivotButton="0" quotePrefix="0" xfId="0">
      <alignment horizontal="center"/>
    </xf>
    <xf numFmtId="0" fontId="51" fillId="0" borderId="181" applyAlignment="1" pivotButton="0" quotePrefix="0" xfId="0">
      <alignment horizontal="left"/>
    </xf>
    <xf numFmtId="0" fontId="130" fillId="0" borderId="182" applyAlignment="1" pivotButton="0" quotePrefix="0" xfId="0">
      <alignment horizontal="left" indent="1"/>
    </xf>
    <xf numFmtId="0" fontId="51" fillId="0" borderId="182" applyAlignment="1" pivotButton="0" quotePrefix="0" xfId="0">
      <alignment horizontal="left"/>
    </xf>
    <xf numFmtId="0" fontId="130" fillId="0" borderId="182" applyAlignment="1" pivotButton="0" quotePrefix="0" xfId="0">
      <alignment horizontal="left"/>
    </xf>
    <xf numFmtId="0" fontId="51" fillId="0" borderId="183" applyAlignment="1" pivotButton="0" quotePrefix="0" xfId="0">
      <alignment horizontal="left"/>
    </xf>
    <xf numFmtId="166" fontId="6" fillId="0" borderId="0" pivotButton="0" quotePrefix="0" xfId="0"/>
    <xf numFmtId="166" fontId="0" fillId="0" borderId="0" pivotButton="0" quotePrefix="0" xfId="0"/>
    <xf numFmtId="172" fontId="60" fillId="0" borderId="0" pivotButton="0" quotePrefix="0" xfId="2"/>
    <xf numFmtId="172" fontId="60" fillId="0" borderId="12" pivotButton="0" quotePrefix="0" xfId="2"/>
    <xf numFmtId="172" fontId="60" fillId="0" borderId="0" pivotButton="0" quotePrefix="0" xfId="0"/>
    <xf numFmtId="172" fontId="27" fillId="0" borderId="0" pivotButton="0" quotePrefix="0" xfId="0"/>
    <xf numFmtId="173" fontId="60" fillId="0" borderId="0" pivotButton="0" quotePrefix="0" xfId="0"/>
    <xf numFmtId="170" fontId="60" fillId="0" borderId="0" pivotButton="0" quotePrefix="0" xfId="0"/>
    <xf numFmtId="168" fontId="132" fillId="0" borderId="0" applyAlignment="1" pivotButton="0" quotePrefix="0" xfId="0">
      <alignment horizontal="left" vertical="center"/>
    </xf>
    <xf numFmtId="0" fontId="139" fillId="0" borderId="0" pivotButton="0" quotePrefix="0" xfId="0"/>
    <xf numFmtId="0" fontId="140" fillId="0" borderId="0" applyAlignment="1" pivotButton="0" quotePrefix="0" xfId="0">
      <alignment wrapText="1"/>
    </xf>
    <xf numFmtId="0" fontId="141" fillId="0" borderId="0" pivotButton="0" quotePrefix="0" xfId="0"/>
    <xf numFmtId="0" fontId="142" fillId="18" borderId="0" pivotButton="0" quotePrefix="0" xfId="0"/>
    <xf numFmtId="0" fontId="140" fillId="0" borderId="0" pivotButton="0" quotePrefix="0" xfId="0"/>
    <xf numFmtId="180" fontId="143" fillId="0" borderId="0" pivotButton="0" quotePrefix="0" xfId="0"/>
    <xf numFmtId="0" fontId="144" fillId="0" borderId="352" pivotButton="0" quotePrefix="0" xfId="0"/>
    <xf numFmtId="180" fontId="0" fillId="0" borderId="0" pivotButton="0" quotePrefix="0" xfId="0"/>
    <xf numFmtId="180" fontId="0" fillId="18" borderId="0" pivotButton="0" quotePrefix="0" xfId="0"/>
    <xf numFmtId="180" fontId="143" fillId="18" borderId="0" pivotButton="0" quotePrefix="0" xfId="0"/>
    <xf numFmtId="0" fontId="144" fillId="0" borderId="353" pivotButton="0" quotePrefix="0" xfId="0"/>
    <xf numFmtId="0" fontId="0" fillId="0" borderId="353" pivotButton="0" quotePrefix="0" xfId="0"/>
    <xf numFmtId="180" fontId="144" fillId="0" borderId="353" pivotButton="0" quotePrefix="0" xfId="0"/>
    <xf numFmtId="180" fontId="144" fillId="0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0" borderId="0" pivotButton="0" quotePrefix="0" xfId="0"/>
    <xf numFmtId="0" fontId="147" fillId="19" borderId="0" pivotButton="0" quotePrefix="0" xfId="0"/>
    <xf numFmtId="0" fontId="0" fillId="19" borderId="0" pivotButton="0" quotePrefix="0" xfId="0"/>
    <xf numFmtId="0" fontId="148" fillId="0" borderId="0" pivotButton="0" quotePrefix="0" xfId="0"/>
    <xf numFmtId="0" fontId="149" fillId="0" borderId="354" pivotButton="0" quotePrefix="0" xfId="0"/>
    <xf numFmtId="0" fontId="0" fillId="0" borderId="354" pivotButton="0" quotePrefix="0" xfId="0"/>
    <xf numFmtId="180" fontId="149" fillId="0" borderId="354" pivotButton="0" quotePrefix="0" xfId="0"/>
    <xf numFmtId="0" fontId="150" fillId="0" borderId="0" pivotButton="0" quotePrefix="0" xfId="0"/>
    <xf numFmtId="0" fontId="151" fillId="0" borderId="0" pivotButton="0" quotePrefix="0" xfId="0"/>
    <xf numFmtId="0" fontId="152" fillId="20" borderId="0" applyAlignment="1" pivotButton="0" quotePrefix="0" xfId="0">
      <alignment horizontal="left"/>
    </xf>
    <xf numFmtId="0" fontId="152" fillId="20" borderId="0" applyAlignment="1" pivotButton="0" quotePrefix="0" xfId="0">
      <alignment horizontal="right"/>
    </xf>
    <xf numFmtId="172" fontId="40" fillId="0" borderId="0" pivotButton="0" quotePrefix="0" xfId="0"/>
    <xf numFmtId="0" fontId="39" fillId="0" borderId="355" pivotButton="0" quotePrefix="0" xfId="0"/>
    <xf numFmtId="0" fontId="0" fillId="0" borderId="355" pivotButton="0" quotePrefix="0" xfId="0"/>
    <xf numFmtId="172" fontId="39" fillId="0" borderId="355" pivotButton="0" quotePrefix="0" xfId="0"/>
    <xf numFmtId="0" fontId="50" fillId="0" borderId="356" pivotButton="0" quotePrefix="0" xfId="0"/>
    <xf numFmtId="0" fontId="0" fillId="0" borderId="356" pivotButton="0" quotePrefix="0" xfId="0"/>
    <xf numFmtId="172" fontId="50" fillId="0" borderId="356" pivotButton="0" quotePrefix="0" xfId="0"/>
    <xf numFmtId="172" fontId="39" fillId="0" borderId="0" pivotButton="0" quotePrefix="0" xfId="0"/>
    <xf numFmtId="0" fontId="153" fillId="0" borderId="0" applyAlignment="1" pivotButton="0" quotePrefix="0" xfId="0">
      <alignment wrapText="1"/>
    </xf>
    <xf numFmtId="0" fontId="154" fillId="0" borderId="0" pivotButton="0" quotePrefix="0" xfId="0"/>
    <xf numFmtId="0" fontId="155" fillId="20" borderId="0" applyAlignment="1" pivotButton="0" quotePrefix="0" xfId="0">
      <alignment vertical="center" wrapText="1"/>
    </xf>
    <xf numFmtId="3" fontId="40" fillId="0" borderId="0" pivotButton="0" quotePrefix="0" xfId="0"/>
    <xf numFmtId="9" fontId="40" fillId="0" borderId="0" pivotButton="0" quotePrefix="0" xfId="0"/>
    <xf numFmtId="0" fontId="153" fillId="0" borderId="0" pivotButton="0" quotePrefix="0" xfId="0"/>
    <xf numFmtId="0" fontId="39" fillId="0" borderId="356" pivotButton="0" quotePrefix="0" xfId="0"/>
    <xf numFmtId="3" fontId="39" fillId="0" borderId="356" pivotButton="0" quotePrefix="0" xfId="0"/>
    <xf numFmtId="9" fontId="39" fillId="0" borderId="356" pivotButton="0" quotePrefix="0" xfId="0"/>
    <xf numFmtId="172" fontId="39" fillId="0" borderId="356" pivotButton="0" quotePrefix="0" xfId="0"/>
    <xf numFmtId="0" fontId="155" fillId="20" borderId="0" pivotButton="0" quotePrefix="0" xfId="0"/>
  </cellXfs>
  <cellStyles count="8">
    <cellStyle name="Normal" xfId="0" builtinId="0"/>
    <cellStyle name="Comma" xfId="1" builtinId="3"/>
    <cellStyle name="Currency" xfId="2" builtinId="4"/>
    <cellStyle name="Percent" xfId="3" builtinId="5"/>
    <cellStyle name="Hyperlink" xfId="4" builtinId="8"/>
    <cellStyle name="Hyperlink 2" xfId="5"/>
    <cellStyle name="Heading 1" xfId="6" builtinId="16"/>
    <cellStyle name="Calculation" xfId="7" builtinId="22"/>
  </cellStyles>
  <dxfs count="29"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8"/>
        <extend val="0"/>
      </font>
    </dxf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8"/>
        <extend val="0"/>
      </font>
    </dxf>
    <dxf>
      <font>
        <name val="Aileron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numFmt numFmtId="177" formatCode="_([$$-409]* #,##0_);_([$$-409]* \(#,##0\);_([$$-409]* &quot;-&quot;??_);_(@_)"/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numFmt numFmtId="177" formatCode="_([$$-409]* #,##0_);_([$$-409]* \(#,##0\);_([$$-409]* &quot;-&quot;??_);_(@_)"/>
      <fill>
        <patternFill>
          <fgColor indexed="64"/>
          <bgColor auto="1"/>
        </patternFill>
      </fill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$-409]* #,##0.00_);_([$$-409]* \(#,##0.00\);_([$$-409]* &quot;-&quot;??_);_(@_)"/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numFmt numFmtId="34" formatCode="_(&quot;$&quot;* #,##0.00_);_(&quot;$&quot;* \(#,##0.00\);_(&quot;$&quot;* &quot;-&quot;??_);_(@_)"/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numFmt numFmtId="171" formatCode="_([$$-409]* #,##0.00_);_([$$-409]* \(#,##0.00\);_([$$-409]* &quot;-&quot;??_);_(@_)"/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numFmt numFmtId="34" formatCode="_(&quot;$&quot;* #,##0.00_);_(&quot;$&quot;* \(#,##0.00\);_(&quot;$&quot;* &quot;-&quot;??_);_(@_)"/>
      <fill>
        <patternFill>
          <fgColor indexed="64"/>
          <bgColor auto="1"/>
        </patternFill>
      </fill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ileron"/>
        <i val="1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</dxf>
    <dxf>
      <font>
        <name val="Aileron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left" vertical="top" wrapText="1"/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left" vertical="top" wrapText="1"/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left" vertical="top" wrapText="1"/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left" vertical="top" wrapText="1"/>
    </dxf>
    <dxf>
      <font>
        <name val="Aileron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Aileron"/>
        <strike val="0"/>
        <outline val="0"/>
        <shadow val="0"/>
        <color theme="1"/>
        <sz val="11"/>
        <vertAlign val="baseline"/>
      </font>
      <fill>
        <patternFill>
          <fgColor indexed="64"/>
          <bgColor auto="1"/>
        </patternFill>
      </fill>
      <alignment horizontal="left" vertical="top"/>
    </dxf>
    <dxf>
      <font>
        <name val="Aileron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</dxf>
    <dxf>
      <font>
        <name val="Aileron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</dxf>
    <dxf>
      <font>
        <name val="Aileron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rgb="FFDB5E71"/>
        </patternFill>
      </fill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Revenue Growth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100000">
                  <a:schemeClr val="accent1">
                    <a:lumMod val="5000"/>
                    <a:lumOff val="95000"/>
                  </a:schemeClr>
                </a:gs>
                <a:gs pos="59000">
                  <a:schemeClr val="bg1">
                    <a:lumMod val="65000"/>
                  </a:schemeClr>
                </a:gs>
              </a:gsLst>
              <a:lin ang="5400000" scaled="1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ileron" pitchFamily="2" charset="77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xmlns:a="http://schemas.openxmlformats.org/drawingml/2006/main" w="19050" cap="rnd">
                <a:solidFill>
                  <a:srgbClr val="DB5E71"/>
                </a:solidFill>
                <a:prstDash val="solid"/>
              </a:ln>
            </spPr>
            <trendlineType val="linear"/>
            <dispRSqr val="0"/>
            <dispEq val="0"/>
          </trendline>
          <cat>
            <numRef>
              <f>'Ratios and Glance'!$C$5:$I$5</f>
              <numCache>
                <formatCode>General</formatCode>
                <ptCount val="7"/>
                <pt idx="0">
                  <v>2025</v>
                </pt>
                <pt idx="2">
                  <v>2026</v>
                </pt>
                <pt idx="4">
                  <v>2027</v>
                </pt>
                <pt idx="6">
                  <v>2028</v>
                </pt>
              </numCache>
            </numRef>
          </cat>
          <val>
            <numRef>
              <f>'Ratios and Glance'!$C$9:$I$9</f>
              <numCache>
                <formatCode>_("$"* #,##0_);_("$"* \(#,##0\);_("$"* "-"??_);_(@_)</formatCode>
                <ptCount val="7"/>
                <pt idx="0">
                  <v>2826168.71717441</v>
                </pt>
                <pt idx="2">
                  <v>6090045.252397574</v>
                </pt>
                <pt idx="4">
                  <v>10202433.32104468</v>
                </pt>
                <pt idx="6">
                  <v>14284491.0198775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220578896"/>
        <axId val="296934976"/>
      </barChart>
      <catAx>
        <axId val="2205788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96934976"/>
        <crosses val="autoZero"/>
        <auto val="1"/>
        <lblAlgn val="ctr"/>
        <lblOffset val="100"/>
        <noMultiLvlLbl val="0"/>
      </catAx>
      <valAx>
        <axId val="296934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ileron Bold" pitchFamily="2" charset="77"/>
                    <a:ea typeface="+mn-ea"/>
                    <a:cs typeface="+mn-cs"/>
                  </a:defRPr>
                </a:pPr>
                <a:r>
                  <a:rPr lang="en-US" sz="1400">
                    <a:latin typeface="Aileron" pitchFamily="2" charset="77"/>
                  </a:rPr>
                  <a:t>Revenue</a:t>
                </a:r>
              </a:p>
              <a:p xmlns:a="http://schemas.openxmlformats.org/drawingml/2006/main">
                <a:pPr>
                  <a:defRPr sz="1400">
                    <a:latin typeface="Aileron Bold" pitchFamily="2" charset="77"/>
                  </a:defRPr>
                </a:pPr>
                <a:r>
                  <a:t>None</a:t>
                </a:r>
                <a:endParaRPr lang="en-US" sz="1400">
                  <a:latin typeface="Aileron" pitchFamily="2" charset="77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4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ileron Bold" pitchFamily="2" charset="77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0578896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Total User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669148264984227"/>
          <y val="0.08845261121856866"/>
          <w val="0.8179432176656152"/>
          <h val="0.89762088974854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ileron" pitchFamily="2" charset="77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xmlns:a="http://schemas.openxmlformats.org/drawingml/2006/main" w="19050" cap="rnd">
                <a:solidFill>
                  <a:srgbClr val="DB5E71"/>
                </a:solidFill>
                <a:prstDash val="solid"/>
              </a:ln>
            </spPr>
            <trendlineType val="linear"/>
            <dispRSqr val="0"/>
            <dispEq val="0"/>
          </trendline>
          <cat>
            <numRef>
              <f>'Ratios and Glance'!$C$5:$I$5</f>
              <numCache>
                <formatCode>General</formatCode>
                <ptCount val="7"/>
                <pt idx="0">
                  <v>2025</v>
                </pt>
                <pt idx="2">
                  <v>2026</v>
                </pt>
                <pt idx="4">
                  <v>2027</v>
                </pt>
                <pt idx="6">
                  <v>2028</v>
                </pt>
              </numCache>
            </numRef>
          </cat>
          <val>
            <numRef>
              <f>'Ratios and Glance'!$C$24:$I$24</f>
              <numCache>
                <formatCode>General</formatCode>
                <ptCount val="7"/>
                <pt idx="0">
                  <v>630</v>
                </pt>
                <pt idx="2">
                  <v>1565</v>
                </pt>
                <pt idx="4">
                  <v>2590</v>
                </pt>
                <pt idx="6">
                  <v>3535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220578896"/>
        <axId val="296934976"/>
      </barChart>
      <catAx>
        <axId val="2205788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96934976"/>
        <crosses val="autoZero"/>
        <auto val="1"/>
        <lblAlgn val="ctr"/>
        <lblOffset val="100"/>
        <noMultiLvlLbl val="0"/>
      </catAx>
      <valAx>
        <axId val="296934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ileron Bold" pitchFamily="2" charset="77"/>
                    <a:ea typeface="+mn-ea"/>
                    <a:cs typeface="+mn-cs"/>
                  </a:defRPr>
                </a:pPr>
                <a:r>
                  <a:rPr lang="en-US" sz="1400">
                    <a:latin typeface="Aileron" pitchFamily="2" charset="77"/>
                  </a:rPr>
                  <a:t>Users</a:t>
                </a:r>
              </a:p>
              <a:p xmlns:a="http://schemas.openxmlformats.org/drawingml/2006/main">
                <a:pPr>
                  <a:defRPr sz="1400">
                    <a:latin typeface="Aileron Bold" pitchFamily="2" charset="77"/>
                  </a:defRPr>
                </a:pPr>
                <a:r>
                  <a:t>None</a:t>
                </a:r>
                <a:endParaRPr lang="en-US" sz="1400">
                  <a:latin typeface="Aileron" pitchFamily="2" charset="77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05485709204793567"/>
              <y val="0.4422448604430283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4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ileron Bold" pitchFamily="2" charset="77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0578896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Users!$B$3:$BU$4</f>
              <strCache>
                <ptCount val="72"/>
                <pt idx="0">
                  <v>1</v>
                </pt>
                <pt idx="1">
                  <v> </v>
                </pt>
                <pt idx="2">
                  <v> </v>
                </pt>
                <pt idx="3">
                  <v>4</v>
                </pt>
                <pt idx="4">
                  <v> </v>
                </pt>
                <pt idx="5">
                  <v> </v>
                </pt>
                <pt idx="6">
                  <v> </v>
                </pt>
                <pt idx="7">
                  <v>8</v>
                </pt>
                <pt idx="8">
                  <v> </v>
                </pt>
                <pt idx="9">
                  <v> </v>
                </pt>
                <pt idx="10">
                  <v> </v>
                </pt>
                <pt idx="11">
                  <v>12</v>
                </pt>
                <pt idx="12">
                  <v> </v>
                </pt>
                <pt idx="13">
                  <v> </v>
                </pt>
                <pt idx="14">
                  <v> </v>
                </pt>
                <pt idx="15">
                  <v>16</v>
                </pt>
                <pt idx="16">
                  <v> </v>
                </pt>
                <pt idx="17">
                  <v> </v>
                </pt>
                <pt idx="18">
                  <v> </v>
                </pt>
                <pt idx="19">
                  <v>20</v>
                </pt>
                <pt idx="20">
                  <v> </v>
                </pt>
                <pt idx="21">
                  <v> </v>
                </pt>
                <pt idx="22">
                  <v> </v>
                </pt>
                <pt idx="23">
                  <v>24</v>
                </pt>
                <pt idx="24">
                  <v> </v>
                </pt>
                <pt idx="25">
                  <v> </v>
                </pt>
                <pt idx="26">
                  <v> </v>
                </pt>
                <pt idx="27">
                  <v>28</v>
                </pt>
                <pt idx="28">
                  <v> </v>
                </pt>
                <pt idx="29">
                  <v> </v>
                </pt>
                <pt idx="30">
                  <v> </v>
                </pt>
                <pt idx="31">
                  <v>32</v>
                </pt>
                <pt idx="32">
                  <v> </v>
                </pt>
                <pt idx="33">
                  <v> </v>
                </pt>
                <pt idx="34">
                  <v> </v>
                </pt>
                <pt idx="35">
                  <v>36</v>
                </pt>
                <pt idx="36">
                  <v> </v>
                </pt>
                <pt idx="37">
                  <v> </v>
                </pt>
                <pt idx="38">
                  <v> </v>
                </pt>
                <pt idx="39">
                  <v>40</v>
                </pt>
                <pt idx="40">
                  <v> </v>
                </pt>
                <pt idx="41">
                  <v> </v>
                </pt>
                <pt idx="42">
                  <v> </v>
                </pt>
                <pt idx="43">
                  <v>44</v>
                </pt>
                <pt idx="44">
                  <v> </v>
                </pt>
                <pt idx="45">
                  <v> </v>
                </pt>
                <pt idx="46">
                  <v> </v>
                </pt>
                <pt idx="47">
                  <v>48</v>
                </pt>
                <pt idx="48">
                  <v> </v>
                </pt>
                <pt idx="49">
                  <v> </v>
                </pt>
                <pt idx="50">
                  <v> </v>
                </pt>
                <pt idx="51">
                  <v>52</v>
                </pt>
                <pt idx="52">
                  <v> </v>
                </pt>
                <pt idx="53">
                  <v> </v>
                </pt>
                <pt idx="54">
                  <v> </v>
                </pt>
                <pt idx="55">
                  <v>56</v>
                </pt>
                <pt idx="56">
                  <v> </v>
                </pt>
                <pt idx="57">
                  <v> </v>
                </pt>
                <pt idx="58">
                  <v> </v>
                </pt>
                <pt idx="59">
                  <v>60</v>
                </pt>
                <pt idx="60">
                  <v> </v>
                </pt>
                <pt idx="61">
                  <v> </v>
                </pt>
                <pt idx="62">
                  <v> </v>
                </pt>
                <pt idx="63">
                  <v>64</v>
                </pt>
                <pt idx="64">
                  <v> </v>
                </pt>
                <pt idx="65">
                  <v> </v>
                </pt>
                <pt idx="66">
                  <v> </v>
                </pt>
                <pt idx="67">
                  <v>68</v>
                </pt>
                <pt idx="68">
                  <v> </v>
                </pt>
                <pt idx="69">
                  <v> </v>
                </pt>
                <pt idx="70">
                  <v> </v>
                </pt>
                <pt idx="71">
                  <v>70</v>
                </pt>
              </strCache>
            </strRef>
          </cat>
          <val>
            <numRef>
              <f>Users!$B$5:$BU$5</f>
              <numCache>
                <formatCode>_(* #,##0_);_(* \(#,##0\);_(* "-"??_);_(@_)</formatCode>
                <ptCount val="72"/>
                <pt idx="0">
                  <v>210</v>
                </pt>
                <pt idx="1">
                  <v>220</v>
                </pt>
                <pt idx="2">
                  <v>255</v>
                </pt>
                <pt idx="3">
                  <v>255</v>
                </pt>
                <pt idx="4">
                  <v>266</v>
                </pt>
                <pt idx="5">
                  <v>410</v>
                </pt>
                <pt idx="6">
                  <v>485</v>
                </pt>
                <pt idx="7">
                  <v>540</v>
                </pt>
                <pt idx="8">
                  <v>570</v>
                </pt>
                <pt idx="9">
                  <v>595</v>
                </pt>
                <pt idx="10">
                  <v>595</v>
                </pt>
                <pt idx="11">
                  <v>630</v>
                </pt>
                <pt idx="12">
                  <formatCode>General</formatCode>
                  <v>700</v>
                </pt>
                <pt idx="13">
                  <formatCode>General</formatCode>
                  <v>755</v>
                </pt>
                <pt idx="14">
                  <formatCode>General</formatCode>
                  <v>890</v>
                </pt>
                <pt idx="15">
                  <formatCode>General</formatCode>
                  <v>995</v>
                </pt>
                <pt idx="16">
                  <formatCode>General</formatCode>
                  <v>1070</v>
                </pt>
                <pt idx="17">
                  <formatCode>General</formatCode>
                  <v>1140</v>
                </pt>
                <pt idx="18">
                  <formatCode>General</formatCode>
                  <v>1230</v>
                </pt>
                <pt idx="19">
                  <formatCode>General</formatCode>
                  <v>1265</v>
                </pt>
                <pt idx="20">
                  <formatCode>General</formatCode>
                  <v>1390</v>
                </pt>
                <pt idx="21">
                  <formatCode>General</formatCode>
                  <v>1460</v>
                </pt>
                <pt idx="22">
                  <formatCode>General</formatCode>
                  <v>1515</v>
                </pt>
                <pt idx="23">
                  <formatCode>General</formatCode>
                  <v>1565</v>
                </pt>
                <pt idx="24">
                  <formatCode>General</formatCode>
                  <v>1625</v>
                </pt>
                <pt idx="25">
                  <formatCode>General</formatCode>
                  <v>2055</v>
                </pt>
                <pt idx="26">
                  <formatCode>General</formatCode>
                  <v>2140</v>
                </pt>
                <pt idx="27">
                  <formatCode>General</formatCode>
                  <v>2280</v>
                </pt>
                <pt idx="28">
                  <formatCode>General</formatCode>
                  <v>2335</v>
                </pt>
                <pt idx="29">
                  <formatCode>General</formatCode>
                  <v>2460</v>
                </pt>
                <pt idx="30">
                  <formatCode>General</formatCode>
                  <v>2435</v>
                </pt>
                <pt idx="31">
                  <formatCode>General</formatCode>
                  <v>2465</v>
                </pt>
                <pt idx="32">
                  <formatCode>General</formatCode>
                  <v>2580</v>
                </pt>
                <pt idx="33">
                  <formatCode>General</formatCode>
                  <v>2545</v>
                </pt>
                <pt idx="34">
                  <formatCode>General</formatCode>
                  <v>2565</v>
                </pt>
                <pt idx="35">
                  <formatCode>General</formatCode>
                  <v>2590</v>
                </pt>
                <pt idx="36">
                  <formatCode>_(* #,##0_);_(* \(#,##0\);_(* "-"_);_(@_)</formatCode>
                  <v>2600</v>
                </pt>
                <pt idx="37">
                  <formatCode>_(* #,##0_);_(* \(#,##0\);_(* "-"_);_(@_)</formatCode>
                  <v>2685</v>
                </pt>
                <pt idx="38">
                  <formatCode>_(* #,##0_);_(* \(#,##0\);_(* "-"_);_(@_)</formatCode>
                  <v>2765</v>
                </pt>
                <pt idx="39">
                  <formatCode>_(* #,##0_);_(* \(#,##0\);_(* "-"_);_(@_)</formatCode>
                  <v>2805</v>
                </pt>
                <pt idx="40">
                  <formatCode>_(* #,##0_);_(* \(#,##0\);_(* "-"_);_(@_)</formatCode>
                  <v>3025</v>
                </pt>
                <pt idx="41">
                  <formatCode>_(* #,##0_);_(* \(#,##0\);_(* "-"_);_(@_)</formatCode>
                  <v>3060</v>
                </pt>
                <pt idx="42">
                  <formatCode>_(* #,##0_);_(* \(#,##0\);_(* "-"_);_(@_)</formatCode>
                  <v>3215</v>
                </pt>
                <pt idx="43">
                  <formatCode>_(* #,##0_);_(* \(#,##0\);_(* "-"_);_(@_)</formatCode>
                  <v>3355</v>
                </pt>
                <pt idx="44">
                  <formatCode>_(* #,##0_);_(* \(#,##0\);_(* "-"_);_(@_)</formatCode>
                  <v>3415</v>
                </pt>
                <pt idx="45">
                  <formatCode>_(* #,##0_);_(* \(#,##0\);_(* "-"_);_(@_)</formatCode>
                  <v>3490</v>
                </pt>
                <pt idx="46">
                  <formatCode>_(* #,##0_);_(* \(#,##0\);_(* "-"_);_(@_)</formatCode>
                  <v>3520</v>
                </pt>
                <pt idx="47">
                  <formatCode>_(* #,##0_);_(* \(#,##0\);_(* "-"_);_(@_)</formatCode>
                  <v>3535</v>
                </pt>
                <pt idx="48">
                  <formatCode>General</formatCode>
                  <v>3535</v>
                </pt>
                <pt idx="49">
                  <formatCode>General</formatCode>
                  <v>3620</v>
                </pt>
                <pt idx="50">
                  <formatCode>General</formatCode>
                  <v>3740</v>
                </pt>
                <pt idx="51">
                  <formatCode>General</formatCode>
                  <v>3908</v>
                </pt>
                <pt idx="52">
                  <formatCode>General</formatCode>
                  <v>3980</v>
                </pt>
                <pt idx="53">
                  <formatCode>General</formatCode>
                  <v>4065</v>
                </pt>
                <pt idx="54">
                  <formatCode>General</formatCode>
                  <v>4135</v>
                </pt>
                <pt idx="55">
                  <formatCode>General</formatCode>
                  <v>4215</v>
                </pt>
                <pt idx="56">
                  <formatCode>General</formatCode>
                  <v>4295</v>
                </pt>
                <pt idx="57">
                  <formatCode>General</formatCode>
                  <v>4355</v>
                </pt>
                <pt idx="58">
                  <formatCode>General</formatCode>
                  <v>4365</v>
                </pt>
                <pt idx="59">
                  <formatCode>General</formatCode>
                  <v>4455</v>
                </pt>
                <pt idx="60">
                  <formatCode>General</formatCode>
                  <v>4515</v>
                </pt>
                <pt idx="61">
                  <formatCode>General</formatCode>
                  <v>4605</v>
                </pt>
                <pt idx="62">
                  <formatCode>General</formatCode>
                  <v>4705</v>
                </pt>
                <pt idx="63">
                  <formatCode>General</formatCode>
                  <v>4790</v>
                </pt>
                <pt idx="64">
                  <formatCode>General</formatCode>
                  <v>4880</v>
                </pt>
                <pt idx="65">
                  <formatCode>General</formatCode>
                  <v>4975</v>
                </pt>
                <pt idx="66">
                  <formatCode>General</formatCode>
                  <v>5095</v>
                </pt>
                <pt idx="67">
                  <formatCode>General</formatCode>
                  <v>5390</v>
                </pt>
                <pt idx="68">
                  <formatCode>General</formatCode>
                  <v>5580</v>
                </pt>
                <pt idx="69">
                  <formatCode>General</formatCode>
                  <v>5685</v>
                </pt>
                <pt idx="70">
                  <formatCode>General</formatCode>
                  <v>5755</v>
                </pt>
                <pt idx="71">
                  <formatCode>General</formatCode>
                  <v>5840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>
              <a:solidFill>
                <a:schemeClr val="lt1">
                  <a:alpha val="54000"/>
                  <a:lumMod val="95000"/>
                </a:schemeClr>
              </a:solidFill>
              <a:prstDash val="dash"/>
            </a:ln>
          </spPr>
        </dropLines>
        <marker val="1"/>
        <smooth val="0"/>
        <axId val="220578896"/>
        <axId val="296934976"/>
      </lineChart>
      <catAx>
        <axId val="2205788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96934976"/>
        <crosses val="autoZero"/>
        <auto val="1"/>
        <lblAlgn val="ctr"/>
        <lblOffset val="100"/>
        <noMultiLvlLbl val="0"/>
      </catAx>
      <valAx>
        <axId val="296934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ileron Bold" pitchFamily="2" charset="77"/>
                    <a:ea typeface="+mn-ea"/>
                    <a:cs typeface="+mn-cs"/>
                  </a:defRPr>
                </a:pPr>
                <a:r>
                  <a:rPr lang="en-US" sz="1400">
                    <a:latin typeface="Aileron" pitchFamily="2" charset="77"/>
                  </a:rPr>
                  <a:t>Licenses</a:t>
                </a:r>
              </a:p>
              <a:p xmlns:a="http://schemas.openxmlformats.org/drawingml/2006/main">
                <a:pPr>
                  <a:defRPr sz="1400">
                    <a:latin typeface="Aileron Bold" pitchFamily="2" charset="77"/>
                  </a:defRPr>
                </a:pPr>
                <a:r>
                  <a:t>None</a:t>
                </a:r>
                <a:endParaRPr lang="en-US" sz="1400">
                  <a:latin typeface="Aileron" pitchFamily="2" charset="77"/>
                </a:endParaRPr>
              </a:p>
              <a:p xmlns:a="http://schemas.openxmlformats.org/drawingml/2006/main">
                <a:pPr>
                  <a:defRPr sz="1400">
                    <a:latin typeface="Aileron Bold" pitchFamily="2" charset="77"/>
                  </a:defRPr>
                </a:pPr>
                <a:r>
                  <a:t>None</a:t>
                </a:r>
                <a:endParaRPr lang="en-US" sz="1400">
                  <a:latin typeface="Aileron" pitchFamily="2" charset="77"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4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ileron Bold" pitchFamily="2" charset="77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Aileron" pitchFamily="2" charset="77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0578896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2273300</colOff>
      <row>5</row>
      <rowOff>469900</rowOff>
    </from>
    <to>
      <col>7</col>
      <colOff>787400</colOff>
      <row>26</row>
      <rowOff>29029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81400" y="1308100"/>
          <a:ext cx="16230600" cy="9134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8</col>
      <colOff>412750</colOff>
      <row>30</row>
      <rowOff>165100</rowOff>
    </from>
    <to>
      <col>20</col>
      <colOff>38100</colOff>
      <row>65</row>
      <rowOff>63500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152400</colOff>
      <row>31</row>
      <rowOff>0</rowOff>
    </from>
    <to>
      <col>6</col>
      <colOff>1358900</colOff>
      <row>65</row>
      <rowOff>50800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393700</colOff>
      <row>7</row>
      <rowOff>38100</rowOff>
    </from>
    <to>
      <col>27</col>
      <colOff>800100</colOff>
      <row>38</row>
      <rowOff>177800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netorg703210.sharepoint.com/sites/KateBurdaCoSharepoint/Shared%20Documents/Client%20Documents/MPEA/MMC%20Kate%20Burda%20info/FY22%20BST%20-%20337B9%20Marriott%20Marquis%20Chicago%20v6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211"/>
      <sheetName val="0212"/>
      <sheetName val="0214"/>
      <sheetName val="0224"/>
      <sheetName val="0270"/>
      <sheetName val="0271"/>
      <sheetName val="tpl_outlet"/>
      <sheetName val="Audio Visual"/>
      <sheetName val="0200"/>
      <sheetName val="tpl_av"/>
      <sheetName val="Banquet"/>
      <sheetName val="0230"/>
      <sheetName val="0231"/>
      <sheetName val="0232"/>
      <sheetName val="tpl_banquet"/>
      <sheetName val="Retail"/>
      <sheetName val="0040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0100"/>
      <sheetName val="tpl_rec"/>
      <sheetName val="Garage"/>
      <sheetName val="0080"/>
      <sheetName val="tpl_garage"/>
      <sheetName val="Misc Inc"/>
      <sheetName val="0070"/>
      <sheetName val="tpl_misc_inc"/>
      <sheetName val="Other Rev"/>
      <sheetName val="0030"/>
      <sheetName val="tpl_other_rev"/>
      <sheetName val="Admin"/>
      <sheetName val="0410"/>
      <sheetName val="0440"/>
      <sheetName val="tpl_ga"/>
      <sheetName val="I&amp;TS"/>
      <sheetName val="0400"/>
      <sheetName val="tpl_its"/>
      <sheetName val="Relocation"/>
      <sheetName val="0460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tpl_lndy"/>
      <sheetName val="Cluster"/>
      <sheetName val="tpl_clust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9" t="str">
            <v>Premium Retail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1">
          <cell r="B1">
            <v>2021</v>
          </cell>
        </row>
        <row r="3">
          <cell r="B3" t="str">
            <v>Marriott Marquis Chicago</v>
          </cell>
        </row>
        <row r="10">
          <cell r="B10">
            <v>2000</v>
          </cell>
        </row>
        <row r="11">
          <cell r="B11">
            <v>1.03</v>
          </cell>
        </row>
        <row r="13">
          <cell r="B13">
            <v>1.03</v>
          </cell>
        </row>
        <row r="30">
          <cell r="F30">
            <v>1</v>
          </cell>
          <cell r="H30" t="str">
            <v>USD</v>
          </cell>
        </row>
        <row r="67">
          <cell r="A67" t="str">
            <v>ACTUAL</v>
          </cell>
          <cell r="B67" t="str">
            <v>Act</v>
          </cell>
        </row>
        <row r="68">
          <cell r="A68" t="str">
            <v>ACT/FCST</v>
          </cell>
          <cell r="B68" t="str">
            <v>Fcst</v>
          </cell>
        </row>
        <row r="69">
          <cell r="A69" t="str">
            <v>ACT/BGT</v>
          </cell>
          <cell r="B69" t="str">
            <v>Fcst</v>
          </cell>
        </row>
        <row r="70">
          <cell r="A70" t="str">
            <v>BUDGET</v>
          </cell>
          <cell r="B70" t="str">
            <v>Bud</v>
          </cell>
        </row>
        <row r="71">
          <cell r="A71" t="str">
            <v>PROFORMA</v>
          </cell>
          <cell r="B71" t="str">
            <v>Pro</v>
          </cell>
        </row>
      </sheetData>
      <sheetData sheetId="90"/>
      <sheetData sheetId="91">
        <row r="2">
          <cell r="A2" t="str">
            <v>DEPT_NUMBER</v>
          </cell>
          <cell r="B2" t="str">
            <v>DEPT_DESC</v>
          </cell>
          <cell r="C2" t="str">
            <v>SUMMARIZE</v>
          </cell>
          <cell r="D2" t="str">
            <v>TEMPLATE</v>
          </cell>
          <cell r="E2" t="str">
            <v>REV_DRV</v>
          </cell>
          <cell r="F2" t="str">
            <v>COS_DRV</v>
          </cell>
          <cell r="G2" t="str">
            <v>WAG_DRV</v>
          </cell>
          <cell r="H2" t="str">
            <v>BEN_DRV</v>
          </cell>
          <cell r="I2" t="str">
            <v>CON_DRV</v>
          </cell>
          <cell r="J2" t="str">
            <v>Used:</v>
          </cell>
          <cell r="K2" t="str">
            <v>DIV SUMM</v>
          </cell>
        </row>
        <row r="3">
          <cell r="A3" t="str">
            <v>0010</v>
          </cell>
          <cell r="B3" t="str">
            <v>Rooms</v>
          </cell>
          <cell r="C3" t="str">
            <v>ROOMS</v>
          </cell>
          <cell r="D3" t="str">
            <v>tpl_rooms</v>
          </cell>
          <cell r="E3" t="str">
            <v>MI01_POR</v>
          </cell>
          <cell r="F3" t="str">
            <v>MI01_POR</v>
          </cell>
          <cell r="G3" t="str">
            <v>MI01_FIX</v>
          </cell>
          <cell r="H3" t="str">
            <v>MC01_DWag</v>
          </cell>
          <cell r="I3" t="str">
            <v>MI01_POR</v>
          </cell>
          <cell r="J3">
            <v>1</v>
          </cell>
          <cell r="K3" t="str">
            <v>ROOMS</v>
          </cell>
        </row>
        <row r="4">
          <cell r="A4" t="str">
            <v>0011</v>
          </cell>
          <cell r="B4" t="str">
            <v>Front Office</v>
          </cell>
          <cell r="C4" t="str">
            <v>ROOMS</v>
          </cell>
          <cell r="D4" t="str">
            <v>tpl_rooms</v>
          </cell>
          <cell r="E4" t="str">
            <v>MI01_POR</v>
          </cell>
          <cell r="F4" t="str">
            <v>MI01_POR</v>
          </cell>
          <cell r="G4" t="str">
            <v>MI01_POR</v>
          </cell>
          <cell r="H4" t="str">
            <v>MC01_DWag</v>
          </cell>
          <cell r="I4" t="str">
            <v>MI01_POR</v>
          </cell>
          <cell r="J4">
            <v>1</v>
          </cell>
          <cell r="K4" t="str">
            <v>ROOMS</v>
          </cell>
        </row>
        <row r="5">
          <cell r="A5" t="str">
            <v>0012</v>
          </cell>
          <cell r="B5" t="str">
            <v>Housekeeping</v>
          </cell>
          <cell r="C5" t="str">
            <v>ROOMS</v>
          </cell>
          <cell r="D5" t="str">
            <v>tpl_rooms</v>
          </cell>
          <cell r="E5" t="str">
            <v>MI01_POR</v>
          </cell>
          <cell r="F5" t="str">
            <v>MI01_POR</v>
          </cell>
          <cell r="G5" t="str">
            <v>MI01_POR</v>
          </cell>
          <cell r="H5" t="str">
            <v>MC01_DWag</v>
          </cell>
          <cell r="I5" t="str">
            <v>MI01_POR</v>
          </cell>
          <cell r="J5">
            <v>1</v>
          </cell>
          <cell r="K5" t="str">
            <v>ROOMS</v>
          </cell>
        </row>
        <row r="6">
          <cell r="A6" t="str">
            <v>0013</v>
          </cell>
          <cell r="B6" t="str">
            <v>Club</v>
          </cell>
          <cell r="C6" t="str">
            <v>ROOMS</v>
          </cell>
          <cell r="D6" t="str">
            <v>tpl_rooms</v>
          </cell>
          <cell r="E6" t="str">
            <v>MI01_POR</v>
          </cell>
          <cell r="F6" t="str">
            <v>MI01_POR</v>
          </cell>
          <cell r="G6" t="str">
            <v>MI01_POR</v>
          </cell>
          <cell r="H6" t="str">
            <v>MC01_DWag</v>
          </cell>
          <cell r="I6" t="str">
            <v>MI01_POR</v>
          </cell>
          <cell r="J6">
            <v>0</v>
          </cell>
          <cell r="K6" t="str">
            <v>ROOMS</v>
          </cell>
        </row>
        <row r="7">
          <cell r="A7" t="str">
            <v>0014</v>
          </cell>
          <cell r="B7" t="str">
            <v>Suite</v>
          </cell>
          <cell r="C7" t="str">
            <v>ROOMS</v>
          </cell>
          <cell r="D7" t="str">
            <v>tpl_rooms</v>
          </cell>
          <cell r="E7" t="str">
            <v>MI01_POR</v>
          </cell>
          <cell r="F7" t="str">
            <v>MI01_POR</v>
          </cell>
          <cell r="G7" t="str">
            <v>MI01_POR</v>
          </cell>
          <cell r="H7" t="str">
            <v>MC01_DWag</v>
          </cell>
          <cell r="I7" t="str">
            <v>MI01_POR</v>
          </cell>
          <cell r="J7">
            <v>0</v>
          </cell>
          <cell r="K7" t="str">
            <v>ROOMS</v>
          </cell>
        </row>
        <row r="8">
          <cell r="A8" t="str">
            <v>0015</v>
          </cell>
          <cell r="B8" t="str">
            <v>Club Suite</v>
          </cell>
          <cell r="C8" t="str">
            <v>ROOMS</v>
          </cell>
          <cell r="D8" t="str">
            <v>tpl_rooms</v>
          </cell>
          <cell r="E8" t="str">
            <v>MI01_POR</v>
          </cell>
          <cell r="F8" t="str">
            <v>MI01_POR</v>
          </cell>
          <cell r="G8" t="str">
            <v>MI01_POR</v>
          </cell>
          <cell r="H8" t="str">
            <v>MC01_DWag</v>
          </cell>
          <cell r="I8" t="str">
            <v>MI01_POR</v>
          </cell>
          <cell r="J8">
            <v>0</v>
          </cell>
          <cell r="K8" t="str">
            <v>ROOMS</v>
          </cell>
        </row>
        <row r="9">
          <cell r="A9" t="str">
            <v>0017</v>
          </cell>
          <cell r="B9" t="str">
            <v>Residence Flex</v>
          </cell>
          <cell r="C9" t="str">
            <v>ROOMS</v>
          </cell>
          <cell r="D9" t="str">
            <v>tpl_rooms</v>
          </cell>
          <cell r="E9" t="str">
            <v>MI01_POR</v>
          </cell>
          <cell r="F9" t="str">
            <v>MI01_POR</v>
          </cell>
          <cell r="G9" t="str">
            <v>MI01_POR</v>
          </cell>
          <cell r="H9" t="str">
            <v>MC01_DWag</v>
          </cell>
          <cell r="I9" t="str">
            <v>MI01_POR</v>
          </cell>
          <cell r="J9">
            <v>0</v>
          </cell>
          <cell r="K9" t="str">
            <v>ROOMS</v>
          </cell>
        </row>
        <row r="10">
          <cell r="A10" t="str">
            <v>0018</v>
          </cell>
          <cell r="B10" t="str">
            <v>Residence GTD</v>
          </cell>
          <cell r="C10" t="str">
            <v>ROOMS</v>
          </cell>
          <cell r="D10" t="str">
            <v>tpl_rooms</v>
          </cell>
          <cell r="E10" t="str">
            <v>MI01_POR</v>
          </cell>
          <cell r="F10" t="str">
            <v>MI01_POR</v>
          </cell>
          <cell r="G10" t="str">
            <v>MI01_POR</v>
          </cell>
          <cell r="H10" t="str">
            <v>MC01_DWag</v>
          </cell>
          <cell r="I10" t="str">
            <v>MI01_POR</v>
          </cell>
          <cell r="J10">
            <v>0</v>
          </cell>
          <cell r="K10" t="str">
            <v>ROOMS</v>
          </cell>
        </row>
        <row r="11">
          <cell r="A11" t="str">
            <v>0120</v>
          </cell>
          <cell r="B11" t="str">
            <v>Reservation</v>
          </cell>
          <cell r="C11" t="str">
            <v>ROOMS</v>
          </cell>
          <cell r="D11" t="str">
            <v>tpl_rooms</v>
          </cell>
          <cell r="E11" t="str">
            <v>MI01_POR</v>
          </cell>
          <cell r="F11" t="str">
            <v>MI01_POR</v>
          </cell>
          <cell r="G11" t="str">
            <v>MI01_POR</v>
          </cell>
          <cell r="H11" t="str">
            <v>MC01_DWag</v>
          </cell>
          <cell r="I11" t="str">
            <v>MI01_POR</v>
          </cell>
          <cell r="J11">
            <v>1</v>
          </cell>
          <cell r="K11" t="str">
            <v>ROOMS</v>
          </cell>
        </row>
        <row r="12">
          <cell r="A12" t="str">
            <v>0128</v>
          </cell>
          <cell r="B12" t="str">
            <v>Shared Svcs - Reservation</v>
          </cell>
          <cell r="C12" t="str">
            <v>ROOMS</v>
          </cell>
          <cell r="D12" t="str">
            <v>tpl_rooms</v>
          </cell>
          <cell r="E12" t="str">
            <v>MI01_POR</v>
          </cell>
          <cell r="F12" t="str">
            <v>MI01_POR</v>
          </cell>
          <cell r="G12" t="str">
            <v>MI01_POR</v>
          </cell>
          <cell r="H12" t="str">
            <v>MC01_DWag</v>
          </cell>
          <cell r="I12" t="str">
            <v>MI01_POR</v>
          </cell>
          <cell r="J12">
            <v>0</v>
          </cell>
          <cell r="K12" t="str">
            <v>ROOMS</v>
          </cell>
        </row>
        <row r="13">
          <cell r="A13" t="str">
            <v>0129</v>
          </cell>
          <cell r="B13" t="str">
            <v>Guest Recognition</v>
          </cell>
          <cell r="C13" t="str">
            <v>ROOMS</v>
          </cell>
          <cell r="D13" t="str">
            <v>tpl_rooms</v>
          </cell>
          <cell r="E13" t="str">
            <v>MI01_POR</v>
          </cell>
          <cell r="F13" t="str">
            <v>MI01_POR</v>
          </cell>
          <cell r="G13" t="str">
            <v>MI01_POR</v>
          </cell>
          <cell r="H13" t="str">
            <v>MC01_DWag</v>
          </cell>
          <cell r="I13" t="str">
            <v>MI01_POR</v>
          </cell>
          <cell r="J13">
            <v>0</v>
          </cell>
          <cell r="K13" t="str">
            <v>ROOMS</v>
          </cell>
        </row>
        <row r="14">
          <cell r="A14" t="str">
            <v>8773</v>
          </cell>
          <cell r="B14" t="str">
            <v>Intl SS - Reservations</v>
          </cell>
          <cell r="C14" t="str">
            <v>ROOMS</v>
          </cell>
          <cell r="D14" t="str">
            <v>tpl_rooms</v>
          </cell>
          <cell r="E14" t="str">
            <v>MI01_POR</v>
          </cell>
          <cell r="F14" t="str">
            <v>MI01_POR</v>
          </cell>
          <cell r="G14" t="str">
            <v>MI01_POR</v>
          </cell>
          <cell r="H14" t="str">
            <v>MC01_DWag</v>
          </cell>
          <cell r="I14" t="str">
            <v>MI01_POR</v>
          </cell>
          <cell r="J14">
            <v>0</v>
          </cell>
          <cell r="K14" t="str">
            <v>ROOMS</v>
          </cell>
        </row>
        <row r="15">
          <cell r="A15" t="str">
            <v>0190</v>
          </cell>
          <cell r="B15" t="str">
            <v>Kitchen</v>
          </cell>
          <cell r="C15" t="str">
            <v>F&amp;B</v>
          </cell>
          <cell r="D15" t="str">
            <v>tpl_outlet</v>
          </cell>
          <cell r="E15" t="str">
            <v>MC01_TCov</v>
          </cell>
          <cell r="F15" t="str">
            <v>MI01_TFD</v>
          </cell>
          <cell r="G15" t="str">
            <v>MC01_TCov</v>
          </cell>
          <cell r="H15" t="str">
            <v>MC01_DWag</v>
          </cell>
          <cell r="I15" t="str">
            <v>MC01_TCov</v>
          </cell>
          <cell r="J15">
            <v>1</v>
          </cell>
          <cell r="K15" t="str">
            <v>F&amp;B</v>
          </cell>
        </row>
        <row r="16">
          <cell r="A16" t="str">
            <v>0191</v>
          </cell>
          <cell r="B16" t="str">
            <v>Banquet Kitchen</v>
          </cell>
          <cell r="C16" t="str">
            <v>F&amp;B</v>
          </cell>
          <cell r="D16" t="str">
            <v>tpl_outlet</v>
          </cell>
          <cell r="E16" t="str">
            <v>MC01_TCov</v>
          </cell>
          <cell r="F16" t="str">
            <v>MI01_TFD</v>
          </cell>
          <cell r="G16" t="str">
            <v>MC01_TCov</v>
          </cell>
          <cell r="H16" t="str">
            <v>MC01_DWag</v>
          </cell>
          <cell r="I16" t="str">
            <v>MC01_TCov</v>
          </cell>
          <cell r="J16">
            <v>0</v>
          </cell>
          <cell r="K16" t="str">
            <v>F&amp;B</v>
          </cell>
        </row>
        <row r="17">
          <cell r="A17" t="str">
            <v>0192</v>
          </cell>
          <cell r="B17" t="str">
            <v>Kitchen Stewards</v>
          </cell>
          <cell r="C17" t="str">
            <v>F&amp;B</v>
          </cell>
          <cell r="D17" t="str">
            <v>tpl_outlet</v>
          </cell>
          <cell r="E17" t="str">
            <v>MC01_TCov</v>
          </cell>
          <cell r="F17" t="str">
            <v>MI01_TFD</v>
          </cell>
          <cell r="G17" t="str">
            <v>MC01_TCov</v>
          </cell>
          <cell r="H17" t="str">
            <v>MC01_DWag</v>
          </cell>
          <cell r="I17" t="str">
            <v>MC01_TCov</v>
          </cell>
          <cell r="J17">
            <v>0</v>
          </cell>
          <cell r="K17" t="str">
            <v>F&amp;B</v>
          </cell>
        </row>
        <row r="18">
          <cell r="A18" t="str">
            <v>0193</v>
          </cell>
          <cell r="B18" t="str">
            <v>Outlet A Kitchen</v>
          </cell>
          <cell r="C18" t="str">
            <v>F&amp;B</v>
          </cell>
          <cell r="D18" t="str">
            <v>tpl_outlet</v>
          </cell>
          <cell r="E18" t="str">
            <v>MC01_TCov</v>
          </cell>
          <cell r="F18" t="str">
            <v>MI01_TFD</v>
          </cell>
          <cell r="G18" t="str">
            <v>MC01_TCov</v>
          </cell>
          <cell r="H18" t="str">
            <v>MC01_DWag</v>
          </cell>
          <cell r="I18" t="str">
            <v>MC01_TCov</v>
          </cell>
          <cell r="J18">
            <v>0</v>
          </cell>
          <cell r="K18" t="str">
            <v>F&amp;B</v>
          </cell>
        </row>
        <row r="19">
          <cell r="A19" t="str">
            <v>0194</v>
          </cell>
          <cell r="B19" t="str">
            <v>Outlet B Kitchen</v>
          </cell>
          <cell r="C19" t="str">
            <v>F&amp;B</v>
          </cell>
          <cell r="D19" t="str">
            <v>tpl_outlet</v>
          </cell>
          <cell r="E19" t="str">
            <v>MC01_TCov</v>
          </cell>
          <cell r="F19" t="str">
            <v>MI01_TFD</v>
          </cell>
          <cell r="G19" t="str">
            <v>MC01_TCov</v>
          </cell>
          <cell r="H19" t="str">
            <v>MC01_DWag</v>
          </cell>
          <cell r="I19" t="str">
            <v>MC01_TCov</v>
          </cell>
          <cell r="J19">
            <v>0</v>
          </cell>
          <cell r="K19" t="str">
            <v>F&amp;B</v>
          </cell>
        </row>
        <row r="20">
          <cell r="A20" t="str">
            <v>0195</v>
          </cell>
          <cell r="B20" t="str">
            <v>Outlet C Kitchen</v>
          </cell>
          <cell r="C20" t="str">
            <v>F&amp;B</v>
          </cell>
          <cell r="D20" t="str">
            <v>tpl_outlet</v>
          </cell>
          <cell r="E20" t="str">
            <v>MC01_TCov</v>
          </cell>
          <cell r="F20" t="str">
            <v>MI01_TFD</v>
          </cell>
          <cell r="G20" t="str">
            <v>MC01_TCov</v>
          </cell>
          <cell r="H20" t="str">
            <v>MC01_DWag</v>
          </cell>
          <cell r="I20" t="str">
            <v>MC01_TCov</v>
          </cell>
          <cell r="J20">
            <v>0</v>
          </cell>
          <cell r="K20" t="str">
            <v>F&amp;B</v>
          </cell>
        </row>
        <row r="21">
          <cell r="A21" t="str">
            <v>0196</v>
          </cell>
          <cell r="B21" t="str">
            <v>Outlet D Kitchen</v>
          </cell>
          <cell r="C21" t="str">
            <v>F&amp;B</v>
          </cell>
          <cell r="D21" t="str">
            <v>tpl_outlet</v>
          </cell>
          <cell r="E21" t="str">
            <v>MC01_TCov</v>
          </cell>
          <cell r="F21" t="str">
            <v>MI01_TFD</v>
          </cell>
          <cell r="G21" t="str">
            <v>MC01_TCov</v>
          </cell>
          <cell r="H21" t="str">
            <v>MC01_DWag</v>
          </cell>
          <cell r="I21" t="str">
            <v>MC01_TCov</v>
          </cell>
          <cell r="J21">
            <v>0</v>
          </cell>
          <cell r="K21" t="str">
            <v>F&amp;B</v>
          </cell>
        </row>
        <row r="22">
          <cell r="A22" t="str">
            <v>0197</v>
          </cell>
          <cell r="B22" t="str">
            <v>Outlet E Kitchen</v>
          </cell>
          <cell r="C22" t="str">
            <v>F&amp;B</v>
          </cell>
          <cell r="D22" t="str">
            <v>tpl_outlet</v>
          </cell>
          <cell r="E22" t="str">
            <v>MC01_TCov</v>
          </cell>
          <cell r="F22" t="str">
            <v>MI01_TFD</v>
          </cell>
          <cell r="G22" t="str">
            <v>MC01_TCov</v>
          </cell>
          <cell r="H22" t="str">
            <v>MC01_DWag</v>
          </cell>
          <cell r="I22" t="str">
            <v>MC01_TCov</v>
          </cell>
          <cell r="J22">
            <v>0</v>
          </cell>
          <cell r="K22" t="str">
            <v>F&amp;B</v>
          </cell>
        </row>
        <row r="23">
          <cell r="A23" t="str">
            <v>0198</v>
          </cell>
          <cell r="B23" t="str">
            <v>Outlet F Kitchen</v>
          </cell>
          <cell r="C23" t="str">
            <v>F&amp;B</v>
          </cell>
          <cell r="D23" t="str">
            <v>tpl_outlet</v>
          </cell>
          <cell r="E23" t="str">
            <v>MC01_TCov</v>
          </cell>
          <cell r="F23" t="str">
            <v>MI01_TFD</v>
          </cell>
          <cell r="G23" t="str">
            <v>MC01_TCov</v>
          </cell>
          <cell r="H23" t="str">
            <v>MC01_DWag</v>
          </cell>
          <cell r="I23" t="str">
            <v>MC01_TCov</v>
          </cell>
          <cell r="J23">
            <v>0</v>
          </cell>
          <cell r="K23" t="str">
            <v>F&amp;B</v>
          </cell>
        </row>
        <row r="24">
          <cell r="A24" t="str">
            <v>0199</v>
          </cell>
          <cell r="B24" t="str">
            <v>FB Administration</v>
          </cell>
          <cell r="C24" t="str">
            <v>F&amp;B</v>
          </cell>
          <cell r="D24" t="str">
            <v>tpl_outlet</v>
          </cell>
          <cell r="E24" t="str">
            <v>MC01_TCov</v>
          </cell>
          <cell r="F24" t="str">
            <v>MI01_TFD</v>
          </cell>
          <cell r="G24" t="str">
            <v>MI01_FIX</v>
          </cell>
          <cell r="H24" t="str">
            <v>MC01_DWag</v>
          </cell>
          <cell r="I24" t="str">
            <v>MI01_FIX</v>
          </cell>
          <cell r="J24">
            <v>0</v>
          </cell>
          <cell r="K24" t="str">
            <v>F&amp;B</v>
          </cell>
        </row>
        <row r="25">
          <cell r="A25" t="str">
            <v>0210</v>
          </cell>
          <cell r="B25" t="str">
            <v>Casual Dining</v>
          </cell>
          <cell r="C25" t="str">
            <v>F&amp;B</v>
          </cell>
          <cell r="D25" t="str">
            <v>tpl_outlet</v>
          </cell>
          <cell r="E25" t="str">
            <v>MI01_POR</v>
          </cell>
          <cell r="F25" t="str">
            <v>MI01_DCov</v>
          </cell>
          <cell r="G25" t="str">
            <v>MI01_DCov</v>
          </cell>
          <cell r="H25" t="str">
            <v>MC01_DWag</v>
          </cell>
          <cell r="I25" t="str">
            <v>MI01_DCov</v>
          </cell>
          <cell r="J25">
            <v>0</v>
          </cell>
          <cell r="K25" t="str">
            <v>F&amp;B</v>
          </cell>
        </row>
        <row r="26">
          <cell r="A26" t="str">
            <v>0211</v>
          </cell>
          <cell r="B26" t="str">
            <v>Casual Restaurant</v>
          </cell>
          <cell r="C26" t="str">
            <v>F&amp;B</v>
          </cell>
          <cell r="D26" t="str">
            <v>tpl_outlet</v>
          </cell>
          <cell r="E26" t="str">
            <v>MI01_POR</v>
          </cell>
          <cell r="F26" t="str">
            <v>MI01_DCov</v>
          </cell>
          <cell r="G26" t="str">
            <v>MI01_DCov</v>
          </cell>
          <cell r="H26" t="str">
            <v>MC01_DWag</v>
          </cell>
          <cell r="I26" t="str">
            <v>MI01_DCov</v>
          </cell>
          <cell r="J26">
            <v>1</v>
          </cell>
          <cell r="K26" t="str">
            <v>F&amp;B</v>
          </cell>
        </row>
        <row r="27">
          <cell r="A27" t="str">
            <v>0212</v>
          </cell>
          <cell r="B27" t="str">
            <v>Casual Restaurant 2</v>
          </cell>
          <cell r="C27" t="str">
            <v>F&amp;B</v>
          </cell>
          <cell r="D27" t="str">
            <v>tpl_outlet</v>
          </cell>
          <cell r="E27" t="str">
            <v>MI01_POR</v>
          </cell>
          <cell r="F27" t="str">
            <v>MI01_DCov</v>
          </cell>
          <cell r="G27" t="str">
            <v>MI01_DCov</v>
          </cell>
          <cell r="H27" t="str">
            <v>MC01_DWag</v>
          </cell>
          <cell r="I27" t="str">
            <v>MI01_DCov</v>
          </cell>
          <cell r="J27">
            <v>1</v>
          </cell>
          <cell r="K27" t="str">
            <v>F&amp;B</v>
          </cell>
        </row>
        <row r="28">
          <cell r="A28" t="str">
            <v>0213</v>
          </cell>
          <cell r="B28" t="str">
            <v>Casual Restaurant 3</v>
          </cell>
          <cell r="C28" t="str">
            <v>F&amp;B</v>
          </cell>
          <cell r="D28" t="str">
            <v>tpl_outlet</v>
          </cell>
          <cell r="E28" t="str">
            <v>MI01_POR</v>
          </cell>
          <cell r="F28" t="str">
            <v>MI01_DCov</v>
          </cell>
          <cell r="G28" t="str">
            <v>MI01_DCov</v>
          </cell>
          <cell r="H28" t="str">
            <v>MC01_DWag</v>
          </cell>
          <cell r="I28" t="str">
            <v>MI01_DCov</v>
          </cell>
          <cell r="J28">
            <v>0</v>
          </cell>
          <cell r="K28" t="str">
            <v>F&amp;B</v>
          </cell>
        </row>
        <row r="29">
          <cell r="A29" t="str">
            <v>0214</v>
          </cell>
          <cell r="B29" t="str">
            <v>Greatroom 3-Meal</v>
          </cell>
          <cell r="C29" t="str">
            <v>F&amp;B</v>
          </cell>
          <cell r="D29" t="str">
            <v>tpl_outlet</v>
          </cell>
          <cell r="E29" t="str">
            <v>MI01_POR</v>
          </cell>
          <cell r="F29" t="str">
            <v>MI01_DCov</v>
          </cell>
          <cell r="G29" t="str">
            <v>MI01_DCov</v>
          </cell>
          <cell r="H29" t="str">
            <v>MC01_DWag</v>
          </cell>
          <cell r="I29" t="str">
            <v>MI01_DCov</v>
          </cell>
          <cell r="J29">
            <v>1</v>
          </cell>
          <cell r="K29" t="str">
            <v>F&amp;B</v>
          </cell>
        </row>
        <row r="30">
          <cell r="A30" t="str">
            <v>0215</v>
          </cell>
          <cell r="B30" t="str">
            <v>Other Casual Luau</v>
          </cell>
          <cell r="C30" t="str">
            <v>F&amp;B</v>
          </cell>
          <cell r="D30" t="str">
            <v>tpl_outlet</v>
          </cell>
          <cell r="E30" t="str">
            <v>MI01_POR</v>
          </cell>
          <cell r="F30" t="str">
            <v>MI01_DCov</v>
          </cell>
          <cell r="G30" t="str">
            <v>MI01_DCov</v>
          </cell>
          <cell r="H30" t="str">
            <v>MC01_DWag</v>
          </cell>
          <cell r="I30" t="str">
            <v>MI01_DCov</v>
          </cell>
          <cell r="J30">
            <v>0</v>
          </cell>
          <cell r="K30" t="str">
            <v>F&amp;B</v>
          </cell>
        </row>
        <row r="31">
          <cell r="A31" t="str">
            <v>0217</v>
          </cell>
          <cell r="B31" t="str">
            <v>Casual Restaurant Other</v>
          </cell>
          <cell r="C31" t="str">
            <v>F&amp;B</v>
          </cell>
          <cell r="D31" t="str">
            <v>tpl_outlet</v>
          </cell>
          <cell r="E31" t="str">
            <v>MI01_POR</v>
          </cell>
          <cell r="F31" t="str">
            <v>MI01_DCov</v>
          </cell>
          <cell r="G31" t="str">
            <v>MI01_DCov</v>
          </cell>
          <cell r="H31" t="str">
            <v>MC01_DWag</v>
          </cell>
          <cell r="I31" t="str">
            <v>MI01_DCov</v>
          </cell>
          <cell r="J31">
            <v>0</v>
          </cell>
          <cell r="K31" t="str">
            <v>F&amp;B</v>
          </cell>
        </row>
        <row r="32">
          <cell r="A32" t="str">
            <v>0220</v>
          </cell>
          <cell r="B32" t="str">
            <v>Lounge-Bar</v>
          </cell>
          <cell r="C32" t="str">
            <v>F&amp;B</v>
          </cell>
          <cell r="D32" t="str">
            <v>tpl_outlet</v>
          </cell>
          <cell r="E32" t="str">
            <v>MI01_POR</v>
          </cell>
          <cell r="F32" t="str">
            <v>MI01_DCov</v>
          </cell>
          <cell r="G32" t="str">
            <v>MI01_DCov</v>
          </cell>
          <cell r="H32" t="str">
            <v>MC01_DWag</v>
          </cell>
          <cell r="I32" t="str">
            <v>MI01_DCov</v>
          </cell>
          <cell r="J32">
            <v>0</v>
          </cell>
          <cell r="K32" t="str">
            <v>F&amp;B</v>
          </cell>
        </row>
        <row r="33">
          <cell r="A33" t="str">
            <v>0221</v>
          </cell>
          <cell r="B33" t="str">
            <v>Lobby Lounge</v>
          </cell>
          <cell r="C33" t="str">
            <v>F&amp;B</v>
          </cell>
          <cell r="D33" t="str">
            <v>tpl_outlet</v>
          </cell>
          <cell r="E33" t="str">
            <v>MI01_POR</v>
          </cell>
          <cell r="F33" t="str">
            <v>MI01_DRev</v>
          </cell>
          <cell r="G33" t="str">
            <v>MI01_DRev</v>
          </cell>
          <cell r="H33" t="str">
            <v>MC01_DWag</v>
          </cell>
          <cell r="I33" t="str">
            <v>MI01_DRev</v>
          </cell>
          <cell r="J33">
            <v>0</v>
          </cell>
          <cell r="K33" t="str">
            <v>F&amp;B</v>
          </cell>
        </row>
        <row r="34">
          <cell r="A34" t="str">
            <v>0222</v>
          </cell>
          <cell r="B34" t="str">
            <v>Lounge-Bar 2</v>
          </cell>
          <cell r="C34" t="str">
            <v>F&amp;B</v>
          </cell>
          <cell r="D34" t="str">
            <v>tpl_outlet</v>
          </cell>
          <cell r="E34" t="str">
            <v>MI01_POR</v>
          </cell>
          <cell r="F34" t="str">
            <v>MI01_DRev</v>
          </cell>
          <cell r="G34" t="str">
            <v>MI01_DRev</v>
          </cell>
          <cell r="H34" t="str">
            <v>MC01_DWag</v>
          </cell>
          <cell r="I34" t="str">
            <v>MI01_DRev</v>
          </cell>
          <cell r="J34">
            <v>0</v>
          </cell>
          <cell r="K34" t="str">
            <v>F&amp;B</v>
          </cell>
        </row>
        <row r="35">
          <cell r="A35" t="str">
            <v>0223</v>
          </cell>
          <cell r="B35" t="str">
            <v>Lounge-Bar 3</v>
          </cell>
          <cell r="C35" t="str">
            <v>F&amp;B</v>
          </cell>
          <cell r="D35" t="str">
            <v>tpl_outlet</v>
          </cell>
          <cell r="E35" t="str">
            <v>MI01_POR</v>
          </cell>
          <cell r="F35" t="str">
            <v>MI01_DRev</v>
          </cell>
          <cell r="G35" t="str">
            <v>MI01_DRev</v>
          </cell>
          <cell r="H35" t="str">
            <v>MC01_DWag</v>
          </cell>
          <cell r="I35" t="str">
            <v>MI01_DRev</v>
          </cell>
          <cell r="J35">
            <v>0</v>
          </cell>
          <cell r="K35" t="str">
            <v>F&amp;B</v>
          </cell>
        </row>
        <row r="36">
          <cell r="A36" t="str">
            <v>0224</v>
          </cell>
          <cell r="B36" t="str">
            <v>Greatroom Lounge</v>
          </cell>
          <cell r="C36" t="str">
            <v>F&amp;B</v>
          </cell>
          <cell r="D36" t="str">
            <v>tpl_outlet</v>
          </cell>
          <cell r="E36" t="str">
            <v>MI01_POR</v>
          </cell>
          <cell r="F36" t="str">
            <v>MI01_DRev</v>
          </cell>
          <cell r="G36" t="str">
            <v>MI01_DRev</v>
          </cell>
          <cell r="H36" t="str">
            <v>MC01_DWag</v>
          </cell>
          <cell r="I36" t="str">
            <v>MI01_DRev</v>
          </cell>
          <cell r="J36">
            <v>1</v>
          </cell>
          <cell r="K36" t="str">
            <v>F&amp;B</v>
          </cell>
        </row>
        <row r="37">
          <cell r="A37" t="str">
            <v>0225</v>
          </cell>
          <cell r="B37" t="str">
            <v>Sports Bar</v>
          </cell>
          <cell r="C37" t="str">
            <v>F&amp;B</v>
          </cell>
          <cell r="D37" t="str">
            <v>tpl_outlet</v>
          </cell>
          <cell r="E37" t="str">
            <v>MI01_POR</v>
          </cell>
          <cell r="F37" t="str">
            <v>MI01_DRev</v>
          </cell>
          <cell r="G37" t="str">
            <v>MI01_DRev</v>
          </cell>
          <cell r="H37" t="str">
            <v>MC01_DWag</v>
          </cell>
          <cell r="I37" t="str">
            <v>MI01_DRev</v>
          </cell>
          <cell r="J37">
            <v>0</v>
          </cell>
          <cell r="K37" t="str">
            <v>F&amp;B</v>
          </cell>
        </row>
        <row r="38">
          <cell r="A38" t="str">
            <v>0226</v>
          </cell>
          <cell r="B38" t="str">
            <v>Characters Lounge</v>
          </cell>
          <cell r="C38" t="str">
            <v>F&amp;B</v>
          </cell>
          <cell r="D38" t="str">
            <v>tpl_outlet</v>
          </cell>
          <cell r="E38" t="str">
            <v>MI01_POR</v>
          </cell>
          <cell r="F38" t="str">
            <v>MI01_DRev</v>
          </cell>
          <cell r="G38" t="str">
            <v>MI01_DRev</v>
          </cell>
          <cell r="H38" t="str">
            <v>MC01_DWag</v>
          </cell>
          <cell r="I38" t="str">
            <v>MI01_DRev</v>
          </cell>
          <cell r="J38">
            <v>0</v>
          </cell>
          <cell r="K38" t="str">
            <v>F&amp;B</v>
          </cell>
        </row>
        <row r="39">
          <cell r="A39" t="str">
            <v>0227</v>
          </cell>
          <cell r="B39" t="str">
            <v>Pool Bar</v>
          </cell>
          <cell r="C39" t="str">
            <v>F&amp;B</v>
          </cell>
          <cell r="D39" t="str">
            <v>tpl_outlet</v>
          </cell>
          <cell r="E39" t="str">
            <v>MI01_POR</v>
          </cell>
          <cell r="F39" t="str">
            <v>MI01_DRev</v>
          </cell>
          <cell r="G39" t="str">
            <v>MI01_DRev</v>
          </cell>
          <cell r="H39" t="str">
            <v>MC01_DWag</v>
          </cell>
          <cell r="I39" t="str">
            <v>MI01_DRev</v>
          </cell>
          <cell r="J39">
            <v>0</v>
          </cell>
          <cell r="K39" t="str">
            <v>F&amp;B</v>
          </cell>
        </row>
        <row r="40">
          <cell r="A40" t="str">
            <v>0229</v>
          </cell>
          <cell r="B40" t="str">
            <v>Executive Lounge</v>
          </cell>
          <cell r="C40" t="str">
            <v>F&amp;B</v>
          </cell>
          <cell r="D40" t="str">
            <v>tpl_outlet</v>
          </cell>
          <cell r="E40" t="str">
            <v>MI01_POR</v>
          </cell>
          <cell r="F40" t="str">
            <v>MI01_DRev</v>
          </cell>
          <cell r="G40" t="str">
            <v>MI01_DRev</v>
          </cell>
          <cell r="H40" t="str">
            <v>MC01_DWag</v>
          </cell>
          <cell r="I40" t="str">
            <v>MI01_DRev</v>
          </cell>
          <cell r="J40">
            <v>0</v>
          </cell>
          <cell r="K40" t="str">
            <v>F&amp;B</v>
          </cell>
        </row>
        <row r="41">
          <cell r="A41" t="str">
            <v>0240</v>
          </cell>
          <cell r="B41" t="str">
            <v>Room Service</v>
          </cell>
          <cell r="C41" t="str">
            <v>F&amp;B</v>
          </cell>
          <cell r="D41" t="str">
            <v>tpl_outlet</v>
          </cell>
          <cell r="E41" t="str">
            <v>MI01_POR</v>
          </cell>
          <cell r="F41" t="str">
            <v>MI01_DRev</v>
          </cell>
          <cell r="G41" t="str">
            <v>MI01_DRev</v>
          </cell>
          <cell r="H41" t="str">
            <v>MC01_DWag</v>
          </cell>
          <cell r="I41" t="str">
            <v>MI01_DRev</v>
          </cell>
          <cell r="J41">
            <v>0</v>
          </cell>
          <cell r="K41" t="str">
            <v>F&amp;B</v>
          </cell>
        </row>
        <row r="42">
          <cell r="A42" t="str">
            <v>0241</v>
          </cell>
          <cell r="B42" t="str">
            <v>Mini Bar</v>
          </cell>
          <cell r="C42" t="str">
            <v>F&amp;B</v>
          </cell>
          <cell r="D42" t="str">
            <v>tpl_outlet</v>
          </cell>
          <cell r="E42" t="str">
            <v>MI01_POR</v>
          </cell>
          <cell r="F42" t="str">
            <v>MI01_DRev</v>
          </cell>
          <cell r="G42" t="str">
            <v>MI01_DRev</v>
          </cell>
          <cell r="H42" t="str">
            <v>MC01_DWag</v>
          </cell>
          <cell r="I42" t="str">
            <v>MI01_DRev</v>
          </cell>
          <cell r="J42">
            <v>0</v>
          </cell>
          <cell r="K42" t="str">
            <v>F&amp;B</v>
          </cell>
        </row>
        <row r="43">
          <cell r="A43" t="str">
            <v>0250</v>
          </cell>
          <cell r="B43" t="str">
            <v>Fine Dining</v>
          </cell>
          <cell r="C43" t="str">
            <v>F&amp;B</v>
          </cell>
          <cell r="D43" t="str">
            <v>tpl_outlet</v>
          </cell>
          <cell r="E43" t="str">
            <v>MI01_POR</v>
          </cell>
          <cell r="F43" t="str">
            <v>MI01_DRev</v>
          </cell>
          <cell r="G43" t="str">
            <v>MI01_DRev</v>
          </cell>
          <cell r="H43" t="str">
            <v>MC01_DWag</v>
          </cell>
          <cell r="I43" t="str">
            <v>MI01_DRev</v>
          </cell>
          <cell r="J43">
            <v>0</v>
          </cell>
          <cell r="K43" t="str">
            <v>F&amp;B</v>
          </cell>
        </row>
        <row r="44">
          <cell r="A44" t="str">
            <v>0251</v>
          </cell>
          <cell r="B44" t="str">
            <v>Specialty Restaurant 1</v>
          </cell>
          <cell r="C44" t="str">
            <v>F&amp;B</v>
          </cell>
          <cell r="D44" t="str">
            <v>tpl_outlet</v>
          </cell>
          <cell r="E44" t="str">
            <v>MI01_POR</v>
          </cell>
          <cell r="F44" t="str">
            <v>MI01_DRev</v>
          </cell>
          <cell r="G44" t="str">
            <v>MI01_DRev</v>
          </cell>
          <cell r="H44" t="str">
            <v>MC01_DWag</v>
          </cell>
          <cell r="I44" t="str">
            <v>MI01_DRev</v>
          </cell>
          <cell r="J44">
            <v>0</v>
          </cell>
          <cell r="K44" t="str">
            <v>F&amp;B</v>
          </cell>
        </row>
        <row r="45">
          <cell r="A45" t="str">
            <v>0252</v>
          </cell>
          <cell r="B45" t="str">
            <v>Specialty Restaurant 2</v>
          </cell>
          <cell r="C45" t="str">
            <v>F&amp;B</v>
          </cell>
          <cell r="D45" t="str">
            <v>tpl_outlet</v>
          </cell>
          <cell r="E45" t="str">
            <v>MI01_POR</v>
          </cell>
          <cell r="F45" t="str">
            <v>MI01_DRev</v>
          </cell>
          <cell r="G45" t="str">
            <v>MI01_DRev</v>
          </cell>
          <cell r="H45" t="str">
            <v>MC01_DWag</v>
          </cell>
          <cell r="I45" t="str">
            <v>MI01_DRev</v>
          </cell>
          <cell r="J45">
            <v>0</v>
          </cell>
          <cell r="K45" t="str">
            <v>F&amp;B</v>
          </cell>
        </row>
        <row r="46">
          <cell r="A46" t="str">
            <v>0253</v>
          </cell>
          <cell r="B46" t="str">
            <v>Specialty Restaurant 3</v>
          </cell>
          <cell r="C46" t="str">
            <v>F&amp;B</v>
          </cell>
          <cell r="D46" t="str">
            <v>tpl_outlet</v>
          </cell>
          <cell r="E46" t="str">
            <v>MI01_POR</v>
          </cell>
          <cell r="F46" t="str">
            <v>MI01_DRev</v>
          </cell>
          <cell r="G46" t="str">
            <v>MI01_DRev</v>
          </cell>
          <cell r="H46" t="str">
            <v>MC01_DWag</v>
          </cell>
          <cell r="I46" t="str">
            <v>MI01_DRev</v>
          </cell>
          <cell r="J46">
            <v>0</v>
          </cell>
          <cell r="K46" t="str">
            <v>F&amp;B</v>
          </cell>
        </row>
        <row r="47">
          <cell r="A47" t="str">
            <v>0254</v>
          </cell>
          <cell r="B47" t="str">
            <v>Steakhouse</v>
          </cell>
          <cell r="C47" t="str">
            <v>F&amp;B</v>
          </cell>
          <cell r="D47" t="str">
            <v>tpl_outlet</v>
          </cell>
          <cell r="E47" t="str">
            <v>MI01_POR</v>
          </cell>
          <cell r="F47" t="str">
            <v>MI01_DRev</v>
          </cell>
          <cell r="G47" t="str">
            <v>MI01_DRev</v>
          </cell>
          <cell r="H47" t="str">
            <v>MC01_DWag</v>
          </cell>
          <cell r="I47" t="str">
            <v>MI01_DRev</v>
          </cell>
          <cell r="J47">
            <v>0</v>
          </cell>
          <cell r="K47" t="str">
            <v>F&amp;B</v>
          </cell>
        </row>
        <row r="48">
          <cell r="A48" t="str">
            <v>0255</v>
          </cell>
          <cell r="B48" t="str">
            <v>Specialty Restaurant 4</v>
          </cell>
          <cell r="C48" t="str">
            <v>F&amp;B</v>
          </cell>
          <cell r="D48" t="str">
            <v>tpl_outlet</v>
          </cell>
          <cell r="E48" t="str">
            <v>MI01_POR</v>
          </cell>
          <cell r="F48" t="str">
            <v>MI01_DRev</v>
          </cell>
          <cell r="G48" t="str">
            <v>MI01_DRev</v>
          </cell>
          <cell r="H48" t="str">
            <v>MC01_DWag</v>
          </cell>
          <cell r="I48" t="str">
            <v>MI01_DRev</v>
          </cell>
          <cell r="J48">
            <v>0</v>
          </cell>
          <cell r="K48" t="str">
            <v>F&amp;B</v>
          </cell>
        </row>
        <row r="49">
          <cell r="A49" t="str">
            <v>0256</v>
          </cell>
          <cell r="B49" t="str">
            <v>Specialty Restaurant 5</v>
          </cell>
          <cell r="C49" t="str">
            <v>F&amp;B</v>
          </cell>
          <cell r="D49" t="str">
            <v>tpl_outlet</v>
          </cell>
          <cell r="E49" t="str">
            <v>MI01_POR</v>
          </cell>
          <cell r="F49" t="str">
            <v>MI01_DRev</v>
          </cell>
          <cell r="G49" t="str">
            <v>MI01_DRev</v>
          </cell>
          <cell r="H49" t="str">
            <v>MC01_DWag</v>
          </cell>
          <cell r="I49" t="str">
            <v>MI01_DRev</v>
          </cell>
          <cell r="J49">
            <v>0</v>
          </cell>
          <cell r="K49" t="str">
            <v>F&amp;B</v>
          </cell>
        </row>
        <row r="50">
          <cell r="A50" t="str">
            <v>0260</v>
          </cell>
          <cell r="B50" t="str">
            <v>Specialty Lounges 3</v>
          </cell>
          <cell r="C50" t="str">
            <v>F&amp;B</v>
          </cell>
          <cell r="D50" t="str">
            <v>tpl_outlet</v>
          </cell>
          <cell r="E50" t="str">
            <v>MI01_POR</v>
          </cell>
          <cell r="F50" t="str">
            <v>MI01_DRev</v>
          </cell>
          <cell r="G50" t="str">
            <v>MI01_DRev</v>
          </cell>
          <cell r="H50" t="str">
            <v>MC01_DWag</v>
          </cell>
          <cell r="I50" t="str">
            <v>MI01_DRev</v>
          </cell>
          <cell r="J50">
            <v>0</v>
          </cell>
          <cell r="K50" t="str">
            <v>F&amp;B</v>
          </cell>
        </row>
        <row r="51">
          <cell r="A51" t="str">
            <v>0261</v>
          </cell>
          <cell r="B51" t="str">
            <v>Specialty Lounge 1</v>
          </cell>
          <cell r="C51" t="str">
            <v>F&amp;B</v>
          </cell>
          <cell r="D51" t="str">
            <v>tpl_outlet</v>
          </cell>
          <cell r="E51" t="str">
            <v>MI01_POR</v>
          </cell>
          <cell r="F51" t="str">
            <v>MI01_DRev</v>
          </cell>
          <cell r="G51" t="str">
            <v>MI01_DRev</v>
          </cell>
          <cell r="H51" t="str">
            <v>MC01_DWag</v>
          </cell>
          <cell r="I51" t="str">
            <v>MI01_DRev</v>
          </cell>
          <cell r="J51">
            <v>0</v>
          </cell>
          <cell r="K51" t="str">
            <v>F&amp;B</v>
          </cell>
        </row>
        <row r="52">
          <cell r="A52" t="str">
            <v>0262</v>
          </cell>
          <cell r="B52" t="str">
            <v>Specialty Lounge 2</v>
          </cell>
          <cell r="C52" t="str">
            <v>F&amp;B</v>
          </cell>
          <cell r="D52" t="str">
            <v>tpl_outlet</v>
          </cell>
          <cell r="E52" t="str">
            <v>MI01_POR</v>
          </cell>
          <cell r="F52" t="str">
            <v>MI01_DRev</v>
          </cell>
          <cell r="G52" t="str">
            <v>MI01_DRev</v>
          </cell>
          <cell r="H52" t="str">
            <v>MC01_DWag</v>
          </cell>
          <cell r="I52" t="str">
            <v>MI01_DRev</v>
          </cell>
          <cell r="J52">
            <v>0</v>
          </cell>
          <cell r="K52" t="str">
            <v>F&amp;B</v>
          </cell>
        </row>
        <row r="53">
          <cell r="A53" t="str">
            <v>0263</v>
          </cell>
          <cell r="B53" t="str">
            <v>Pool Lounge</v>
          </cell>
          <cell r="C53" t="str">
            <v>F&amp;B</v>
          </cell>
          <cell r="D53" t="str">
            <v>tpl_outlet</v>
          </cell>
          <cell r="E53" t="str">
            <v>MI01_POR</v>
          </cell>
          <cell r="F53" t="str">
            <v>MI01_DRev</v>
          </cell>
          <cell r="G53" t="str">
            <v>MI01_DRev</v>
          </cell>
          <cell r="H53" t="str">
            <v>MC01_DWag</v>
          </cell>
          <cell r="I53" t="str">
            <v>MI01_DRev</v>
          </cell>
          <cell r="J53">
            <v>0</v>
          </cell>
          <cell r="K53" t="str">
            <v>F&amp;B</v>
          </cell>
        </row>
        <row r="54">
          <cell r="A54" t="str">
            <v>0264</v>
          </cell>
          <cell r="B54" t="str">
            <v>Other Lounge</v>
          </cell>
          <cell r="C54" t="str">
            <v>F&amp;B</v>
          </cell>
          <cell r="D54" t="str">
            <v>tpl_outlet</v>
          </cell>
          <cell r="E54" t="str">
            <v>MI01_POR</v>
          </cell>
          <cell r="F54" t="str">
            <v>MI01_DRev</v>
          </cell>
          <cell r="G54" t="str">
            <v>MI01_DRev</v>
          </cell>
          <cell r="H54" t="str">
            <v>MC01_DWag</v>
          </cell>
          <cell r="I54" t="str">
            <v>MI01_DRev</v>
          </cell>
          <cell r="J54">
            <v>0</v>
          </cell>
          <cell r="K54" t="str">
            <v>F&amp;B</v>
          </cell>
        </row>
        <row r="55">
          <cell r="A55" t="str">
            <v>0265</v>
          </cell>
          <cell r="B55" t="str">
            <v>Other Specialty Lounge</v>
          </cell>
          <cell r="C55" t="str">
            <v>F&amp;B</v>
          </cell>
          <cell r="D55" t="str">
            <v>tpl_outlet</v>
          </cell>
          <cell r="E55" t="str">
            <v>MI01_POR</v>
          </cell>
          <cell r="F55" t="str">
            <v>MI01_DRev</v>
          </cell>
          <cell r="G55" t="str">
            <v>MI01_DRev</v>
          </cell>
          <cell r="H55" t="str">
            <v>MC01_DWag</v>
          </cell>
          <cell r="I55" t="str">
            <v>MI01_DRev</v>
          </cell>
          <cell r="J55">
            <v>0</v>
          </cell>
          <cell r="K55" t="str">
            <v>F&amp;B</v>
          </cell>
        </row>
        <row r="56">
          <cell r="A56" t="str">
            <v>0266</v>
          </cell>
          <cell r="B56" t="str">
            <v>Nightclub</v>
          </cell>
          <cell r="C56" t="str">
            <v>F&amp;B</v>
          </cell>
          <cell r="D56" t="str">
            <v>tpl_outlet</v>
          </cell>
          <cell r="E56" t="str">
            <v>MI01_POR</v>
          </cell>
          <cell r="F56" t="str">
            <v>MI01_DRev</v>
          </cell>
          <cell r="G56" t="str">
            <v>MI01_DRev</v>
          </cell>
          <cell r="H56" t="str">
            <v>MC01_DWag</v>
          </cell>
          <cell r="I56" t="str">
            <v>MI01_DRev</v>
          </cell>
          <cell r="J56">
            <v>0</v>
          </cell>
          <cell r="K56" t="str">
            <v>F&amp;B</v>
          </cell>
        </row>
        <row r="57">
          <cell r="A57" t="str">
            <v>0270</v>
          </cell>
          <cell r="B57" t="str">
            <v>Other Food and Beverage</v>
          </cell>
          <cell r="C57" t="str">
            <v>F&amp;B</v>
          </cell>
          <cell r="D57" t="str">
            <v>tpl_outlet</v>
          </cell>
          <cell r="E57" t="str">
            <v>MI01_POR</v>
          </cell>
          <cell r="F57" t="str">
            <v>MI01_DRev</v>
          </cell>
          <cell r="G57" t="str">
            <v>MI01_POR</v>
          </cell>
          <cell r="H57" t="str">
            <v>MC01_DWag</v>
          </cell>
          <cell r="I57" t="str">
            <v>MI01_DRev</v>
          </cell>
          <cell r="J57">
            <v>1</v>
          </cell>
          <cell r="K57" t="str">
            <v>F&amp;B</v>
          </cell>
        </row>
        <row r="58">
          <cell r="A58" t="str">
            <v>0271</v>
          </cell>
          <cell r="B58" t="str">
            <v>Coffee</v>
          </cell>
          <cell r="C58" t="str">
            <v>F&amp;B</v>
          </cell>
          <cell r="D58" t="str">
            <v>tpl_outlet</v>
          </cell>
          <cell r="E58" t="str">
            <v>MI01_POR</v>
          </cell>
          <cell r="F58" t="str">
            <v>MI01_DRev</v>
          </cell>
          <cell r="G58" t="str">
            <v>MI01_POR</v>
          </cell>
          <cell r="H58" t="str">
            <v>MC01_DWag</v>
          </cell>
          <cell r="I58" t="str">
            <v>MI01_DRev</v>
          </cell>
          <cell r="J58">
            <v>1</v>
          </cell>
          <cell r="K58" t="str">
            <v>F&amp;B</v>
          </cell>
        </row>
        <row r="59">
          <cell r="A59" t="str">
            <v>0272</v>
          </cell>
          <cell r="B59" t="str">
            <v>Deli-Gifts-Other</v>
          </cell>
          <cell r="C59" t="str">
            <v>F&amp;B</v>
          </cell>
          <cell r="D59" t="str">
            <v>tpl_outlet</v>
          </cell>
          <cell r="E59" t="str">
            <v>MI01_POR</v>
          </cell>
          <cell r="F59" t="str">
            <v>MI01_DRev</v>
          </cell>
          <cell r="G59" t="str">
            <v>MI01_POR</v>
          </cell>
          <cell r="H59" t="str">
            <v>MC01_DWag</v>
          </cell>
          <cell r="I59" t="str">
            <v>MI01_DRev</v>
          </cell>
          <cell r="J59">
            <v>0</v>
          </cell>
          <cell r="K59" t="str">
            <v>F&amp;B</v>
          </cell>
        </row>
        <row r="60">
          <cell r="A60" t="str">
            <v>0275</v>
          </cell>
          <cell r="B60" t="str">
            <v>Starbucks Kiosk</v>
          </cell>
          <cell r="C60" t="str">
            <v>F&amp;B</v>
          </cell>
          <cell r="D60" t="str">
            <v>tpl_outlet</v>
          </cell>
          <cell r="E60" t="str">
            <v>MI01_POR</v>
          </cell>
          <cell r="F60" t="str">
            <v>MI01_DRev</v>
          </cell>
          <cell r="G60" t="str">
            <v>MI01_POR</v>
          </cell>
          <cell r="H60" t="str">
            <v>MC01_DWag</v>
          </cell>
          <cell r="I60" t="str">
            <v>MI01_DRev</v>
          </cell>
          <cell r="J60">
            <v>0</v>
          </cell>
          <cell r="K60" t="str">
            <v>F&amp;B</v>
          </cell>
        </row>
        <row r="61">
          <cell r="A61" t="str">
            <v>0276</v>
          </cell>
          <cell r="B61" t="str">
            <v>Spa Food and Beverage</v>
          </cell>
          <cell r="C61" t="str">
            <v>F&amp;B</v>
          </cell>
          <cell r="D61" t="str">
            <v>tpl_outlet</v>
          </cell>
          <cell r="E61" t="str">
            <v>MI01_POR</v>
          </cell>
          <cell r="F61" t="str">
            <v>MI01_DRev</v>
          </cell>
          <cell r="G61" t="str">
            <v>MI01_POR</v>
          </cell>
          <cell r="H61" t="str">
            <v>MC01_DWag</v>
          </cell>
          <cell r="I61" t="str">
            <v>MI01_DRev</v>
          </cell>
          <cell r="J61">
            <v>0</v>
          </cell>
          <cell r="K61" t="str">
            <v>F&amp;B</v>
          </cell>
        </row>
        <row r="62">
          <cell r="A62" t="str">
            <v>0280</v>
          </cell>
          <cell r="B62" t="str">
            <v>Pool-Snack Bar</v>
          </cell>
          <cell r="C62" t="str">
            <v>F&amp;B</v>
          </cell>
          <cell r="D62" t="str">
            <v>tpl_outlet</v>
          </cell>
          <cell r="E62" t="str">
            <v>MI01_POR</v>
          </cell>
          <cell r="F62" t="str">
            <v>MI01_DRev</v>
          </cell>
          <cell r="G62" t="str">
            <v>MI01_POR</v>
          </cell>
          <cell r="H62" t="str">
            <v>MC01_DWag</v>
          </cell>
          <cell r="I62" t="str">
            <v>MI01_DRev</v>
          </cell>
          <cell r="J62">
            <v>0</v>
          </cell>
          <cell r="K62" t="str">
            <v>F&amp;B</v>
          </cell>
        </row>
        <row r="63">
          <cell r="A63" t="str">
            <v>0281</v>
          </cell>
          <cell r="B63" t="str">
            <v>Pizza</v>
          </cell>
          <cell r="C63" t="str">
            <v>F&amp;B</v>
          </cell>
          <cell r="D63" t="str">
            <v>tpl_outlet</v>
          </cell>
          <cell r="E63" t="str">
            <v>MI01_POR</v>
          </cell>
          <cell r="F63" t="str">
            <v>MI01_DRev</v>
          </cell>
          <cell r="G63" t="str">
            <v>MI01_POR</v>
          </cell>
          <cell r="H63" t="str">
            <v>MC01_DWag</v>
          </cell>
          <cell r="I63" t="str">
            <v>MI01_DRev</v>
          </cell>
          <cell r="J63">
            <v>0</v>
          </cell>
          <cell r="K63" t="str">
            <v>F&amp;B</v>
          </cell>
        </row>
        <row r="64">
          <cell r="A64" t="str">
            <v>0282</v>
          </cell>
          <cell r="B64" t="str">
            <v>Snacks-Other</v>
          </cell>
          <cell r="C64" t="str">
            <v>F&amp;B</v>
          </cell>
          <cell r="D64" t="str">
            <v>tpl_outlet</v>
          </cell>
          <cell r="E64" t="str">
            <v>MI01_POR</v>
          </cell>
          <cell r="F64" t="str">
            <v>MI01_DRev</v>
          </cell>
          <cell r="G64" t="str">
            <v>MI01_POR</v>
          </cell>
          <cell r="H64" t="str">
            <v>MC01_DWag</v>
          </cell>
          <cell r="I64" t="str">
            <v>MI01_DRev</v>
          </cell>
          <cell r="J64">
            <v>0</v>
          </cell>
          <cell r="K64" t="str">
            <v>F&amp;B</v>
          </cell>
        </row>
        <row r="65">
          <cell r="A65" t="str">
            <v>0283</v>
          </cell>
          <cell r="B65" t="str">
            <v>Snackbars</v>
          </cell>
          <cell r="C65" t="str">
            <v>F&amp;B</v>
          </cell>
          <cell r="D65" t="str">
            <v>tpl_outlet</v>
          </cell>
          <cell r="E65" t="str">
            <v>MI01_POR</v>
          </cell>
          <cell r="F65" t="str">
            <v>MI01_DRev</v>
          </cell>
          <cell r="G65" t="str">
            <v>MI01_POR</v>
          </cell>
          <cell r="H65" t="str">
            <v>MC01_DWag</v>
          </cell>
          <cell r="I65" t="str">
            <v>MI01_DRev</v>
          </cell>
          <cell r="J65">
            <v>0</v>
          </cell>
          <cell r="K65" t="str">
            <v>F&amp;B</v>
          </cell>
        </row>
        <row r="66">
          <cell r="A66" t="str">
            <v>0285</v>
          </cell>
          <cell r="B66" t="str">
            <v>Pool-Snack</v>
          </cell>
          <cell r="C66" t="str">
            <v>F&amp;B</v>
          </cell>
          <cell r="D66" t="str">
            <v>tpl_outlet</v>
          </cell>
          <cell r="E66" t="str">
            <v>MI01_POR</v>
          </cell>
          <cell r="F66" t="str">
            <v>MI01_DRev</v>
          </cell>
          <cell r="G66" t="str">
            <v>MI01_POR</v>
          </cell>
          <cell r="H66" t="str">
            <v>MC01_DWag</v>
          </cell>
          <cell r="I66" t="str">
            <v>MI01_DRev</v>
          </cell>
          <cell r="J66">
            <v>0</v>
          </cell>
          <cell r="K66" t="str">
            <v>F&amp;B</v>
          </cell>
        </row>
        <row r="67">
          <cell r="A67" t="str">
            <v>0286</v>
          </cell>
          <cell r="B67" t="str">
            <v>Other Cafe Pastry Shop</v>
          </cell>
          <cell r="C67" t="str">
            <v>F&amp;B</v>
          </cell>
          <cell r="D67" t="str">
            <v>tpl_outlet</v>
          </cell>
          <cell r="E67" t="str">
            <v>MI01_POR</v>
          </cell>
          <cell r="F67" t="str">
            <v>MI01_DRev</v>
          </cell>
          <cell r="G67" t="str">
            <v>MI01_POR</v>
          </cell>
          <cell r="H67" t="str">
            <v>MC01_DWag</v>
          </cell>
          <cell r="I67" t="str">
            <v>MI01_DRev</v>
          </cell>
          <cell r="J67">
            <v>0</v>
          </cell>
          <cell r="K67" t="str">
            <v>F&amp;B</v>
          </cell>
        </row>
        <row r="68">
          <cell r="A68" t="str">
            <v>0200</v>
          </cell>
          <cell r="B68" t="str">
            <v>Event Technology</v>
          </cell>
          <cell r="C68" t="str">
            <v>AUDIO VISUAL</v>
          </cell>
          <cell r="D68" t="str">
            <v>tpl_av</v>
          </cell>
          <cell r="E68" t="str">
            <v>MI01_FIX</v>
          </cell>
          <cell r="F68" t="str">
            <v>MI01_DRev</v>
          </cell>
          <cell r="G68" t="str">
            <v>MI01_DRev</v>
          </cell>
          <cell r="H68" t="str">
            <v>MC01_DWag</v>
          </cell>
          <cell r="I68" t="str">
            <v>MI01_DRev</v>
          </cell>
          <cell r="J68">
            <v>1</v>
          </cell>
          <cell r="K68" t="str">
            <v>AUDIO VISUAL</v>
          </cell>
        </row>
        <row r="69">
          <cell r="A69" t="str">
            <v>0201</v>
          </cell>
          <cell r="B69" t="str">
            <v>Local Audio Visual</v>
          </cell>
          <cell r="C69" t="str">
            <v>AUDIO VISUAL</v>
          </cell>
          <cell r="D69" t="str">
            <v>tpl_av</v>
          </cell>
          <cell r="E69" t="str">
            <v>MI01_FIX</v>
          </cell>
          <cell r="F69" t="str">
            <v>MI01_DRev</v>
          </cell>
          <cell r="G69" t="str">
            <v>MI01_DRev</v>
          </cell>
          <cell r="H69" t="str">
            <v>MC01_DWag</v>
          </cell>
          <cell r="I69" t="str">
            <v>MI01_DRev</v>
          </cell>
          <cell r="J69">
            <v>0</v>
          </cell>
          <cell r="K69" t="str">
            <v>AUDIO VISUAL</v>
          </cell>
        </row>
        <row r="70">
          <cell r="A70" t="str">
            <v>0202</v>
          </cell>
          <cell r="B70" t="str">
            <v>Group Audio Visual</v>
          </cell>
          <cell r="C70" t="str">
            <v>AUDIO VISUAL</v>
          </cell>
          <cell r="D70" t="str">
            <v>tpl_av</v>
          </cell>
          <cell r="E70" t="str">
            <v>MI01_FIX</v>
          </cell>
          <cell r="F70" t="str">
            <v>MI01_DRev</v>
          </cell>
          <cell r="G70" t="str">
            <v>MI01_DRev</v>
          </cell>
          <cell r="H70" t="str">
            <v>MC01_DWag</v>
          </cell>
          <cell r="I70" t="str">
            <v>MI01_DRev</v>
          </cell>
          <cell r="J70">
            <v>0</v>
          </cell>
          <cell r="K70" t="str">
            <v>AUDIO VISUAL</v>
          </cell>
        </row>
        <row r="71">
          <cell r="A71" t="str">
            <v>0203</v>
          </cell>
          <cell r="B71" t="str">
            <v>Audio Visual Outside</v>
          </cell>
          <cell r="C71" t="str">
            <v>AUDIO VISUAL</v>
          </cell>
          <cell r="D71" t="str">
            <v>tpl_av</v>
          </cell>
          <cell r="E71" t="str">
            <v>MI01_FIX</v>
          </cell>
          <cell r="F71" t="str">
            <v>MI01_DRev</v>
          </cell>
          <cell r="G71" t="str">
            <v>MI01_DRev</v>
          </cell>
          <cell r="H71" t="str">
            <v>MC01_DWag</v>
          </cell>
          <cell r="I71" t="str">
            <v>MI01_DRev</v>
          </cell>
          <cell r="J71">
            <v>0</v>
          </cell>
          <cell r="K71" t="str">
            <v>AUDIO VISUAL</v>
          </cell>
        </row>
        <row r="72">
          <cell r="A72" t="str">
            <v>0230</v>
          </cell>
          <cell r="B72" t="str">
            <v>Banquets</v>
          </cell>
          <cell r="C72" t="str">
            <v>Banquet</v>
          </cell>
          <cell r="D72" t="str">
            <v>tpl_banquet</v>
          </cell>
          <cell r="E72" t="str">
            <v>MI01_FIX</v>
          </cell>
          <cell r="F72" t="str">
            <v>MI01_DRev</v>
          </cell>
          <cell r="G72" t="str">
            <v>MI01_DRev</v>
          </cell>
          <cell r="H72" t="str">
            <v>MC01_DWag</v>
          </cell>
          <cell r="I72" t="str">
            <v>MI01_DRev</v>
          </cell>
          <cell r="J72">
            <v>1</v>
          </cell>
          <cell r="K72" t="str">
            <v>Banquet</v>
          </cell>
        </row>
        <row r="73">
          <cell r="A73" t="str">
            <v>0231</v>
          </cell>
          <cell r="B73" t="str">
            <v>Local Banquet</v>
          </cell>
          <cell r="C73" t="str">
            <v>Banquet</v>
          </cell>
          <cell r="D73" t="str">
            <v>tpl_banquet</v>
          </cell>
          <cell r="E73" t="str">
            <v>MI01_FIX</v>
          </cell>
          <cell r="F73" t="str">
            <v>MI01_DRev</v>
          </cell>
          <cell r="G73" t="str">
            <v>MI01_DRev</v>
          </cell>
          <cell r="H73" t="str">
            <v>MC01_DWag</v>
          </cell>
          <cell r="I73" t="str">
            <v>MI01_DRev</v>
          </cell>
          <cell r="J73">
            <v>1</v>
          </cell>
          <cell r="K73" t="str">
            <v>Banquet</v>
          </cell>
        </row>
        <row r="74">
          <cell r="A74" t="str">
            <v>0232</v>
          </cell>
          <cell r="B74" t="str">
            <v>Group Banquet</v>
          </cell>
          <cell r="C74" t="str">
            <v>Banquet</v>
          </cell>
          <cell r="D74" t="str">
            <v>tpl_banquet</v>
          </cell>
          <cell r="E74" t="str">
            <v>MI01_FIX</v>
          </cell>
          <cell r="F74" t="str">
            <v>MI01_DRev</v>
          </cell>
          <cell r="G74" t="str">
            <v>MI01_DRev</v>
          </cell>
          <cell r="H74" t="str">
            <v>MC01_DWag</v>
          </cell>
          <cell r="I74" t="str">
            <v>MI01_DRev</v>
          </cell>
          <cell r="J74">
            <v>1</v>
          </cell>
          <cell r="K74" t="str">
            <v>Banquet</v>
          </cell>
        </row>
        <row r="75">
          <cell r="A75" t="str">
            <v>0233</v>
          </cell>
          <cell r="B75" t="str">
            <v>Conference Banquet</v>
          </cell>
          <cell r="C75" t="str">
            <v>Banquet</v>
          </cell>
          <cell r="D75" t="str">
            <v>tpl_banquet</v>
          </cell>
          <cell r="E75" t="str">
            <v>MI01_FIX</v>
          </cell>
          <cell r="F75" t="str">
            <v>MI01_DRev</v>
          </cell>
          <cell r="G75" t="str">
            <v>MI01_DRev</v>
          </cell>
          <cell r="H75" t="str">
            <v>MC01_DWag</v>
          </cell>
          <cell r="I75" t="str">
            <v>MI01_DRev</v>
          </cell>
          <cell r="J75">
            <v>0</v>
          </cell>
          <cell r="K75" t="str">
            <v>Banquet</v>
          </cell>
        </row>
        <row r="76">
          <cell r="A76" t="str">
            <v>0234</v>
          </cell>
          <cell r="B76" t="str">
            <v>Electrical</v>
          </cell>
          <cell r="C76" t="str">
            <v>Banquet</v>
          </cell>
          <cell r="D76" t="str">
            <v>tpl_banquet</v>
          </cell>
          <cell r="E76" t="str">
            <v>MI01_FIX</v>
          </cell>
          <cell r="F76" t="str">
            <v>MI01_DRev</v>
          </cell>
          <cell r="G76" t="str">
            <v>MI01_POR</v>
          </cell>
          <cell r="H76" t="str">
            <v>MC01_DWag</v>
          </cell>
          <cell r="I76" t="str">
            <v>MI01_DRev</v>
          </cell>
          <cell r="J76">
            <v>0</v>
          </cell>
          <cell r="K76" t="str">
            <v>Banquet</v>
          </cell>
        </row>
        <row r="77">
          <cell r="A77" t="str">
            <v>0235</v>
          </cell>
          <cell r="B77" t="str">
            <v>FB Destinations Mgmt</v>
          </cell>
          <cell r="C77" t="str">
            <v>Banquet</v>
          </cell>
          <cell r="D77" t="str">
            <v>tpl_banquet</v>
          </cell>
          <cell r="E77" t="str">
            <v>MI01_FIX</v>
          </cell>
          <cell r="F77" t="str">
            <v>MI01_DRev</v>
          </cell>
          <cell r="G77" t="str">
            <v>MI01_POR</v>
          </cell>
          <cell r="H77" t="str">
            <v>MC01_DWag</v>
          </cell>
          <cell r="I77" t="str">
            <v>MI01_DRev</v>
          </cell>
          <cell r="J77">
            <v>0</v>
          </cell>
          <cell r="K77" t="str">
            <v>Banquet</v>
          </cell>
        </row>
        <row r="78">
          <cell r="A78" t="str">
            <v>0236</v>
          </cell>
          <cell r="B78" t="str">
            <v>Outside Catering</v>
          </cell>
          <cell r="C78" t="str">
            <v>Banquet</v>
          </cell>
          <cell r="D78" t="str">
            <v>tpl_banquet</v>
          </cell>
          <cell r="E78" t="str">
            <v>MI01_FIX</v>
          </cell>
          <cell r="F78" t="str">
            <v>MI01_DRev</v>
          </cell>
          <cell r="G78" t="str">
            <v>MI01_DRev</v>
          </cell>
          <cell r="H78" t="str">
            <v>MC01_DWag</v>
          </cell>
          <cell r="I78" t="str">
            <v>MI01_DRev</v>
          </cell>
          <cell r="J78">
            <v>0</v>
          </cell>
          <cell r="K78" t="str">
            <v>Banquet</v>
          </cell>
        </row>
        <row r="79">
          <cell r="A79" t="str">
            <v>0237</v>
          </cell>
          <cell r="B79" t="str">
            <v>Group Banquet 2</v>
          </cell>
          <cell r="C79" t="str">
            <v>Banquet</v>
          </cell>
          <cell r="D79" t="str">
            <v>tpl_banquet</v>
          </cell>
          <cell r="E79" t="str">
            <v>MI01_FIX</v>
          </cell>
          <cell r="F79" t="str">
            <v>MI01_DRev</v>
          </cell>
          <cell r="G79" t="str">
            <v>MI01_DRev</v>
          </cell>
          <cell r="H79" t="str">
            <v>MC01_DWag</v>
          </cell>
          <cell r="I79" t="str">
            <v>MI01_DRev</v>
          </cell>
          <cell r="J79">
            <v>0</v>
          </cell>
          <cell r="K79" t="str">
            <v>Banquet</v>
          </cell>
        </row>
        <row r="80">
          <cell r="A80" t="str">
            <v>0238</v>
          </cell>
          <cell r="B80" t="str">
            <v>Exhibit Space</v>
          </cell>
          <cell r="C80" t="str">
            <v>Banquet</v>
          </cell>
          <cell r="D80" t="str">
            <v>tpl_banquet</v>
          </cell>
          <cell r="E80" t="str">
            <v>MI01_FIX</v>
          </cell>
          <cell r="F80" t="str">
            <v>MI01_DRev</v>
          </cell>
          <cell r="G80" t="str">
            <v>MI01_DRev</v>
          </cell>
          <cell r="H80" t="str">
            <v>MC01_DWag</v>
          </cell>
          <cell r="I80" t="str">
            <v>MI01_DRev</v>
          </cell>
          <cell r="J80">
            <v>0</v>
          </cell>
          <cell r="K80" t="str">
            <v>Banquet</v>
          </cell>
        </row>
        <row r="81">
          <cell r="A81" t="str">
            <v>0040</v>
          </cell>
          <cell r="B81" t="str">
            <v>Gift Shop</v>
          </cell>
          <cell r="C81" t="str">
            <v>RETAIL</v>
          </cell>
          <cell r="D81" t="str">
            <v>tpl_retail</v>
          </cell>
          <cell r="E81" t="str">
            <v>MI01_POR</v>
          </cell>
          <cell r="F81" t="str">
            <v>MI01_DRev</v>
          </cell>
          <cell r="G81" t="str">
            <v>MI01_FIX</v>
          </cell>
          <cell r="H81" t="str">
            <v>MC01_DWag</v>
          </cell>
          <cell r="I81" t="str">
            <v>MI01_FIX</v>
          </cell>
          <cell r="J81">
            <v>1</v>
          </cell>
          <cell r="K81" t="str">
            <v>RETAIL</v>
          </cell>
        </row>
        <row r="82">
          <cell r="A82" t="str">
            <v>0041</v>
          </cell>
          <cell r="B82" t="str">
            <v>Gift Shop 2</v>
          </cell>
          <cell r="C82" t="str">
            <v>RETAIL</v>
          </cell>
          <cell r="D82" t="str">
            <v>tpl_retail</v>
          </cell>
          <cell r="E82" t="str">
            <v>MI01_POR</v>
          </cell>
          <cell r="F82" t="str">
            <v>MI01_DRev</v>
          </cell>
          <cell r="G82" t="str">
            <v>MI01_FIX</v>
          </cell>
          <cell r="H82" t="str">
            <v>MC01_DWag</v>
          </cell>
          <cell r="I82" t="str">
            <v>MI01_FIX</v>
          </cell>
          <cell r="J82">
            <v>0</v>
          </cell>
          <cell r="K82" t="str">
            <v>RETAIL</v>
          </cell>
        </row>
        <row r="83">
          <cell r="A83" t="str">
            <v>0042</v>
          </cell>
          <cell r="B83" t="str">
            <v>Gift Shop 3</v>
          </cell>
          <cell r="C83" t="str">
            <v>RETAIL</v>
          </cell>
          <cell r="D83" t="str">
            <v>tpl_retail</v>
          </cell>
          <cell r="E83" t="str">
            <v>MI01_POR</v>
          </cell>
          <cell r="F83" t="str">
            <v>MI01_DRev</v>
          </cell>
          <cell r="G83" t="str">
            <v>MI01_FIX</v>
          </cell>
          <cell r="H83" t="str">
            <v>MC01_DWag</v>
          </cell>
          <cell r="I83" t="str">
            <v>MI01_FIX</v>
          </cell>
          <cell r="J83">
            <v>0</v>
          </cell>
          <cell r="K83" t="str">
            <v>RETAIL</v>
          </cell>
        </row>
        <row r="84">
          <cell r="A84" t="str">
            <v>0043</v>
          </cell>
          <cell r="B84" t="str">
            <v>Gift Shop 4</v>
          </cell>
          <cell r="C84" t="str">
            <v>RETAIL</v>
          </cell>
          <cell r="D84" t="str">
            <v>tpl_retail</v>
          </cell>
          <cell r="E84" t="str">
            <v>MI01_POR</v>
          </cell>
          <cell r="F84" t="str">
            <v>MI01_DRev</v>
          </cell>
          <cell r="G84" t="str">
            <v>MI01_FIX</v>
          </cell>
          <cell r="H84" t="str">
            <v>MC01_DWag</v>
          </cell>
          <cell r="I84" t="str">
            <v>MI01_FIX</v>
          </cell>
          <cell r="J84">
            <v>0</v>
          </cell>
          <cell r="K84" t="str">
            <v>RETAIL</v>
          </cell>
        </row>
        <row r="85">
          <cell r="A85" t="str">
            <v>0050</v>
          </cell>
          <cell r="B85" t="str">
            <v>Specialty Shop</v>
          </cell>
          <cell r="C85" t="str">
            <v>RETAIL</v>
          </cell>
          <cell r="D85" t="str">
            <v>tpl_retail</v>
          </cell>
          <cell r="E85" t="str">
            <v>MI01_POR</v>
          </cell>
          <cell r="F85" t="str">
            <v>MI01_DRev</v>
          </cell>
          <cell r="G85" t="str">
            <v>MI01_FIX</v>
          </cell>
          <cell r="H85" t="str">
            <v>MC01_DWag</v>
          </cell>
          <cell r="I85" t="str">
            <v>MI01_FIX</v>
          </cell>
          <cell r="J85">
            <v>0</v>
          </cell>
          <cell r="K85" t="str">
            <v>RETAIL</v>
          </cell>
        </row>
        <row r="86">
          <cell r="A86" t="str">
            <v>0051</v>
          </cell>
          <cell r="B86" t="str">
            <v>Specialty Shop 2</v>
          </cell>
          <cell r="C86" t="str">
            <v>RETAIL</v>
          </cell>
          <cell r="D86" t="str">
            <v>tpl_retail</v>
          </cell>
          <cell r="E86" t="str">
            <v>MI01_POR</v>
          </cell>
          <cell r="F86" t="str">
            <v>MI01_DRev</v>
          </cell>
          <cell r="G86" t="str">
            <v>MI01_FIX</v>
          </cell>
          <cell r="H86" t="str">
            <v>MC01_DWag</v>
          </cell>
          <cell r="I86" t="str">
            <v>MI01_FIX</v>
          </cell>
          <cell r="J86">
            <v>0</v>
          </cell>
          <cell r="K86" t="str">
            <v>RETAIL</v>
          </cell>
        </row>
        <row r="87">
          <cell r="A87" t="str">
            <v>0052</v>
          </cell>
          <cell r="B87" t="str">
            <v>Specialty Shop 3</v>
          </cell>
          <cell r="C87" t="str">
            <v>RETAIL</v>
          </cell>
          <cell r="D87" t="str">
            <v>tpl_retail</v>
          </cell>
          <cell r="E87" t="str">
            <v>MI01_POR</v>
          </cell>
          <cell r="F87" t="str">
            <v>MI01_DRev</v>
          </cell>
          <cell r="G87" t="str">
            <v>MI01_FIX</v>
          </cell>
          <cell r="H87" t="str">
            <v>MC01_DWag</v>
          </cell>
          <cell r="I87" t="str">
            <v>MI01_FIX</v>
          </cell>
          <cell r="J87">
            <v>0</v>
          </cell>
          <cell r="K87" t="str">
            <v>RETAIL</v>
          </cell>
        </row>
        <row r="88">
          <cell r="A88" t="str">
            <v>0053</v>
          </cell>
          <cell r="B88" t="str">
            <v>Photo Shop</v>
          </cell>
          <cell r="C88" t="str">
            <v>RETAIL</v>
          </cell>
          <cell r="D88" t="str">
            <v>tpl_retail</v>
          </cell>
          <cell r="E88" t="str">
            <v>MI01_POR</v>
          </cell>
          <cell r="F88" t="str">
            <v>MI01_DRev</v>
          </cell>
          <cell r="G88" t="str">
            <v>MI01_FIX</v>
          </cell>
          <cell r="H88" t="str">
            <v>MC01_DWag</v>
          </cell>
          <cell r="I88" t="str">
            <v>MI01_FIX</v>
          </cell>
          <cell r="J88">
            <v>0</v>
          </cell>
          <cell r="K88" t="str">
            <v>RETAIL</v>
          </cell>
        </row>
        <row r="89">
          <cell r="A89" t="str">
            <v>0072</v>
          </cell>
          <cell r="B89" t="str">
            <v>Retail Space</v>
          </cell>
          <cell r="C89" t="str">
            <v>RETAIL</v>
          </cell>
          <cell r="D89" t="str">
            <v>tpl_retail</v>
          </cell>
          <cell r="E89" t="str">
            <v>MI01_POR</v>
          </cell>
          <cell r="F89" t="str">
            <v>MI01_DRev</v>
          </cell>
          <cell r="G89" t="str">
            <v>MI01_FIX</v>
          </cell>
          <cell r="H89" t="str">
            <v>MC01_DWag</v>
          </cell>
          <cell r="I89" t="str">
            <v>MI01_FIX</v>
          </cell>
          <cell r="J89">
            <v>0</v>
          </cell>
          <cell r="K89" t="str">
            <v>RETAIL</v>
          </cell>
        </row>
        <row r="90">
          <cell r="A90" t="str">
            <v>0073</v>
          </cell>
          <cell r="B90" t="str">
            <v>Outside Services</v>
          </cell>
          <cell r="C90" t="str">
            <v>RETAIL</v>
          </cell>
          <cell r="D90" t="str">
            <v>tpl_retail</v>
          </cell>
          <cell r="E90" t="str">
            <v>MI01_POR</v>
          </cell>
          <cell r="F90" t="str">
            <v>MI01_DRev</v>
          </cell>
          <cell r="G90" t="str">
            <v>MI01_FIX</v>
          </cell>
          <cell r="H90" t="str">
            <v>MC01_DWag</v>
          </cell>
          <cell r="I90" t="str">
            <v>MI01_FIX</v>
          </cell>
          <cell r="J90">
            <v>0</v>
          </cell>
          <cell r="K90" t="str">
            <v>RETAIL</v>
          </cell>
        </row>
        <row r="91">
          <cell r="A91" t="str">
            <v>0385</v>
          </cell>
          <cell r="B91" t="str">
            <v>Casino Slots</v>
          </cell>
          <cell r="C91" t="str">
            <v>CASINO</v>
          </cell>
          <cell r="D91" t="str">
            <v>tpl_casino</v>
          </cell>
          <cell r="E91" t="str">
            <v>MI01_FIX</v>
          </cell>
          <cell r="F91" t="str">
            <v>MI01_DRev</v>
          </cell>
          <cell r="G91" t="str">
            <v>MI01_FIX</v>
          </cell>
          <cell r="H91" t="str">
            <v>MC01_DWag</v>
          </cell>
          <cell r="I91" t="str">
            <v>MI01_FIX</v>
          </cell>
          <cell r="J91">
            <v>0</v>
          </cell>
          <cell r="K91" t="str">
            <v>CASINO</v>
          </cell>
        </row>
        <row r="92">
          <cell r="A92" t="str">
            <v>0387</v>
          </cell>
          <cell r="B92" t="str">
            <v>Casino Operations</v>
          </cell>
          <cell r="C92" t="str">
            <v>CASINO</v>
          </cell>
          <cell r="D92" t="str">
            <v>tpl_casino</v>
          </cell>
          <cell r="E92" t="str">
            <v>MI01_FIX</v>
          </cell>
          <cell r="F92" t="str">
            <v>MI01_DRev</v>
          </cell>
          <cell r="G92" t="str">
            <v>MI01_FIX</v>
          </cell>
          <cell r="H92" t="str">
            <v>MC01_DWag</v>
          </cell>
          <cell r="I92" t="str">
            <v>MI01_FIX</v>
          </cell>
          <cell r="J92">
            <v>0</v>
          </cell>
          <cell r="K92" t="str">
            <v>CASINO</v>
          </cell>
        </row>
        <row r="93">
          <cell r="A93" t="str">
            <v>0389</v>
          </cell>
          <cell r="B93" t="str">
            <v>Casino Tables</v>
          </cell>
          <cell r="C93" t="str">
            <v>CASINO</v>
          </cell>
          <cell r="D93" t="str">
            <v>tpl_casino</v>
          </cell>
          <cell r="E93" t="str">
            <v>MI01_FIX</v>
          </cell>
          <cell r="F93" t="str">
            <v>MI01_DRev</v>
          </cell>
          <cell r="G93" t="str">
            <v>MI01_FIX</v>
          </cell>
          <cell r="H93" t="str">
            <v>MC01_DWag</v>
          </cell>
          <cell r="I93" t="str">
            <v>MI01_FIX</v>
          </cell>
          <cell r="J93">
            <v>0</v>
          </cell>
          <cell r="K93" t="str">
            <v>CASINO</v>
          </cell>
        </row>
        <row r="94">
          <cell r="A94" t="str">
            <v>0140</v>
          </cell>
          <cell r="B94" t="str">
            <v>Golf - Club House</v>
          </cell>
          <cell r="C94" t="str">
            <v>GOLF</v>
          </cell>
          <cell r="D94" t="str">
            <v>tpl_golf</v>
          </cell>
          <cell r="E94" t="str">
            <v>MI01_GLF</v>
          </cell>
          <cell r="F94" t="str">
            <v>MI01_DRev</v>
          </cell>
          <cell r="G94" t="str">
            <v>MI01_TGL</v>
          </cell>
          <cell r="H94" t="str">
            <v>MC01_DWag</v>
          </cell>
          <cell r="I94" t="str">
            <v>MI01_TGL</v>
          </cell>
          <cell r="J94">
            <v>0</v>
          </cell>
          <cell r="K94" t="str">
            <v>GOLF</v>
          </cell>
        </row>
        <row r="95">
          <cell r="A95" t="str">
            <v>0141</v>
          </cell>
          <cell r="B95" t="str">
            <v>Golf - Grounds</v>
          </cell>
          <cell r="C95" t="str">
            <v>GOLF</v>
          </cell>
          <cell r="D95" t="str">
            <v>tpl_golf</v>
          </cell>
          <cell r="E95" t="str">
            <v>MI01_GLF</v>
          </cell>
          <cell r="F95" t="str">
            <v>MI01_DRev</v>
          </cell>
          <cell r="G95" t="str">
            <v>MI01_TGL</v>
          </cell>
          <cell r="H95" t="str">
            <v>MC01_DWag</v>
          </cell>
          <cell r="I95" t="str">
            <v>MI01_TGL</v>
          </cell>
          <cell r="J95">
            <v>0</v>
          </cell>
          <cell r="K95" t="str">
            <v>GOLF</v>
          </cell>
        </row>
        <row r="96">
          <cell r="A96" t="str">
            <v>0142</v>
          </cell>
          <cell r="B96" t="str">
            <v>Golf Schools</v>
          </cell>
          <cell r="C96" t="str">
            <v>GOLF</v>
          </cell>
          <cell r="D96" t="str">
            <v>tpl_golf</v>
          </cell>
          <cell r="E96" t="str">
            <v>MI01_GLF</v>
          </cell>
          <cell r="F96" t="str">
            <v>MI01_DRev</v>
          </cell>
          <cell r="G96" t="str">
            <v>MI01_TGL</v>
          </cell>
          <cell r="H96" t="str">
            <v>MC01_DWag</v>
          </cell>
          <cell r="I96" t="str">
            <v>MI01_TGL</v>
          </cell>
          <cell r="J96">
            <v>0</v>
          </cell>
          <cell r="K96" t="str">
            <v>GOLF</v>
          </cell>
        </row>
        <row r="97">
          <cell r="A97" t="str">
            <v>0143</v>
          </cell>
          <cell r="B97" t="str">
            <v>Golf - School</v>
          </cell>
          <cell r="C97" t="str">
            <v>GOLF</v>
          </cell>
          <cell r="D97" t="str">
            <v>tpl_golf</v>
          </cell>
          <cell r="E97" t="str">
            <v>MI01_GLF</v>
          </cell>
          <cell r="F97" t="str">
            <v>MI01_DRev</v>
          </cell>
          <cell r="G97" t="str">
            <v>MI01_TGL</v>
          </cell>
          <cell r="H97" t="str">
            <v>MC01_DWag</v>
          </cell>
          <cell r="I97" t="str">
            <v>MI01_TGL</v>
          </cell>
          <cell r="J97">
            <v>0</v>
          </cell>
          <cell r="K97" t="str">
            <v>GOLF</v>
          </cell>
        </row>
        <row r="98">
          <cell r="A98" t="str">
            <v>0144</v>
          </cell>
          <cell r="B98" t="str">
            <v>Pro Shop</v>
          </cell>
          <cell r="C98" t="str">
            <v>GOLF</v>
          </cell>
          <cell r="D98" t="str">
            <v>tpl_golf</v>
          </cell>
          <cell r="E98" t="str">
            <v>MI01_GLF</v>
          </cell>
          <cell r="F98" t="str">
            <v>MI01_DRev</v>
          </cell>
          <cell r="G98" t="str">
            <v>MI01_TGL</v>
          </cell>
          <cell r="H98" t="str">
            <v>MC01_DWag</v>
          </cell>
          <cell r="I98" t="str">
            <v>MI01_TGL</v>
          </cell>
          <cell r="J98">
            <v>0</v>
          </cell>
          <cell r="K98" t="str">
            <v>GOLF</v>
          </cell>
        </row>
        <row r="99">
          <cell r="A99" t="str">
            <v>0145</v>
          </cell>
          <cell r="B99" t="str">
            <v>Membership</v>
          </cell>
          <cell r="C99" t="str">
            <v>GOLF</v>
          </cell>
          <cell r="D99" t="str">
            <v>tpl_golf</v>
          </cell>
          <cell r="E99" t="str">
            <v>MI01_GLF</v>
          </cell>
          <cell r="F99" t="str">
            <v>MI01_DRev</v>
          </cell>
          <cell r="G99" t="str">
            <v>MI01_TGL</v>
          </cell>
          <cell r="H99" t="str">
            <v>MC01_DWag</v>
          </cell>
          <cell r="I99" t="str">
            <v>MI01_TGL</v>
          </cell>
          <cell r="J99">
            <v>0</v>
          </cell>
          <cell r="K99" t="str">
            <v>GOLF</v>
          </cell>
        </row>
        <row r="100">
          <cell r="A100" t="str">
            <v>0146</v>
          </cell>
          <cell r="B100" t="str">
            <v>Golf 2</v>
          </cell>
          <cell r="C100" t="str">
            <v>GOLF</v>
          </cell>
          <cell r="D100" t="str">
            <v>tpl_golf</v>
          </cell>
          <cell r="E100" t="str">
            <v>MI01_GLF</v>
          </cell>
          <cell r="F100" t="str">
            <v>MI01_DRev</v>
          </cell>
          <cell r="G100" t="str">
            <v>MI01_TGL</v>
          </cell>
          <cell r="H100" t="str">
            <v>MC01_DWag</v>
          </cell>
          <cell r="I100" t="str">
            <v>MI01_TGL</v>
          </cell>
          <cell r="J100">
            <v>0</v>
          </cell>
          <cell r="K100" t="str">
            <v>GOLF</v>
          </cell>
        </row>
        <row r="101">
          <cell r="A101" t="str">
            <v>0170</v>
          </cell>
          <cell r="B101" t="str">
            <v>Spa Leisure</v>
          </cell>
          <cell r="C101" t="str">
            <v>SPA</v>
          </cell>
          <cell r="D101" t="str">
            <v>tpl_spa</v>
          </cell>
          <cell r="E101" t="str">
            <v>MI01_POR</v>
          </cell>
          <cell r="F101" t="str">
            <v>MI01_DRev</v>
          </cell>
          <cell r="G101" t="str">
            <v>MI01_DVL</v>
          </cell>
          <cell r="H101" t="str">
            <v>MC01_DWag</v>
          </cell>
          <cell r="I101" t="str">
            <v>MI01_DVL</v>
          </cell>
          <cell r="J101">
            <v>0</v>
          </cell>
          <cell r="K101" t="str">
            <v>SPA</v>
          </cell>
        </row>
        <row r="102">
          <cell r="A102" t="str">
            <v>0171</v>
          </cell>
          <cell r="B102" t="str">
            <v>Beauty Salon</v>
          </cell>
          <cell r="C102" t="str">
            <v>SPA</v>
          </cell>
          <cell r="D102" t="str">
            <v>tpl_spa</v>
          </cell>
          <cell r="E102" t="str">
            <v>MI01_POR</v>
          </cell>
          <cell r="F102" t="str">
            <v>MI01_DRev</v>
          </cell>
          <cell r="G102" t="str">
            <v>MI01_DVL</v>
          </cell>
          <cell r="H102" t="str">
            <v>MC01_DWag</v>
          </cell>
          <cell r="I102" t="str">
            <v>MI01_DVL</v>
          </cell>
          <cell r="J102">
            <v>0</v>
          </cell>
          <cell r="K102" t="str">
            <v>SPA</v>
          </cell>
        </row>
        <row r="103">
          <cell r="A103" t="str">
            <v>0172</v>
          </cell>
          <cell r="B103" t="str">
            <v>Spa Shop</v>
          </cell>
          <cell r="C103" t="str">
            <v>SPA</v>
          </cell>
          <cell r="D103" t="str">
            <v>tpl_spa</v>
          </cell>
          <cell r="E103" t="str">
            <v>MI01_POR</v>
          </cell>
          <cell r="F103" t="str">
            <v>MI01_DRev</v>
          </cell>
          <cell r="G103" t="str">
            <v>MI01_DVL</v>
          </cell>
          <cell r="H103" t="str">
            <v>MC01_DWag</v>
          </cell>
          <cell r="I103" t="str">
            <v>MI01_DVL</v>
          </cell>
          <cell r="J103">
            <v>0</v>
          </cell>
          <cell r="K103" t="str">
            <v>SPA</v>
          </cell>
        </row>
        <row r="104">
          <cell r="A104" t="str">
            <v>0173</v>
          </cell>
          <cell r="B104" t="str">
            <v>Spa Sales Shop</v>
          </cell>
          <cell r="C104" t="str">
            <v>SPA</v>
          </cell>
          <cell r="D104" t="str">
            <v>tpl_spa</v>
          </cell>
          <cell r="E104" t="str">
            <v>MI01_POR</v>
          </cell>
          <cell r="F104" t="str">
            <v>MI01_DRev</v>
          </cell>
          <cell r="G104" t="str">
            <v>MI01_DVL</v>
          </cell>
          <cell r="H104" t="str">
            <v>MC01_DWag</v>
          </cell>
          <cell r="I104" t="str">
            <v>MI01_DVL</v>
          </cell>
          <cell r="J104">
            <v>0</v>
          </cell>
          <cell r="K104" t="str">
            <v>SPA</v>
          </cell>
        </row>
        <row r="105">
          <cell r="A105" t="str">
            <v>0100</v>
          </cell>
          <cell r="B105" t="str">
            <v>Recreation</v>
          </cell>
          <cell r="C105" t="str">
            <v>RECREATION</v>
          </cell>
          <cell r="D105" t="str">
            <v>tpl_rec</v>
          </cell>
          <cell r="E105" t="str">
            <v>MI01_POR</v>
          </cell>
          <cell r="F105" t="str">
            <v>MI01_DRev</v>
          </cell>
          <cell r="G105" t="str">
            <v>MI01_POR</v>
          </cell>
          <cell r="H105" t="str">
            <v>MC01_DWag</v>
          </cell>
          <cell r="I105" t="str">
            <v>MI01_POR</v>
          </cell>
          <cell r="J105">
            <v>1</v>
          </cell>
          <cell r="K105" t="str">
            <v>RECREATION</v>
          </cell>
        </row>
        <row r="106">
          <cell r="A106" t="str">
            <v>0101</v>
          </cell>
          <cell r="B106" t="str">
            <v>Skating</v>
          </cell>
          <cell r="C106" t="str">
            <v>RECREATION</v>
          </cell>
          <cell r="D106" t="str">
            <v>tpl_rec</v>
          </cell>
          <cell r="E106" t="str">
            <v>MI01_POR</v>
          </cell>
          <cell r="F106" t="str">
            <v>MI01_DRev</v>
          </cell>
          <cell r="G106" t="str">
            <v>MI01_POR</v>
          </cell>
          <cell r="H106" t="str">
            <v>MC01_DWag</v>
          </cell>
          <cell r="I106" t="str">
            <v>MI01_POR</v>
          </cell>
          <cell r="J106">
            <v>0</v>
          </cell>
          <cell r="K106" t="str">
            <v>RECREATION</v>
          </cell>
        </row>
        <row r="107">
          <cell r="A107" t="str">
            <v>0102</v>
          </cell>
          <cell r="B107" t="str">
            <v>Private Club</v>
          </cell>
          <cell r="C107" t="str">
            <v>RECREATION</v>
          </cell>
          <cell r="D107" t="str">
            <v>tpl_rec</v>
          </cell>
          <cell r="E107" t="str">
            <v>MI01_POR</v>
          </cell>
          <cell r="F107" t="str">
            <v>MI01_DRev</v>
          </cell>
          <cell r="G107" t="str">
            <v>MI01_POR</v>
          </cell>
          <cell r="H107" t="str">
            <v>MC01_DWag</v>
          </cell>
          <cell r="I107" t="str">
            <v>MI01_POR</v>
          </cell>
          <cell r="J107">
            <v>0</v>
          </cell>
          <cell r="K107" t="str">
            <v>RECREATION</v>
          </cell>
        </row>
        <row r="108">
          <cell r="A108" t="str">
            <v>0103</v>
          </cell>
          <cell r="B108" t="str">
            <v>Special Events</v>
          </cell>
          <cell r="C108" t="str">
            <v>RECREATION</v>
          </cell>
          <cell r="D108" t="str">
            <v>tpl_rec</v>
          </cell>
          <cell r="E108" t="str">
            <v>MI01_POR</v>
          </cell>
          <cell r="F108" t="str">
            <v>MI01_DRev</v>
          </cell>
          <cell r="G108" t="str">
            <v>MI01_POR</v>
          </cell>
          <cell r="H108" t="str">
            <v>MC01_DWag</v>
          </cell>
          <cell r="I108" t="str">
            <v>MI01_POR</v>
          </cell>
          <cell r="J108">
            <v>0</v>
          </cell>
          <cell r="K108" t="str">
            <v>RECREATION</v>
          </cell>
        </row>
        <row r="109">
          <cell r="A109" t="str">
            <v>0104</v>
          </cell>
          <cell r="B109" t="str">
            <v>Special Events Misc 1</v>
          </cell>
          <cell r="C109" t="str">
            <v>RECREATION</v>
          </cell>
          <cell r="D109" t="str">
            <v>tpl_rec</v>
          </cell>
          <cell r="E109" t="str">
            <v>MI01_POR</v>
          </cell>
          <cell r="F109" t="str">
            <v>MI01_DRev</v>
          </cell>
          <cell r="G109" t="str">
            <v>MI01_POR</v>
          </cell>
          <cell r="H109" t="str">
            <v>MC01_DWag</v>
          </cell>
          <cell r="I109" t="str">
            <v>MI01_POR</v>
          </cell>
          <cell r="J109">
            <v>0</v>
          </cell>
          <cell r="K109" t="str">
            <v>RECREATION</v>
          </cell>
        </row>
        <row r="110">
          <cell r="A110" t="str">
            <v>0105</v>
          </cell>
          <cell r="B110" t="str">
            <v>Special Events Misc 2</v>
          </cell>
          <cell r="C110" t="str">
            <v>RECREATION</v>
          </cell>
          <cell r="D110" t="str">
            <v>tpl_rec</v>
          </cell>
          <cell r="E110" t="str">
            <v>MI01_POR</v>
          </cell>
          <cell r="F110" t="str">
            <v>MI01_DRev</v>
          </cell>
          <cell r="G110" t="str">
            <v>MI01_POR</v>
          </cell>
          <cell r="H110" t="str">
            <v>MC01_DWag</v>
          </cell>
          <cell r="I110" t="str">
            <v>MI01_POR</v>
          </cell>
          <cell r="J110">
            <v>0</v>
          </cell>
          <cell r="K110" t="str">
            <v>RECREATION</v>
          </cell>
        </row>
        <row r="111">
          <cell r="A111" t="str">
            <v>0106</v>
          </cell>
          <cell r="B111" t="str">
            <v>Special Events Misc 3</v>
          </cell>
          <cell r="C111" t="str">
            <v>RECREATION</v>
          </cell>
          <cell r="D111" t="str">
            <v>tpl_rec</v>
          </cell>
          <cell r="E111" t="str">
            <v>MI01_POR</v>
          </cell>
          <cell r="F111" t="str">
            <v>MI01_DRev</v>
          </cell>
          <cell r="G111" t="str">
            <v>MI01_POR</v>
          </cell>
          <cell r="H111" t="str">
            <v>MC01_DWag</v>
          </cell>
          <cell r="I111" t="str">
            <v>MI01_POR</v>
          </cell>
          <cell r="J111">
            <v>0</v>
          </cell>
          <cell r="K111" t="str">
            <v>RECREATION</v>
          </cell>
        </row>
        <row r="112">
          <cell r="A112" t="str">
            <v>0107</v>
          </cell>
          <cell r="B112" t="str">
            <v>Special Events Misc 4</v>
          </cell>
          <cell r="C112" t="str">
            <v>RECREATION</v>
          </cell>
          <cell r="D112" t="str">
            <v>tpl_rec</v>
          </cell>
          <cell r="E112" t="str">
            <v>MI01_POR</v>
          </cell>
          <cell r="F112" t="str">
            <v>MI01_DRev</v>
          </cell>
          <cell r="G112" t="str">
            <v>MI01_POR</v>
          </cell>
          <cell r="H112" t="str">
            <v>MC01_DWag</v>
          </cell>
          <cell r="I112" t="str">
            <v>MI01_POR</v>
          </cell>
          <cell r="J112">
            <v>0</v>
          </cell>
          <cell r="K112" t="str">
            <v>RECREATION</v>
          </cell>
        </row>
        <row r="113">
          <cell r="A113" t="str">
            <v>0108</v>
          </cell>
          <cell r="B113" t="str">
            <v>Bikes and Boats</v>
          </cell>
          <cell r="C113" t="str">
            <v>RECREATION</v>
          </cell>
          <cell r="D113" t="str">
            <v>tpl_rec</v>
          </cell>
          <cell r="E113" t="str">
            <v>MI01_POR</v>
          </cell>
          <cell r="F113" t="str">
            <v>MI01_DRev</v>
          </cell>
          <cell r="G113" t="str">
            <v>MI01_POR</v>
          </cell>
          <cell r="H113" t="str">
            <v>MC01_DWag</v>
          </cell>
          <cell r="I113" t="str">
            <v>MI01_POR</v>
          </cell>
          <cell r="J113">
            <v>0</v>
          </cell>
          <cell r="K113" t="str">
            <v>RECREATION</v>
          </cell>
        </row>
        <row r="114">
          <cell r="A114" t="str">
            <v>0109</v>
          </cell>
          <cell r="B114" t="str">
            <v>Special Events Misc 5</v>
          </cell>
          <cell r="C114" t="str">
            <v>RECREATION</v>
          </cell>
          <cell r="D114" t="str">
            <v>tpl_rec</v>
          </cell>
          <cell r="E114" t="str">
            <v>MI01_POR</v>
          </cell>
          <cell r="F114" t="str">
            <v>MI01_DRev</v>
          </cell>
          <cell r="G114" t="str">
            <v>MI01_POR</v>
          </cell>
          <cell r="H114" t="str">
            <v>MC01_DWag</v>
          </cell>
          <cell r="I114" t="str">
            <v>MI01_POR</v>
          </cell>
          <cell r="J114">
            <v>0</v>
          </cell>
          <cell r="K114" t="str">
            <v>RECREATION</v>
          </cell>
        </row>
        <row r="115">
          <cell r="A115" t="str">
            <v>0180</v>
          </cell>
          <cell r="B115" t="str">
            <v>Tennis</v>
          </cell>
          <cell r="C115" t="str">
            <v>RECREATION</v>
          </cell>
          <cell r="D115" t="str">
            <v>tpl_rec</v>
          </cell>
          <cell r="E115" t="str">
            <v>MI01_POR</v>
          </cell>
          <cell r="F115" t="str">
            <v>MI01_DRev</v>
          </cell>
          <cell r="G115" t="str">
            <v>MI01_POR</v>
          </cell>
          <cell r="H115" t="str">
            <v>MC01_DWag</v>
          </cell>
          <cell r="I115" t="str">
            <v>MI01_POR</v>
          </cell>
          <cell r="J115">
            <v>0</v>
          </cell>
          <cell r="K115" t="str">
            <v>RECREATION</v>
          </cell>
        </row>
        <row r="116">
          <cell r="A116" t="str">
            <v>0080</v>
          </cell>
          <cell r="B116" t="str">
            <v>Garage</v>
          </cell>
          <cell r="C116" t="str">
            <v>GARAGE</v>
          </cell>
          <cell r="D116" t="str">
            <v>tpl_garage</v>
          </cell>
          <cell r="E116" t="str">
            <v>MI01_POR</v>
          </cell>
          <cell r="F116" t="str">
            <v>MI01_DRev</v>
          </cell>
          <cell r="G116" t="str">
            <v>MI01_POR</v>
          </cell>
          <cell r="H116" t="str">
            <v>MC01_DWag</v>
          </cell>
          <cell r="I116" t="str">
            <v>MI01_POR</v>
          </cell>
          <cell r="J116">
            <v>1</v>
          </cell>
          <cell r="K116" t="str">
            <v>GARAGE</v>
          </cell>
        </row>
        <row r="117">
          <cell r="A117" t="str">
            <v>0081</v>
          </cell>
          <cell r="B117" t="str">
            <v>Transportation</v>
          </cell>
          <cell r="C117" t="str">
            <v>GARAGE</v>
          </cell>
          <cell r="D117" t="str">
            <v>tpl_garage</v>
          </cell>
          <cell r="E117" t="str">
            <v>MI01_POR</v>
          </cell>
          <cell r="F117" t="str">
            <v>MI01_DRev</v>
          </cell>
          <cell r="G117" t="str">
            <v>MI01_POR</v>
          </cell>
          <cell r="H117" t="str">
            <v>MC01_DWag</v>
          </cell>
          <cell r="I117" t="str">
            <v>MI01_POR</v>
          </cell>
          <cell r="J117">
            <v>0</v>
          </cell>
          <cell r="K117" t="str">
            <v>GARAGE</v>
          </cell>
        </row>
        <row r="118">
          <cell r="A118" t="str">
            <v>0085</v>
          </cell>
          <cell r="B118" t="str">
            <v>Garage - 337V9 dual ownership</v>
          </cell>
          <cell r="C118" t="str">
            <v>GARAGE</v>
          </cell>
          <cell r="D118" t="str">
            <v>tpl_garage</v>
          </cell>
          <cell r="E118" t="str">
            <v>MI01_POR</v>
          </cell>
          <cell r="F118" t="str">
            <v>MI01_DRev</v>
          </cell>
          <cell r="G118" t="str">
            <v>MI01_POR</v>
          </cell>
          <cell r="H118" t="str">
            <v>MC01_DWag</v>
          </cell>
          <cell r="I118" t="str">
            <v>MI01_POR</v>
          </cell>
          <cell r="J118">
            <v>0</v>
          </cell>
          <cell r="K118" t="str">
            <v>GARAGE</v>
          </cell>
        </row>
        <row r="119">
          <cell r="A119" t="str">
            <v>0070</v>
          </cell>
          <cell r="B119" t="str">
            <v>Miscellaneous Income</v>
          </cell>
          <cell r="C119" t="str">
            <v>MISC INC</v>
          </cell>
          <cell r="D119" t="str">
            <v>tpl_misc_inc</v>
          </cell>
          <cell r="E119" t="str">
            <v>MI01_POR</v>
          </cell>
          <cell r="F119" t="str">
            <v>MI01_DRev</v>
          </cell>
          <cell r="G119" t="str">
            <v>MI01_POR</v>
          </cell>
          <cell r="H119" t="str">
            <v>MC01_DWag</v>
          </cell>
          <cell r="I119" t="str">
            <v>MI01_POR</v>
          </cell>
          <cell r="J119">
            <v>1</v>
          </cell>
          <cell r="K119" t="str">
            <v>MISC INC</v>
          </cell>
        </row>
        <row r="120">
          <cell r="A120" t="str">
            <v>0079</v>
          </cell>
          <cell r="B120" t="str">
            <v>Misc - 3rd Party</v>
          </cell>
          <cell r="C120" t="str">
            <v>MISC INC</v>
          </cell>
          <cell r="D120" t="str">
            <v>tpl_misc_inc</v>
          </cell>
          <cell r="E120" t="str">
            <v>MI01_POR</v>
          </cell>
          <cell r="F120" t="str">
            <v>MI01_DRev</v>
          </cell>
          <cell r="G120" t="str">
            <v>MI01_POR</v>
          </cell>
          <cell r="H120" t="str">
            <v>MC01_DWag</v>
          </cell>
          <cell r="I120" t="str">
            <v>MI01_POR</v>
          </cell>
          <cell r="J120">
            <v>0</v>
          </cell>
          <cell r="K120" t="str">
            <v>MISC INC</v>
          </cell>
        </row>
        <row r="121">
          <cell r="A121" t="str">
            <v>0030</v>
          </cell>
          <cell r="B121" t="str">
            <v>Guest Communications</v>
          </cell>
          <cell r="C121" t="str">
            <v>OTHER REV</v>
          </cell>
          <cell r="D121" t="str">
            <v>tpl_other_rev</v>
          </cell>
          <cell r="E121" t="str">
            <v>MI01_POR</v>
          </cell>
          <cell r="F121" t="str">
            <v>MI01_POR</v>
          </cell>
          <cell r="G121" t="str">
            <v>MI01_POR</v>
          </cell>
          <cell r="H121" t="str">
            <v>MC01_DWag</v>
          </cell>
          <cell r="I121" t="str">
            <v>MI01_POR</v>
          </cell>
          <cell r="J121">
            <v>1</v>
          </cell>
          <cell r="K121" t="str">
            <v>OTHER REV</v>
          </cell>
        </row>
        <row r="122">
          <cell r="A122" t="str">
            <v>0031</v>
          </cell>
          <cell r="B122" t="str">
            <v>At Your Service</v>
          </cell>
          <cell r="C122" t="str">
            <v>OTHER REV</v>
          </cell>
          <cell r="D122" t="str">
            <v>tpl_other_rev</v>
          </cell>
          <cell r="E122" t="str">
            <v>MI01_POR</v>
          </cell>
          <cell r="F122" t="str">
            <v>MI01_POR</v>
          </cell>
          <cell r="G122" t="str">
            <v>MI01_POR</v>
          </cell>
          <cell r="H122" t="str">
            <v>MC01_DWag</v>
          </cell>
          <cell r="I122" t="str">
            <v>MI01_POR</v>
          </cell>
          <cell r="J122">
            <v>0</v>
          </cell>
          <cell r="K122" t="str">
            <v>OTHER REV</v>
          </cell>
        </row>
        <row r="123">
          <cell r="A123" t="str">
            <v>0060</v>
          </cell>
          <cell r="B123" t="str">
            <v>Destination Management</v>
          </cell>
          <cell r="C123" t="str">
            <v>OTHER REV</v>
          </cell>
          <cell r="D123" t="str">
            <v>tpl_other_rev</v>
          </cell>
          <cell r="E123" t="str">
            <v>MI01_POR</v>
          </cell>
          <cell r="F123" t="str">
            <v>MI01_DRev</v>
          </cell>
          <cell r="G123" t="str">
            <v>MI01_POR</v>
          </cell>
          <cell r="H123" t="str">
            <v>MC01_DWag</v>
          </cell>
          <cell r="I123" t="str">
            <v>MI01_POR</v>
          </cell>
          <cell r="J123">
            <v>0</v>
          </cell>
          <cell r="K123" t="str">
            <v>OTHER REV</v>
          </cell>
        </row>
        <row r="124">
          <cell r="A124" t="str">
            <v>0074</v>
          </cell>
          <cell r="B124" t="str">
            <v>Outside Services II</v>
          </cell>
          <cell r="C124" t="str">
            <v>OTHER REV</v>
          </cell>
          <cell r="D124" t="str">
            <v>tpl_other_rev</v>
          </cell>
          <cell r="E124" t="str">
            <v>MI01_POR</v>
          </cell>
          <cell r="F124" t="str">
            <v>MI01_DRev</v>
          </cell>
          <cell r="G124" t="str">
            <v>MI01_POR</v>
          </cell>
          <cell r="H124" t="str">
            <v>MC01_DWag</v>
          </cell>
          <cell r="I124" t="str">
            <v>MI01_POR</v>
          </cell>
          <cell r="J124">
            <v>0</v>
          </cell>
          <cell r="K124" t="str">
            <v>OTHER REV</v>
          </cell>
        </row>
        <row r="125">
          <cell r="A125" t="str">
            <v>0091</v>
          </cell>
          <cell r="B125" t="str">
            <v>Cafeteria Outside</v>
          </cell>
          <cell r="C125" t="str">
            <v>OTHER REV</v>
          </cell>
          <cell r="D125" t="str">
            <v>tpl_other_rev</v>
          </cell>
          <cell r="E125" t="str">
            <v>MI01_POR</v>
          </cell>
          <cell r="F125" t="str">
            <v>MI01_DRev</v>
          </cell>
          <cell r="G125" t="str">
            <v>MI01_POR</v>
          </cell>
          <cell r="H125" t="str">
            <v>MC01_DWag</v>
          </cell>
          <cell r="I125" t="str">
            <v>MI01_POR</v>
          </cell>
          <cell r="J125">
            <v>0</v>
          </cell>
          <cell r="K125" t="str">
            <v>OTHER REV</v>
          </cell>
        </row>
        <row r="126">
          <cell r="A126" t="str">
            <v>0110</v>
          </cell>
          <cell r="B126" t="str">
            <v>Marina</v>
          </cell>
          <cell r="C126" t="str">
            <v>OTHER REV</v>
          </cell>
          <cell r="D126" t="str">
            <v>tpl_other_rev</v>
          </cell>
          <cell r="E126" t="str">
            <v>MI01_POR</v>
          </cell>
          <cell r="F126" t="str">
            <v>MI01_DRev</v>
          </cell>
          <cell r="G126" t="str">
            <v>MI01_POR</v>
          </cell>
          <cell r="H126" t="str">
            <v>MC01_DWag</v>
          </cell>
          <cell r="I126" t="str">
            <v>MI01_POR</v>
          </cell>
          <cell r="J126">
            <v>0</v>
          </cell>
          <cell r="K126" t="str">
            <v>OTHER REV</v>
          </cell>
        </row>
        <row r="127">
          <cell r="A127" t="str">
            <v>0130</v>
          </cell>
          <cell r="B127" t="str">
            <v>Theatre</v>
          </cell>
          <cell r="C127" t="str">
            <v>OTHER REV</v>
          </cell>
          <cell r="D127" t="str">
            <v>tpl_other_rev</v>
          </cell>
          <cell r="E127" t="str">
            <v>MI01_POR</v>
          </cell>
          <cell r="F127" t="str">
            <v>MI01_DRev</v>
          </cell>
          <cell r="G127" t="str">
            <v>MI01_POR</v>
          </cell>
          <cell r="H127" t="str">
            <v>MC01_DWag</v>
          </cell>
          <cell r="I127" t="str">
            <v>MI01_POR</v>
          </cell>
          <cell r="J127">
            <v>0</v>
          </cell>
          <cell r="K127" t="str">
            <v>OTHER REV</v>
          </cell>
        </row>
        <row r="128">
          <cell r="A128" t="str">
            <v>0131</v>
          </cell>
          <cell r="B128" t="str">
            <v>Theatre Associates</v>
          </cell>
          <cell r="C128" t="str">
            <v>OTHER REV</v>
          </cell>
          <cell r="D128" t="str">
            <v>tpl_other_rev</v>
          </cell>
          <cell r="E128" t="str">
            <v>MI01_POR</v>
          </cell>
          <cell r="F128" t="str">
            <v>MI01_DRev</v>
          </cell>
          <cell r="G128" t="str">
            <v>MI01_POR</v>
          </cell>
          <cell r="H128" t="str">
            <v>MC01_DWag</v>
          </cell>
          <cell r="I128" t="str">
            <v>MI01_POR</v>
          </cell>
          <cell r="J128">
            <v>0</v>
          </cell>
          <cell r="K128" t="str">
            <v>OTHER REV</v>
          </cell>
        </row>
        <row r="129">
          <cell r="A129" t="str">
            <v>0160</v>
          </cell>
          <cell r="B129" t="str">
            <v>Business Center</v>
          </cell>
          <cell r="C129" t="str">
            <v>OTHER REV</v>
          </cell>
          <cell r="D129" t="str">
            <v>tpl_other_rev</v>
          </cell>
          <cell r="E129" t="str">
            <v>MI01_POR</v>
          </cell>
          <cell r="F129" t="str">
            <v>MI01_DRev</v>
          </cell>
          <cell r="G129" t="str">
            <v>MI01_POR</v>
          </cell>
          <cell r="H129" t="str">
            <v>MC01_DWag</v>
          </cell>
          <cell r="I129" t="str">
            <v>MI01_POR</v>
          </cell>
          <cell r="J129">
            <v>0</v>
          </cell>
          <cell r="K129" t="str">
            <v>OTHER REV</v>
          </cell>
        </row>
        <row r="130">
          <cell r="A130" t="str">
            <v>0330</v>
          </cell>
          <cell r="B130" t="str">
            <v>Drycleaning - In House</v>
          </cell>
          <cell r="C130" t="str">
            <v>OTHER REV</v>
          </cell>
          <cell r="D130" t="str">
            <v>tpl_other_rev</v>
          </cell>
          <cell r="E130" t="str">
            <v>MI01_POR</v>
          </cell>
          <cell r="F130" t="str">
            <v>MI01_DRev</v>
          </cell>
          <cell r="G130" t="str">
            <v>MI01_POR</v>
          </cell>
          <cell r="H130" t="str">
            <v>MC01_DWag</v>
          </cell>
          <cell r="I130" t="str">
            <v>MI01_POR</v>
          </cell>
          <cell r="J130">
            <v>0</v>
          </cell>
          <cell r="K130" t="str">
            <v>OTHER REV</v>
          </cell>
        </row>
        <row r="131">
          <cell r="A131" t="str">
            <v>0376</v>
          </cell>
          <cell r="B131" t="str">
            <v>International Billing</v>
          </cell>
          <cell r="C131" t="str">
            <v>OTHER REV</v>
          </cell>
          <cell r="D131" t="str">
            <v>tpl_other_rev</v>
          </cell>
          <cell r="E131" t="str">
            <v>MI01_POR</v>
          </cell>
          <cell r="F131" t="str">
            <v>MI01_DRev</v>
          </cell>
          <cell r="G131" t="str">
            <v>MI01_POR</v>
          </cell>
          <cell r="H131" t="str">
            <v>MC01_DWag</v>
          </cell>
          <cell r="I131" t="str">
            <v>MI01_POR</v>
          </cell>
          <cell r="J131">
            <v>0</v>
          </cell>
          <cell r="K131" t="str">
            <v>OTHER REV</v>
          </cell>
        </row>
        <row r="132">
          <cell r="A132" t="str">
            <v>0380</v>
          </cell>
          <cell r="B132" t="str">
            <v>Timeshare</v>
          </cell>
          <cell r="C132" t="str">
            <v>OTHER REV</v>
          </cell>
          <cell r="D132" t="str">
            <v>tpl_other_rev</v>
          </cell>
          <cell r="E132" t="str">
            <v>MI01_POR</v>
          </cell>
          <cell r="F132" t="str">
            <v>MI01_DRev</v>
          </cell>
          <cell r="G132" t="str">
            <v>MI01_POR</v>
          </cell>
          <cell r="H132" t="str">
            <v>MC01_DWag</v>
          </cell>
          <cell r="I132" t="str">
            <v>MI01_POR</v>
          </cell>
          <cell r="J132">
            <v>0</v>
          </cell>
          <cell r="K132" t="str">
            <v>OTHER REV</v>
          </cell>
        </row>
        <row r="133">
          <cell r="A133" t="str">
            <v>0381</v>
          </cell>
          <cell r="B133" t="str">
            <v>Rental Vacation Homes</v>
          </cell>
          <cell r="C133" t="str">
            <v>OTHER REV</v>
          </cell>
          <cell r="D133" t="str">
            <v>tpl_other_rev</v>
          </cell>
          <cell r="E133" t="str">
            <v>MI01_POR</v>
          </cell>
          <cell r="F133" t="str">
            <v>MI01_DRev</v>
          </cell>
          <cell r="G133" t="str">
            <v>MI01_POR</v>
          </cell>
          <cell r="H133" t="str">
            <v>MC01_DWag</v>
          </cell>
          <cell r="I133" t="str">
            <v>MI01_POR</v>
          </cell>
          <cell r="J133">
            <v>0</v>
          </cell>
          <cell r="K133" t="str">
            <v>OTHER REV</v>
          </cell>
        </row>
        <row r="134">
          <cell r="A134" t="str">
            <v>0382</v>
          </cell>
          <cell r="B134" t="str">
            <v>Private Furnished Condos</v>
          </cell>
          <cell r="C134" t="str">
            <v>OTHER REV</v>
          </cell>
          <cell r="D134" t="str">
            <v>tpl_other_rev</v>
          </cell>
          <cell r="E134" t="str">
            <v>MI01_POR</v>
          </cell>
          <cell r="F134" t="str">
            <v>MI01_DRev</v>
          </cell>
          <cell r="G134" t="str">
            <v>MI01_POR</v>
          </cell>
          <cell r="H134" t="str">
            <v>MC01_DWag</v>
          </cell>
          <cell r="I134" t="str">
            <v>MI01_POR</v>
          </cell>
          <cell r="J134">
            <v>0</v>
          </cell>
          <cell r="K134" t="str">
            <v>OTHER REV</v>
          </cell>
        </row>
        <row r="135">
          <cell r="A135" t="str">
            <v>0500</v>
          </cell>
          <cell r="B135" t="str">
            <v>Pre-Opening-Rooms</v>
          </cell>
          <cell r="C135" t="str">
            <v>OTHER REV</v>
          </cell>
          <cell r="D135" t="str">
            <v>tpl_other_rev</v>
          </cell>
          <cell r="E135" t="str">
            <v>MI01_POR</v>
          </cell>
          <cell r="F135" t="str">
            <v>MI01_DRev</v>
          </cell>
          <cell r="G135" t="str">
            <v>MI01_POR</v>
          </cell>
          <cell r="H135" t="str">
            <v>MC01_DWag</v>
          </cell>
          <cell r="I135" t="str">
            <v>MI01_POR</v>
          </cell>
          <cell r="J135">
            <v>0</v>
          </cell>
          <cell r="K135" t="str">
            <v>OTHER REV</v>
          </cell>
        </row>
        <row r="136">
          <cell r="A136" t="str">
            <v>0501</v>
          </cell>
          <cell r="B136" t="str">
            <v>Pre-Opening-Task Force</v>
          </cell>
          <cell r="C136" t="str">
            <v>OTHER REV</v>
          </cell>
          <cell r="D136" t="str">
            <v>tpl_other_rev</v>
          </cell>
          <cell r="E136" t="str">
            <v>MI01_POR</v>
          </cell>
          <cell r="F136" t="str">
            <v>MI01_DRev</v>
          </cell>
          <cell r="G136" t="str">
            <v>MI01_POR</v>
          </cell>
          <cell r="H136" t="str">
            <v>MC01_DWag</v>
          </cell>
          <cell r="I136" t="str">
            <v>MI01_POR</v>
          </cell>
          <cell r="J136">
            <v>0</v>
          </cell>
          <cell r="K136" t="str">
            <v>OTHER REV</v>
          </cell>
        </row>
        <row r="137">
          <cell r="A137" t="str">
            <v>0502</v>
          </cell>
          <cell r="B137" t="str">
            <v>Pre-Opening-Telephone</v>
          </cell>
          <cell r="C137" t="str">
            <v>OTHER REV</v>
          </cell>
          <cell r="D137" t="str">
            <v>tpl_other_rev</v>
          </cell>
          <cell r="E137" t="str">
            <v>MI01_POR</v>
          </cell>
          <cell r="F137" t="str">
            <v>MI01_DRev</v>
          </cell>
          <cell r="G137" t="str">
            <v>MI01_POR</v>
          </cell>
          <cell r="H137" t="str">
            <v>MC01_DWag</v>
          </cell>
          <cell r="I137" t="str">
            <v>MI01_POR</v>
          </cell>
          <cell r="J137">
            <v>0</v>
          </cell>
          <cell r="K137" t="str">
            <v>OTHER REV</v>
          </cell>
        </row>
        <row r="138">
          <cell r="A138" t="str">
            <v>0503</v>
          </cell>
          <cell r="B138" t="str">
            <v>Pre-Opening-Gift Shop</v>
          </cell>
          <cell r="C138" t="str">
            <v>OTHER REV</v>
          </cell>
          <cell r="D138" t="str">
            <v>tpl_other_rev</v>
          </cell>
          <cell r="E138" t="str">
            <v>MI01_POR</v>
          </cell>
          <cell r="F138" t="str">
            <v>MI01_DRev</v>
          </cell>
          <cell r="G138" t="str">
            <v>MI01_POR</v>
          </cell>
          <cell r="H138" t="str">
            <v>MC01_DWag</v>
          </cell>
          <cell r="I138" t="str">
            <v>MI01_POR</v>
          </cell>
          <cell r="J138">
            <v>0</v>
          </cell>
          <cell r="K138" t="str">
            <v>OTHER REV</v>
          </cell>
        </row>
        <row r="139">
          <cell r="A139" t="str">
            <v>0504</v>
          </cell>
          <cell r="B139" t="str">
            <v>Pre-Opening-Recreation</v>
          </cell>
          <cell r="C139" t="str">
            <v>OTHER REV</v>
          </cell>
          <cell r="D139" t="str">
            <v>tpl_other_rev</v>
          </cell>
          <cell r="E139" t="str">
            <v>MI01_POR</v>
          </cell>
          <cell r="F139" t="str">
            <v>MI01_DRev</v>
          </cell>
          <cell r="G139" t="str">
            <v>MI01_POR</v>
          </cell>
          <cell r="H139" t="str">
            <v>MC01_DWag</v>
          </cell>
          <cell r="I139" t="str">
            <v>MI01_POR</v>
          </cell>
          <cell r="J139">
            <v>0</v>
          </cell>
          <cell r="K139" t="str">
            <v>OTHER REV</v>
          </cell>
        </row>
        <row r="140">
          <cell r="A140" t="str">
            <v>0505</v>
          </cell>
          <cell r="B140" t="str">
            <v>Pre-Opening-Admin</v>
          </cell>
          <cell r="C140" t="str">
            <v>OTHER REV</v>
          </cell>
          <cell r="D140" t="str">
            <v>tpl_other_rev</v>
          </cell>
          <cell r="E140" t="str">
            <v>MI01_POR</v>
          </cell>
          <cell r="F140" t="str">
            <v>MI01_DRev</v>
          </cell>
          <cell r="G140" t="str">
            <v>MI01_POR</v>
          </cell>
          <cell r="H140" t="str">
            <v>MC01_DWag</v>
          </cell>
          <cell r="I140" t="str">
            <v>MI01_POR</v>
          </cell>
          <cell r="J140">
            <v>0</v>
          </cell>
          <cell r="K140" t="str">
            <v>OTHER REV</v>
          </cell>
        </row>
        <row r="141">
          <cell r="A141" t="str">
            <v>0506</v>
          </cell>
          <cell r="B141" t="str">
            <v>Pre-Opening-R and M Heat Light</v>
          </cell>
          <cell r="C141" t="str">
            <v>OTHER REV</v>
          </cell>
          <cell r="D141" t="str">
            <v>tpl_other_rev</v>
          </cell>
          <cell r="E141" t="str">
            <v>MI01_POR</v>
          </cell>
          <cell r="F141" t="str">
            <v>MI01_DRev</v>
          </cell>
          <cell r="G141" t="str">
            <v>MI01_POR</v>
          </cell>
          <cell r="H141" t="str">
            <v>MC01_DWag</v>
          </cell>
          <cell r="I141" t="str">
            <v>MI01_POR</v>
          </cell>
          <cell r="J141">
            <v>0</v>
          </cell>
          <cell r="K141" t="str">
            <v>OTHER REV</v>
          </cell>
        </row>
        <row r="142">
          <cell r="A142" t="str">
            <v>0507</v>
          </cell>
          <cell r="B142" t="str">
            <v>Pre-Opening-Sales and Mktng</v>
          </cell>
          <cell r="C142" t="str">
            <v>OTHER REV</v>
          </cell>
          <cell r="D142" t="str">
            <v>tpl_other_rev</v>
          </cell>
          <cell r="E142" t="str">
            <v>MI01_POR</v>
          </cell>
          <cell r="F142" t="str">
            <v>MI01_DRev</v>
          </cell>
          <cell r="G142" t="str">
            <v>MI01_POR</v>
          </cell>
          <cell r="H142" t="str">
            <v>MC01_DWag</v>
          </cell>
          <cell r="I142" t="str">
            <v>MI01_POR</v>
          </cell>
          <cell r="J142">
            <v>0</v>
          </cell>
          <cell r="K142" t="str">
            <v>OTHER REV</v>
          </cell>
        </row>
        <row r="143">
          <cell r="A143" t="str">
            <v>0508</v>
          </cell>
          <cell r="B143" t="str">
            <v>Pre-Opening-Investment Facto</v>
          </cell>
          <cell r="C143" t="str">
            <v>OTHER REV</v>
          </cell>
          <cell r="D143" t="str">
            <v>tpl_other_rev</v>
          </cell>
          <cell r="E143" t="str">
            <v>MI01_POR</v>
          </cell>
          <cell r="F143" t="str">
            <v>MI01_DRev</v>
          </cell>
          <cell r="G143" t="str">
            <v>MI01_POR</v>
          </cell>
          <cell r="H143" t="str">
            <v>MC01_DWag</v>
          </cell>
          <cell r="I143" t="str">
            <v>MI01_POR</v>
          </cell>
          <cell r="J143">
            <v>0</v>
          </cell>
          <cell r="K143" t="str">
            <v>OTHER REV</v>
          </cell>
        </row>
        <row r="144">
          <cell r="A144" t="str">
            <v>0510</v>
          </cell>
          <cell r="B144" t="str">
            <v>Pre-Opening-Restaurants</v>
          </cell>
          <cell r="C144" t="str">
            <v>OTHER REV</v>
          </cell>
          <cell r="D144" t="str">
            <v>tpl_other_rev</v>
          </cell>
          <cell r="E144" t="str">
            <v>MI01_POR</v>
          </cell>
          <cell r="F144" t="str">
            <v>MI01_DRev</v>
          </cell>
          <cell r="G144" t="str">
            <v>MI01_POR</v>
          </cell>
          <cell r="H144" t="str">
            <v>MC01_DWag</v>
          </cell>
          <cell r="I144" t="str">
            <v>MI01_POR</v>
          </cell>
          <cell r="J144">
            <v>0</v>
          </cell>
          <cell r="K144" t="str">
            <v>OTHER REV</v>
          </cell>
        </row>
        <row r="145">
          <cell r="A145" t="str">
            <v>0511</v>
          </cell>
          <cell r="B145" t="str">
            <v>Pre-Opening-Lounges</v>
          </cell>
          <cell r="C145" t="str">
            <v>OTHER REV</v>
          </cell>
          <cell r="D145" t="str">
            <v>tpl_other_rev</v>
          </cell>
          <cell r="E145" t="str">
            <v>MI01_POR</v>
          </cell>
          <cell r="F145" t="str">
            <v>MI01_DRev</v>
          </cell>
          <cell r="G145" t="str">
            <v>MI01_POR</v>
          </cell>
          <cell r="H145" t="str">
            <v>MC01_DWag</v>
          </cell>
          <cell r="I145" t="str">
            <v>MI01_POR</v>
          </cell>
          <cell r="J145">
            <v>0</v>
          </cell>
          <cell r="K145" t="str">
            <v>OTHER REV</v>
          </cell>
        </row>
        <row r="146">
          <cell r="A146" t="str">
            <v>0512</v>
          </cell>
          <cell r="B146" t="str">
            <v>Pre-Opening-Banquet</v>
          </cell>
          <cell r="C146" t="str">
            <v>OTHER REV</v>
          </cell>
          <cell r="D146" t="str">
            <v>tpl_other_rev</v>
          </cell>
          <cell r="E146" t="str">
            <v>MI01_POR</v>
          </cell>
          <cell r="F146" t="str">
            <v>MI01_DRev</v>
          </cell>
          <cell r="G146" t="str">
            <v>MI01_POR</v>
          </cell>
          <cell r="H146" t="str">
            <v>MC01_DWag</v>
          </cell>
          <cell r="I146" t="str">
            <v>MI01_POR</v>
          </cell>
          <cell r="J146">
            <v>0</v>
          </cell>
          <cell r="K146" t="str">
            <v>OTHER REV</v>
          </cell>
        </row>
        <row r="147">
          <cell r="A147" t="str">
            <v>0513</v>
          </cell>
          <cell r="B147" t="str">
            <v>Pre-Opening-Task Force F and B</v>
          </cell>
          <cell r="C147" t="str">
            <v>OTHER REV</v>
          </cell>
          <cell r="D147" t="str">
            <v>tpl_other_rev</v>
          </cell>
          <cell r="E147" t="str">
            <v>MI01_POR</v>
          </cell>
          <cell r="F147" t="str">
            <v>MI01_DRev</v>
          </cell>
          <cell r="G147" t="str">
            <v>MI01_POR</v>
          </cell>
          <cell r="H147" t="str">
            <v>MC01_DWag</v>
          </cell>
          <cell r="I147" t="str">
            <v>MI01_POR</v>
          </cell>
          <cell r="J147">
            <v>0</v>
          </cell>
          <cell r="K147" t="str">
            <v>OTHER REV</v>
          </cell>
        </row>
        <row r="148">
          <cell r="A148" t="str">
            <v>8070</v>
          </cell>
          <cell r="B148" t="str">
            <v>Residence I</v>
          </cell>
          <cell r="C148" t="str">
            <v>OTHER REV</v>
          </cell>
          <cell r="D148" t="str">
            <v>tpl_other_rev</v>
          </cell>
          <cell r="E148" t="str">
            <v>MI01_POR</v>
          </cell>
          <cell r="F148" t="str">
            <v>MI01_DRev</v>
          </cell>
          <cell r="G148" t="str">
            <v>MI01_POR</v>
          </cell>
          <cell r="H148" t="str">
            <v>MC01_DWag</v>
          </cell>
          <cell r="I148" t="str">
            <v>MI01_POR</v>
          </cell>
          <cell r="J148">
            <v>0</v>
          </cell>
          <cell r="K148" t="str">
            <v>OTHER REV</v>
          </cell>
        </row>
        <row r="149">
          <cell r="A149" t="str">
            <v>8071</v>
          </cell>
          <cell r="B149" t="str">
            <v>Residence II</v>
          </cell>
          <cell r="C149" t="str">
            <v>OTHER REV</v>
          </cell>
          <cell r="D149" t="str">
            <v>tpl_other_rev</v>
          </cell>
          <cell r="E149" t="str">
            <v>MI01_POR</v>
          </cell>
          <cell r="F149" t="str">
            <v>MI01_DRev</v>
          </cell>
          <cell r="G149" t="str">
            <v>MI01_POR</v>
          </cell>
          <cell r="H149" t="str">
            <v>MC01_DWag</v>
          </cell>
          <cell r="I149" t="str">
            <v>MI01_POR</v>
          </cell>
          <cell r="J149">
            <v>0</v>
          </cell>
          <cell r="K149" t="str">
            <v>OTHER REV</v>
          </cell>
        </row>
        <row r="150">
          <cell r="A150" t="str">
            <v>8072</v>
          </cell>
          <cell r="B150" t="str">
            <v>Residence III</v>
          </cell>
          <cell r="C150" t="str">
            <v>OTHER REV</v>
          </cell>
          <cell r="D150" t="str">
            <v>tpl_other_rev</v>
          </cell>
          <cell r="E150" t="str">
            <v>MI01_POR</v>
          </cell>
          <cell r="F150" t="str">
            <v>MI01_DRev</v>
          </cell>
          <cell r="G150" t="str">
            <v>MI01_POR</v>
          </cell>
          <cell r="H150" t="str">
            <v>MC01_DWag</v>
          </cell>
          <cell r="I150" t="str">
            <v>MI01_POR</v>
          </cell>
          <cell r="J150">
            <v>0</v>
          </cell>
          <cell r="K150" t="str">
            <v>OTHER REV</v>
          </cell>
        </row>
        <row r="151">
          <cell r="A151" t="str">
            <v>8073</v>
          </cell>
          <cell r="B151" t="str">
            <v>Residence IV</v>
          </cell>
          <cell r="C151" t="str">
            <v>OTHER REV</v>
          </cell>
          <cell r="D151" t="str">
            <v>tpl_other_rev</v>
          </cell>
          <cell r="E151" t="str">
            <v>MI01_POR</v>
          </cell>
          <cell r="F151" t="str">
            <v>MI01_DRev</v>
          </cell>
          <cell r="G151" t="str">
            <v>MI01_POR</v>
          </cell>
          <cell r="H151" t="str">
            <v>MC01_DWag</v>
          </cell>
          <cell r="I151" t="str">
            <v>MI01_POR</v>
          </cell>
          <cell r="J151">
            <v>0</v>
          </cell>
          <cell r="K151" t="str">
            <v>OTHER REV</v>
          </cell>
        </row>
        <row r="152">
          <cell r="A152" t="str">
            <v>0360</v>
          </cell>
          <cell r="B152" t="str">
            <v>Employment Offices</v>
          </cell>
          <cell r="C152" t="str">
            <v>ADMIN</v>
          </cell>
          <cell r="D152" t="str">
            <v>tpl_ga</v>
          </cell>
          <cell r="E152" t="str">
            <v>MI01_POR</v>
          </cell>
          <cell r="F152" t="str">
            <v>MI01_POR</v>
          </cell>
          <cell r="G152" t="str">
            <v>MI01_FIX</v>
          </cell>
          <cell r="H152" t="str">
            <v>MC01_DWag</v>
          </cell>
          <cell r="I152" t="str">
            <v>MI01_FIX</v>
          </cell>
          <cell r="J152">
            <v>0</v>
          </cell>
          <cell r="K152" t="str">
            <v>ADMIN</v>
          </cell>
        </row>
        <row r="153">
          <cell r="A153" t="str">
            <v>0362</v>
          </cell>
          <cell r="B153" t="str">
            <v>Staff Cost Allocations</v>
          </cell>
          <cell r="C153" t="str">
            <v>ADMIN</v>
          </cell>
          <cell r="D153" t="str">
            <v>tpl_ga</v>
          </cell>
          <cell r="E153" t="str">
            <v>MI01_POR</v>
          </cell>
          <cell r="F153" t="str">
            <v>MI01_POR</v>
          </cell>
          <cell r="G153" t="str">
            <v>MI01_FIX</v>
          </cell>
          <cell r="H153" t="str">
            <v>MC01_DWag</v>
          </cell>
          <cell r="I153" t="str">
            <v>MI01_FIX</v>
          </cell>
          <cell r="J153">
            <v>0</v>
          </cell>
          <cell r="K153" t="str">
            <v>ADMIN</v>
          </cell>
        </row>
        <row r="154">
          <cell r="A154" t="str">
            <v>0363</v>
          </cell>
          <cell r="B154" t="str">
            <v>Staff - Housing</v>
          </cell>
          <cell r="C154" t="str">
            <v>ADMIN</v>
          </cell>
          <cell r="D154" t="str">
            <v>tpl_ga</v>
          </cell>
          <cell r="E154" t="str">
            <v>MI01_POR</v>
          </cell>
          <cell r="F154" t="str">
            <v>MI01_POR</v>
          </cell>
          <cell r="G154" t="str">
            <v>MI01_FIX</v>
          </cell>
          <cell r="H154" t="str">
            <v>MC01_DWag</v>
          </cell>
          <cell r="I154" t="str">
            <v>MI01_FIX</v>
          </cell>
          <cell r="J154">
            <v>0</v>
          </cell>
          <cell r="K154" t="str">
            <v>ADMIN</v>
          </cell>
        </row>
        <row r="155">
          <cell r="A155" t="str">
            <v>0364</v>
          </cell>
          <cell r="B155" t="str">
            <v>Staff - Other Allocation</v>
          </cell>
          <cell r="C155" t="str">
            <v>ADMIN</v>
          </cell>
          <cell r="D155" t="str">
            <v>tpl_ga</v>
          </cell>
          <cell r="E155" t="str">
            <v>MI01_POR</v>
          </cell>
          <cell r="F155" t="str">
            <v>MI01_POR</v>
          </cell>
          <cell r="G155" t="str">
            <v>MI01_FIX</v>
          </cell>
          <cell r="H155" t="str">
            <v>MC01_DWag</v>
          </cell>
          <cell r="I155" t="str">
            <v>MI01_FIX</v>
          </cell>
          <cell r="J155">
            <v>0</v>
          </cell>
          <cell r="K155" t="str">
            <v>ADMIN</v>
          </cell>
        </row>
        <row r="156">
          <cell r="A156" t="str">
            <v>0390</v>
          </cell>
          <cell r="B156" t="str">
            <v>Tradeout</v>
          </cell>
          <cell r="C156" t="str">
            <v>ADMIN</v>
          </cell>
          <cell r="D156" t="str">
            <v>tpl_ga</v>
          </cell>
          <cell r="E156" t="str">
            <v>MI01_POR</v>
          </cell>
          <cell r="F156" t="str">
            <v>MI01_POR</v>
          </cell>
          <cell r="G156" t="str">
            <v>MI01_FIX</v>
          </cell>
          <cell r="H156" t="str">
            <v>MC01_DWag</v>
          </cell>
          <cell r="I156" t="str">
            <v>MI01_FIX</v>
          </cell>
          <cell r="J156">
            <v>0</v>
          </cell>
          <cell r="K156" t="str">
            <v>ADMIN</v>
          </cell>
        </row>
        <row r="157">
          <cell r="A157" t="str">
            <v>0410</v>
          </cell>
          <cell r="B157" t="str">
            <v>Administrative and General</v>
          </cell>
          <cell r="C157" t="str">
            <v>ADMIN</v>
          </cell>
          <cell r="D157" t="str">
            <v>tpl_ga</v>
          </cell>
          <cell r="E157" t="str">
            <v>MI01_POR</v>
          </cell>
          <cell r="F157" t="str">
            <v>MI01_POR</v>
          </cell>
          <cell r="G157" t="str">
            <v>MI01_FIX</v>
          </cell>
          <cell r="H157" t="str">
            <v>MC01_DWag</v>
          </cell>
          <cell r="I157" t="str">
            <v>MI01_FIX</v>
          </cell>
          <cell r="J157">
            <v>1</v>
          </cell>
          <cell r="K157" t="str">
            <v>ADMIN</v>
          </cell>
        </row>
        <row r="158">
          <cell r="A158" t="str">
            <v>0411</v>
          </cell>
          <cell r="B158" t="str">
            <v>Human Resources</v>
          </cell>
          <cell r="C158" t="str">
            <v>ADMIN</v>
          </cell>
          <cell r="D158" t="str">
            <v>tpl_ga</v>
          </cell>
          <cell r="E158" t="str">
            <v>MI01_POR</v>
          </cell>
          <cell r="F158" t="str">
            <v>MI01_POR</v>
          </cell>
          <cell r="G158" t="str">
            <v>MI01_FIX</v>
          </cell>
          <cell r="H158" t="str">
            <v>MC01_DWag</v>
          </cell>
          <cell r="I158" t="str">
            <v>MI01_FIX</v>
          </cell>
          <cell r="J158">
            <v>0</v>
          </cell>
          <cell r="K158" t="str">
            <v>ADMIN</v>
          </cell>
        </row>
        <row r="159">
          <cell r="A159" t="str">
            <v>0412</v>
          </cell>
          <cell r="B159" t="str">
            <v>Loss Prevention</v>
          </cell>
          <cell r="C159" t="str">
            <v>ADMIN</v>
          </cell>
          <cell r="D159" t="str">
            <v>tpl_ga</v>
          </cell>
          <cell r="E159" t="str">
            <v>MI01_POR</v>
          </cell>
          <cell r="F159" t="str">
            <v>MI01_POR</v>
          </cell>
          <cell r="G159" t="str">
            <v>MI01_FIX</v>
          </cell>
          <cell r="H159" t="str">
            <v>MC01_DWag</v>
          </cell>
          <cell r="I159" t="str">
            <v>MI01_FIX</v>
          </cell>
          <cell r="J159">
            <v>0</v>
          </cell>
          <cell r="K159" t="str">
            <v>ADMIN</v>
          </cell>
        </row>
        <row r="160">
          <cell r="A160" t="str">
            <v>0415</v>
          </cell>
          <cell r="B160" t="str">
            <v>General and Admin - Other</v>
          </cell>
          <cell r="C160" t="str">
            <v>ADMIN</v>
          </cell>
          <cell r="D160" t="str">
            <v>tpl_ga</v>
          </cell>
          <cell r="E160" t="str">
            <v>MI01_POR</v>
          </cell>
          <cell r="F160" t="str">
            <v>MI01_POR</v>
          </cell>
          <cell r="G160" t="str">
            <v>MI01_FIX</v>
          </cell>
          <cell r="H160" t="str">
            <v>MC01_DWag</v>
          </cell>
          <cell r="I160" t="str">
            <v>MI01_FIX</v>
          </cell>
          <cell r="J160">
            <v>0</v>
          </cell>
          <cell r="K160" t="str">
            <v>ADMIN</v>
          </cell>
        </row>
        <row r="161">
          <cell r="A161" t="str">
            <v>0417</v>
          </cell>
          <cell r="B161" t="str">
            <v>Employee Cafeteria</v>
          </cell>
          <cell r="C161" t="str">
            <v>ADMIN</v>
          </cell>
          <cell r="D161" t="str">
            <v>tpl_ga</v>
          </cell>
          <cell r="E161" t="str">
            <v>MI01_POR</v>
          </cell>
          <cell r="F161" t="str">
            <v>MI01_POR</v>
          </cell>
          <cell r="G161" t="str">
            <v>MI01_FIX</v>
          </cell>
          <cell r="H161" t="str">
            <v>MC01_DWag</v>
          </cell>
          <cell r="I161" t="str">
            <v>MI01_FIX</v>
          </cell>
          <cell r="J161">
            <v>0</v>
          </cell>
          <cell r="K161" t="str">
            <v>ADMIN</v>
          </cell>
        </row>
        <row r="162">
          <cell r="A162" t="str">
            <v>0440</v>
          </cell>
          <cell r="B162" t="str">
            <v>Accounting</v>
          </cell>
          <cell r="C162" t="str">
            <v>ADMIN</v>
          </cell>
          <cell r="D162" t="str">
            <v>tpl_ga</v>
          </cell>
          <cell r="E162" t="str">
            <v>MI01_POR</v>
          </cell>
          <cell r="F162" t="str">
            <v>MI01_POR</v>
          </cell>
          <cell r="G162" t="str">
            <v>MI01_FIX</v>
          </cell>
          <cell r="H162" t="str">
            <v>MC01_DWag</v>
          </cell>
          <cell r="I162" t="str">
            <v>MI01_FIX</v>
          </cell>
          <cell r="J162">
            <v>1</v>
          </cell>
          <cell r="K162" t="str">
            <v>ADMIN</v>
          </cell>
        </row>
        <row r="163">
          <cell r="A163" t="str">
            <v>0445</v>
          </cell>
          <cell r="B163" t="str">
            <v>Acct Dept 337V9 dual ownership</v>
          </cell>
          <cell r="C163" t="str">
            <v>ADMIN</v>
          </cell>
          <cell r="D163" t="str">
            <v>tpl_ga</v>
          </cell>
          <cell r="E163" t="str">
            <v>MI01_POR</v>
          </cell>
          <cell r="F163" t="str">
            <v>MI01_POR</v>
          </cell>
          <cell r="G163" t="str">
            <v>MI01_FIX</v>
          </cell>
          <cell r="H163" t="str">
            <v>MC01_DWag</v>
          </cell>
          <cell r="I163" t="str">
            <v>MI01_FIX</v>
          </cell>
          <cell r="J163">
            <v>0</v>
          </cell>
          <cell r="K163" t="str">
            <v>ADMIN</v>
          </cell>
        </row>
        <row r="164">
          <cell r="A164" t="str">
            <v>0448</v>
          </cell>
          <cell r="B164" t="str">
            <v>Shared Svcs - Accounting</v>
          </cell>
          <cell r="C164" t="str">
            <v>ADMIN</v>
          </cell>
          <cell r="D164" t="str">
            <v>tpl_ga</v>
          </cell>
          <cell r="E164" t="str">
            <v>MI01_POR</v>
          </cell>
          <cell r="F164" t="str">
            <v>MI01_POR</v>
          </cell>
          <cell r="G164" t="str">
            <v>MI01_FIX</v>
          </cell>
          <cell r="H164" t="str">
            <v>MC01_DWag</v>
          </cell>
          <cell r="I164" t="str">
            <v>MI01_FIX</v>
          </cell>
          <cell r="J164">
            <v>0</v>
          </cell>
          <cell r="K164" t="str">
            <v>ADMIN</v>
          </cell>
        </row>
        <row r="165">
          <cell r="A165" t="str">
            <v>0450</v>
          </cell>
          <cell r="B165" t="str">
            <v>Accidents</v>
          </cell>
          <cell r="C165" t="str">
            <v>ADMIN</v>
          </cell>
          <cell r="D165" t="str">
            <v>tpl_ga</v>
          </cell>
          <cell r="E165" t="str">
            <v>MI01_POR</v>
          </cell>
          <cell r="F165" t="str">
            <v>MI01_POR</v>
          </cell>
          <cell r="G165" t="str">
            <v>MI01_FIX</v>
          </cell>
          <cell r="H165" t="str">
            <v>MC01_DWag</v>
          </cell>
          <cell r="I165" t="str">
            <v>MI01_FIX</v>
          </cell>
          <cell r="J165">
            <v>0</v>
          </cell>
          <cell r="K165" t="str">
            <v>ADMIN</v>
          </cell>
        </row>
        <row r="166">
          <cell r="A166" t="str">
            <v>8771</v>
          </cell>
          <cell r="B166" t="str">
            <v>Intl SS - Information Tech</v>
          </cell>
          <cell r="C166" t="str">
            <v>ADMIN</v>
          </cell>
          <cell r="D166" t="str">
            <v>tpl_ga</v>
          </cell>
          <cell r="E166" t="str">
            <v>MI01_POR</v>
          </cell>
          <cell r="F166" t="str">
            <v>MI01_POR</v>
          </cell>
          <cell r="G166" t="str">
            <v>MI01_FIX</v>
          </cell>
          <cell r="H166" t="str">
            <v>MC01_DWag</v>
          </cell>
          <cell r="I166" t="str">
            <v>MI01_FIX</v>
          </cell>
          <cell r="J166">
            <v>0</v>
          </cell>
          <cell r="K166" t="str">
            <v>ADMIN</v>
          </cell>
        </row>
        <row r="167">
          <cell r="A167" t="str">
            <v>8772</v>
          </cell>
          <cell r="B167" t="str">
            <v>Intl SS - Accounting</v>
          </cell>
          <cell r="C167" t="str">
            <v>ADMIN</v>
          </cell>
          <cell r="D167" t="str">
            <v>tpl_ga</v>
          </cell>
          <cell r="E167" t="str">
            <v>MI01_POR</v>
          </cell>
          <cell r="F167" t="str">
            <v>MI01_POR</v>
          </cell>
          <cell r="G167" t="str">
            <v>MI01_FIX</v>
          </cell>
          <cell r="H167" t="str">
            <v>MC01_DWag</v>
          </cell>
          <cell r="I167" t="str">
            <v>MI01_FIX</v>
          </cell>
          <cell r="J167">
            <v>0</v>
          </cell>
          <cell r="K167" t="str">
            <v>ADMIN</v>
          </cell>
        </row>
        <row r="168">
          <cell r="A168" t="str">
            <v>0400</v>
          </cell>
          <cell r="B168" t="str">
            <v>Information &amp; Telecom Systems</v>
          </cell>
          <cell r="C168" t="str">
            <v>I&amp;TS</v>
          </cell>
          <cell r="D168" t="str">
            <v>tpl_its</v>
          </cell>
          <cell r="E168" t="str">
            <v>MI01_POR</v>
          </cell>
          <cell r="F168" t="str">
            <v>MI01_POR</v>
          </cell>
          <cell r="G168" t="str">
            <v>MI01_FIX</v>
          </cell>
          <cell r="H168" t="str">
            <v>MC01_DWag</v>
          </cell>
          <cell r="I168" t="str">
            <v>MI01_FIX</v>
          </cell>
          <cell r="J168">
            <v>1</v>
          </cell>
          <cell r="K168" t="str">
            <v>I&amp;TS</v>
          </cell>
        </row>
        <row r="169">
          <cell r="A169" t="str">
            <v>0405</v>
          </cell>
          <cell r="B169" t="str">
            <v>IT&amp;S Dept 337V9 dual ownership</v>
          </cell>
          <cell r="C169" t="str">
            <v>I&amp;TS</v>
          </cell>
          <cell r="D169" t="str">
            <v>tpl_its</v>
          </cell>
          <cell r="E169" t="str">
            <v>MI01_POR</v>
          </cell>
          <cell r="F169" t="str">
            <v>MI01_POR</v>
          </cell>
          <cell r="G169" t="str">
            <v>MI01_FIX</v>
          </cell>
          <cell r="H169" t="str">
            <v>MC01_DWag</v>
          </cell>
          <cell r="I169" t="str">
            <v>MI01_FIX</v>
          </cell>
          <cell r="J169">
            <v>0</v>
          </cell>
          <cell r="K169" t="str">
            <v>I&amp;TS</v>
          </cell>
        </row>
        <row r="170">
          <cell r="A170" t="str">
            <v>0460</v>
          </cell>
          <cell r="B170" t="str">
            <v>Central Training - Relocation</v>
          </cell>
          <cell r="C170" t="str">
            <v>Relocation</v>
          </cell>
          <cell r="D170" t="str">
            <v>tpl_relocation</v>
          </cell>
          <cell r="E170" t="str">
            <v>MI01_POR</v>
          </cell>
          <cell r="F170" t="str">
            <v>MI01_POR</v>
          </cell>
          <cell r="G170" t="str">
            <v>MI01_FIX</v>
          </cell>
          <cell r="H170" t="str">
            <v>MC01_DWag</v>
          </cell>
          <cell r="I170" t="str">
            <v>MI01_FIX</v>
          </cell>
          <cell r="J170">
            <v>1</v>
          </cell>
          <cell r="K170" t="str">
            <v>Relocation</v>
          </cell>
        </row>
        <row r="171">
          <cell r="A171" t="str">
            <v>0465</v>
          </cell>
          <cell r="B171" t="str">
            <v>Ctr Trng 337V9 dual ownership</v>
          </cell>
          <cell r="C171" t="str">
            <v>Relocation</v>
          </cell>
          <cell r="D171" t="str">
            <v>tpl_relocation</v>
          </cell>
          <cell r="E171" t="str">
            <v>MI01_POR</v>
          </cell>
          <cell r="F171" t="str">
            <v>MI01_POR</v>
          </cell>
          <cell r="G171" t="str">
            <v>MI01_FIX</v>
          </cell>
          <cell r="H171" t="str">
            <v>MC01_DWag</v>
          </cell>
          <cell r="I171" t="str">
            <v>MI01_FIX</v>
          </cell>
          <cell r="J171">
            <v>0</v>
          </cell>
          <cell r="K171" t="str">
            <v>Relocation</v>
          </cell>
        </row>
        <row r="172">
          <cell r="A172" t="str">
            <v>0470</v>
          </cell>
          <cell r="B172" t="str">
            <v>Sales and Marketing</v>
          </cell>
          <cell r="C172" t="str">
            <v>SALES</v>
          </cell>
          <cell r="D172" t="str">
            <v>tpl_sales</v>
          </cell>
          <cell r="E172" t="str">
            <v>MI01_POR</v>
          </cell>
          <cell r="F172" t="str">
            <v>MI01_POR</v>
          </cell>
          <cell r="G172" t="str">
            <v>MI01_FIX</v>
          </cell>
          <cell r="H172" t="str">
            <v>MC01_DWag</v>
          </cell>
          <cell r="I172" t="str">
            <v>MI01_FIX</v>
          </cell>
          <cell r="J172">
            <v>1</v>
          </cell>
          <cell r="K172" t="str">
            <v>SALES</v>
          </cell>
        </row>
        <row r="173">
          <cell r="A173" t="str">
            <v>0471</v>
          </cell>
          <cell r="B173" t="str">
            <v>Clustered Sales ISO</v>
          </cell>
          <cell r="C173" t="str">
            <v>SALES</v>
          </cell>
          <cell r="D173" t="str">
            <v>tpl_sales</v>
          </cell>
          <cell r="E173" t="str">
            <v>MI01_POR</v>
          </cell>
          <cell r="F173" t="str">
            <v>MI01_POR</v>
          </cell>
          <cell r="G173" t="str">
            <v>MI01_FIX</v>
          </cell>
          <cell r="H173" t="str">
            <v>MC01_DWag</v>
          </cell>
          <cell r="I173" t="str">
            <v>MI01_FIX</v>
          </cell>
          <cell r="J173">
            <v>0</v>
          </cell>
          <cell r="K173" t="str">
            <v>SALES</v>
          </cell>
        </row>
        <row r="174">
          <cell r="A174" t="str">
            <v>0472</v>
          </cell>
          <cell r="B174" t="str">
            <v>Guest Recognition</v>
          </cell>
          <cell r="C174" t="str">
            <v>SALES</v>
          </cell>
          <cell r="D174" t="str">
            <v>tpl_sales</v>
          </cell>
          <cell r="E174" t="str">
            <v>MI01_POR</v>
          </cell>
          <cell r="F174" t="str">
            <v>MI01_POR</v>
          </cell>
          <cell r="G174" t="str">
            <v>MI01_FIX</v>
          </cell>
          <cell r="H174" t="str">
            <v>MC01_DWag</v>
          </cell>
          <cell r="I174" t="str">
            <v>MI01_FIX</v>
          </cell>
          <cell r="J174">
            <v>0</v>
          </cell>
          <cell r="K174" t="str">
            <v>SALES</v>
          </cell>
        </row>
        <row r="175">
          <cell r="A175" t="str">
            <v>0473</v>
          </cell>
          <cell r="B175" t="str">
            <v>Conference Services</v>
          </cell>
          <cell r="C175" t="str">
            <v>SALES</v>
          </cell>
          <cell r="D175" t="str">
            <v>tpl_sales</v>
          </cell>
          <cell r="E175" t="str">
            <v>MI01_POR</v>
          </cell>
          <cell r="F175" t="str">
            <v>MI01_POR</v>
          </cell>
          <cell r="G175" t="str">
            <v>MI01_FIX</v>
          </cell>
          <cell r="H175" t="str">
            <v>MC01_DWag</v>
          </cell>
          <cell r="I175" t="str">
            <v>MI01_FIX</v>
          </cell>
          <cell r="J175">
            <v>0</v>
          </cell>
          <cell r="K175" t="str">
            <v>SALES</v>
          </cell>
        </row>
        <row r="176">
          <cell r="A176" t="str">
            <v>0474</v>
          </cell>
          <cell r="B176" t="str">
            <v>Catering Sales</v>
          </cell>
          <cell r="C176" t="str">
            <v>SALES</v>
          </cell>
          <cell r="D176" t="str">
            <v>tpl_sales</v>
          </cell>
          <cell r="E176" t="str">
            <v>MI01_POR</v>
          </cell>
          <cell r="F176" t="str">
            <v>MI01_POR</v>
          </cell>
          <cell r="G176" t="str">
            <v>MI01_FIX</v>
          </cell>
          <cell r="H176" t="str">
            <v>MC01_DWag</v>
          </cell>
          <cell r="I176" t="str">
            <v>MI01_FIX</v>
          </cell>
          <cell r="J176">
            <v>0</v>
          </cell>
          <cell r="K176" t="str">
            <v>SALES</v>
          </cell>
        </row>
        <row r="177">
          <cell r="A177" t="str">
            <v>0475</v>
          </cell>
          <cell r="B177" t="str">
            <v>Sales and Mkt - Other</v>
          </cell>
          <cell r="C177" t="str">
            <v>SALES</v>
          </cell>
          <cell r="D177" t="str">
            <v>tpl_sales</v>
          </cell>
          <cell r="E177" t="str">
            <v>MI01_POR</v>
          </cell>
          <cell r="F177" t="str">
            <v>MI01_POR</v>
          </cell>
          <cell r="G177" t="str">
            <v>MI01_FIX</v>
          </cell>
          <cell r="H177" t="str">
            <v>MC01_DWag</v>
          </cell>
          <cell r="I177" t="str">
            <v>MI01_FIX</v>
          </cell>
          <cell r="J177">
            <v>0</v>
          </cell>
          <cell r="K177" t="str">
            <v>SALES</v>
          </cell>
        </row>
        <row r="178">
          <cell r="A178" t="str">
            <v>0478</v>
          </cell>
          <cell r="B178" t="str">
            <v>Shared Svcs - Market</v>
          </cell>
          <cell r="C178" t="str">
            <v>SALES</v>
          </cell>
          <cell r="D178" t="str">
            <v>tpl_sales</v>
          </cell>
          <cell r="E178" t="str">
            <v>MI01_POR</v>
          </cell>
          <cell r="F178" t="str">
            <v>MI01_POR</v>
          </cell>
          <cell r="G178" t="str">
            <v>MI01_FIX</v>
          </cell>
          <cell r="H178" t="str">
            <v>MC01_DWag</v>
          </cell>
          <cell r="I178" t="str">
            <v>MI01_FIX</v>
          </cell>
          <cell r="J178">
            <v>0</v>
          </cell>
          <cell r="K178" t="str">
            <v>SALES</v>
          </cell>
        </row>
        <row r="179">
          <cell r="A179" t="str">
            <v>8770</v>
          </cell>
          <cell r="B179" t="str">
            <v>Intl SS - Rev Mgmt</v>
          </cell>
          <cell r="C179" t="str">
            <v>SALES</v>
          </cell>
          <cell r="D179" t="str">
            <v>tpl_sales</v>
          </cell>
          <cell r="E179" t="str">
            <v>MI01_POR</v>
          </cell>
          <cell r="F179" t="str">
            <v>MI01_POR</v>
          </cell>
          <cell r="G179" t="str">
            <v>MI01_FIX</v>
          </cell>
          <cell r="H179" t="str">
            <v>MC01_DWag</v>
          </cell>
          <cell r="I179" t="str">
            <v>MI01_FIX</v>
          </cell>
          <cell r="J179">
            <v>0</v>
          </cell>
          <cell r="K179" t="str">
            <v>SALES</v>
          </cell>
        </row>
        <row r="180">
          <cell r="A180" t="str">
            <v>0420</v>
          </cell>
          <cell r="B180" t="str">
            <v>Utilities</v>
          </cell>
          <cell r="C180" t="str">
            <v>UTILITIES</v>
          </cell>
          <cell r="D180" t="str">
            <v>tpl_util</v>
          </cell>
          <cell r="E180" t="str">
            <v>MI01_POR</v>
          </cell>
          <cell r="F180" t="str">
            <v>MI01_POR</v>
          </cell>
          <cell r="G180" t="str">
            <v>MI01_FIX</v>
          </cell>
          <cell r="H180" t="str">
            <v>MC01_DWag</v>
          </cell>
          <cell r="I180" t="str">
            <v>MI01_PAR</v>
          </cell>
          <cell r="J180">
            <v>1</v>
          </cell>
          <cell r="K180" t="str">
            <v>UTILITIES</v>
          </cell>
        </row>
        <row r="181">
          <cell r="A181" t="str">
            <v>0425</v>
          </cell>
          <cell r="B181" t="str">
            <v>Utilities - Other</v>
          </cell>
          <cell r="C181" t="str">
            <v>UTILITIES</v>
          </cell>
          <cell r="D181" t="str">
            <v>tpl_util</v>
          </cell>
          <cell r="E181" t="str">
            <v>MI01_POR</v>
          </cell>
          <cell r="F181" t="str">
            <v>MI01_POR</v>
          </cell>
          <cell r="G181" t="str">
            <v>MI01_FIX</v>
          </cell>
          <cell r="H181" t="str">
            <v>MC01_DWag</v>
          </cell>
          <cell r="I181" t="str">
            <v>MI01_PAR</v>
          </cell>
          <cell r="J181">
            <v>0</v>
          </cell>
          <cell r="K181" t="str">
            <v>UTILITIES</v>
          </cell>
        </row>
        <row r="182">
          <cell r="A182" t="str">
            <v>0430</v>
          </cell>
          <cell r="B182" t="str">
            <v>Property Operation and Maint</v>
          </cell>
          <cell r="C182" t="str">
            <v>Repairs Maint</v>
          </cell>
          <cell r="D182" t="str">
            <v>tpl_rm</v>
          </cell>
          <cell r="E182" t="str">
            <v>MI01_POR</v>
          </cell>
          <cell r="F182" t="str">
            <v>MI01_POR</v>
          </cell>
          <cell r="G182" t="str">
            <v>MI01_PAR</v>
          </cell>
          <cell r="H182" t="str">
            <v>MC01_DWag</v>
          </cell>
          <cell r="I182" t="str">
            <v>MI01_PAR</v>
          </cell>
          <cell r="J182">
            <v>1</v>
          </cell>
          <cell r="K182" t="str">
            <v>Repairs Maint</v>
          </cell>
        </row>
        <row r="183">
          <cell r="A183" t="str">
            <v>0431</v>
          </cell>
          <cell r="B183" t="str">
            <v>Grounds</v>
          </cell>
          <cell r="C183" t="str">
            <v>Repairs Maint</v>
          </cell>
          <cell r="D183" t="str">
            <v>tpl_rm</v>
          </cell>
          <cell r="E183" t="str">
            <v>MI01_POR</v>
          </cell>
          <cell r="F183" t="str">
            <v>MI01_POR</v>
          </cell>
          <cell r="G183" t="str">
            <v>MI01_PAR</v>
          </cell>
          <cell r="H183" t="str">
            <v>MC01_DWag</v>
          </cell>
          <cell r="I183" t="str">
            <v>MI01_PAR</v>
          </cell>
          <cell r="J183">
            <v>0</v>
          </cell>
          <cell r="K183" t="str">
            <v>Repairs Maint</v>
          </cell>
        </row>
        <row r="184">
          <cell r="A184" t="str">
            <v>0435</v>
          </cell>
          <cell r="B184" t="str">
            <v>Repairs and Maint - Other</v>
          </cell>
          <cell r="C184" t="str">
            <v>Repairs Maint</v>
          </cell>
          <cell r="D184" t="str">
            <v>tpl_rm</v>
          </cell>
          <cell r="E184" t="str">
            <v>MI01_POR</v>
          </cell>
          <cell r="F184" t="str">
            <v>MI01_POR</v>
          </cell>
          <cell r="G184" t="str">
            <v>MI01_PAR</v>
          </cell>
          <cell r="H184" t="str">
            <v>MC01_DWag</v>
          </cell>
          <cell r="I184" t="str">
            <v>MI01_PAR</v>
          </cell>
          <cell r="J184">
            <v>0</v>
          </cell>
          <cell r="K184" t="str">
            <v>Repairs Maint</v>
          </cell>
        </row>
        <row r="185">
          <cell r="A185" t="str">
            <v>0480</v>
          </cell>
          <cell r="B185" t="str">
            <v>Non-Operating Income-Expenses</v>
          </cell>
          <cell r="C185" t="str">
            <v>DEDUCT</v>
          </cell>
          <cell r="D185" t="str">
            <v>tpl_deduct</v>
          </cell>
          <cell r="E185" t="str">
            <v>MI01_POR</v>
          </cell>
          <cell r="F185" t="str">
            <v>MI01_POR</v>
          </cell>
          <cell r="G185" t="str">
            <v>MI01_FIX</v>
          </cell>
          <cell r="H185" t="str">
            <v>MC01_DWag</v>
          </cell>
          <cell r="I185" t="str">
            <v>MI01_FIX</v>
          </cell>
          <cell r="J185">
            <v>1</v>
          </cell>
          <cell r="K185" t="str">
            <v>DEDUCT</v>
          </cell>
        </row>
        <row r="186">
          <cell r="A186" t="str">
            <v>0482</v>
          </cell>
          <cell r="B186" t="str">
            <v>Other Investment Factors</v>
          </cell>
          <cell r="C186" t="str">
            <v>DEDUCT</v>
          </cell>
          <cell r="D186" t="str">
            <v>tpl_deduct</v>
          </cell>
          <cell r="E186" t="str">
            <v>MI01_POR</v>
          </cell>
          <cell r="F186" t="str">
            <v>MI01_POR</v>
          </cell>
          <cell r="G186" t="str">
            <v>MI01_FIX</v>
          </cell>
          <cell r="H186" t="str">
            <v>MC01_DWag</v>
          </cell>
          <cell r="I186" t="str">
            <v>MI01_FIX</v>
          </cell>
          <cell r="J186">
            <v>0</v>
          </cell>
          <cell r="K186" t="str">
            <v>DEDUCT</v>
          </cell>
        </row>
        <row r="187">
          <cell r="A187" t="str">
            <v>0485</v>
          </cell>
          <cell r="B187" t="str">
            <v>Invest Factors - Other</v>
          </cell>
          <cell r="C187" t="str">
            <v>DEDUCT</v>
          </cell>
          <cell r="D187" t="str">
            <v>tpl_deduct</v>
          </cell>
          <cell r="E187" t="str">
            <v>MI01_POR</v>
          </cell>
          <cell r="F187" t="str">
            <v>MI01_POR</v>
          </cell>
          <cell r="G187" t="str">
            <v>MI01_FIX</v>
          </cell>
          <cell r="H187" t="str">
            <v>MC01_DWag</v>
          </cell>
          <cell r="I187" t="str">
            <v>MI01_FIX</v>
          </cell>
          <cell r="J187">
            <v>0</v>
          </cell>
          <cell r="K187" t="str">
            <v>DEDUCT</v>
          </cell>
        </row>
        <row r="188">
          <cell r="A188" t="str">
            <v>0490</v>
          </cell>
          <cell r="B188" t="str">
            <v>Owner Activity</v>
          </cell>
          <cell r="C188" t="str">
            <v>DEDUCT</v>
          </cell>
          <cell r="D188" t="str">
            <v>tpl_deduct</v>
          </cell>
          <cell r="E188" t="str">
            <v>MI01_POR</v>
          </cell>
          <cell r="F188" t="str">
            <v>MI01_POR</v>
          </cell>
          <cell r="G188" t="str">
            <v>MI01_FIX</v>
          </cell>
          <cell r="H188" t="str">
            <v>MC01_DWag</v>
          </cell>
          <cell r="I188" t="str">
            <v>MI01_FIX</v>
          </cell>
          <cell r="J188">
            <v>1</v>
          </cell>
          <cell r="K188" t="str">
            <v>DEDUCT</v>
          </cell>
        </row>
        <row r="189">
          <cell r="A189" t="str">
            <v>0495</v>
          </cell>
          <cell r="B189" t="str">
            <v>Franchise Comp Units</v>
          </cell>
          <cell r="C189" t="str">
            <v>DEDUCT</v>
          </cell>
          <cell r="D189" t="str">
            <v>tpl_deduct</v>
          </cell>
          <cell r="E189" t="str">
            <v>MI01_POR</v>
          </cell>
          <cell r="F189" t="str">
            <v>MI01_POR</v>
          </cell>
          <cell r="G189" t="str">
            <v>MI01_FIX</v>
          </cell>
          <cell r="H189" t="str">
            <v>MC01_DWag</v>
          </cell>
          <cell r="I189" t="str">
            <v>MI01_FIX</v>
          </cell>
          <cell r="J189">
            <v>0</v>
          </cell>
          <cell r="K189" t="str">
            <v>DEDUCT</v>
          </cell>
        </row>
        <row r="190">
          <cell r="A190" t="str">
            <v>0690</v>
          </cell>
          <cell r="B190" t="str">
            <v>Owner ITDA Expenses</v>
          </cell>
          <cell r="C190" t="str">
            <v>DEDUCT</v>
          </cell>
          <cell r="D190" t="str">
            <v>tpl_deduct</v>
          </cell>
          <cell r="E190" t="str">
            <v>MI01_POR</v>
          </cell>
          <cell r="F190" t="str">
            <v>MI01_POR</v>
          </cell>
          <cell r="G190" t="str">
            <v>MI01_FIX</v>
          </cell>
          <cell r="H190" t="str">
            <v>MC01_DWag</v>
          </cell>
          <cell r="I190" t="str">
            <v>MI01_FIX</v>
          </cell>
          <cell r="J190">
            <v>0</v>
          </cell>
          <cell r="K190" t="str">
            <v>DEDUCT</v>
          </cell>
        </row>
        <row r="191">
          <cell r="A191" t="str">
            <v>0982</v>
          </cell>
          <cell r="B191" t="str">
            <v>Managers Dept - Ritz</v>
          </cell>
          <cell r="C191" t="str">
            <v>DEDUCT</v>
          </cell>
          <cell r="D191" t="str">
            <v>tpl_deduct</v>
          </cell>
          <cell r="E191" t="str">
            <v>MI01_POR</v>
          </cell>
          <cell r="F191" t="str">
            <v>MI01_POR</v>
          </cell>
          <cell r="G191" t="str">
            <v>MI01_FIX</v>
          </cell>
          <cell r="H191" t="str">
            <v>MC01_DWag</v>
          </cell>
          <cell r="I191" t="str">
            <v>MI01_FIX</v>
          </cell>
          <cell r="J191">
            <v>0</v>
          </cell>
          <cell r="K191" t="str">
            <v>DEDUCT</v>
          </cell>
        </row>
        <row r="192">
          <cell r="A192" t="str">
            <v>0983</v>
          </cell>
          <cell r="B192" t="str">
            <v>Managers Dept. - MHRS</v>
          </cell>
          <cell r="C192" t="str">
            <v>DEDUCT</v>
          </cell>
          <cell r="D192" t="str">
            <v>tpl_deduct</v>
          </cell>
          <cell r="E192" t="str">
            <v>MI01_POR</v>
          </cell>
          <cell r="F192" t="str">
            <v>MI01_POR</v>
          </cell>
          <cell r="G192" t="str">
            <v>MI01_FIX</v>
          </cell>
          <cell r="H192" t="str">
            <v>MC01_DWag</v>
          </cell>
          <cell r="I192" t="str">
            <v>MI01_FIX</v>
          </cell>
          <cell r="J192">
            <v>0</v>
          </cell>
          <cell r="K192" t="str">
            <v>DEDUCT</v>
          </cell>
        </row>
        <row r="193">
          <cell r="A193" t="str">
            <v>0985</v>
          </cell>
          <cell r="B193" t="str">
            <v>Managers Dept - MCC</v>
          </cell>
          <cell r="C193" t="str">
            <v>DEDUCT</v>
          </cell>
          <cell r="D193" t="str">
            <v>tpl_deduct</v>
          </cell>
          <cell r="E193" t="str">
            <v>MI01_POR</v>
          </cell>
          <cell r="F193" t="str">
            <v>MI01_POR</v>
          </cell>
          <cell r="G193" t="str">
            <v>MI01_FIX</v>
          </cell>
          <cell r="H193" t="str">
            <v>MC01_DWag</v>
          </cell>
          <cell r="I193" t="str">
            <v>MI01_FIX</v>
          </cell>
          <cell r="J193">
            <v>0</v>
          </cell>
          <cell r="K193" t="str">
            <v>DEDUCT</v>
          </cell>
        </row>
        <row r="194">
          <cell r="A194" t="str">
            <v>0986</v>
          </cell>
          <cell r="B194" t="str">
            <v>Managers Dept. - Ren/GH</v>
          </cell>
          <cell r="C194" t="str">
            <v>DEDUCT</v>
          </cell>
          <cell r="D194" t="str">
            <v>tpl_deduct</v>
          </cell>
          <cell r="E194" t="str">
            <v>MI01_POR</v>
          </cell>
          <cell r="F194" t="str">
            <v>MI01_POR</v>
          </cell>
          <cell r="G194" t="str">
            <v>MI01_FIX</v>
          </cell>
          <cell r="H194" t="str">
            <v>MC01_DWag</v>
          </cell>
          <cell r="I194" t="str">
            <v>MI01_FIX</v>
          </cell>
          <cell r="J194">
            <v>0</v>
          </cell>
          <cell r="K194" t="str">
            <v>DEDUCT</v>
          </cell>
        </row>
        <row r="195">
          <cell r="A195" t="str">
            <v>0020</v>
          </cell>
          <cell r="B195" t="str">
            <v>Laundry</v>
          </cell>
          <cell r="C195" t="str">
            <v>LAUNDRY</v>
          </cell>
          <cell r="D195" t="str">
            <v>tpl_lndy</v>
          </cell>
          <cell r="E195" t="str">
            <v>MI01_POR</v>
          </cell>
          <cell r="F195" t="str">
            <v>MI01_POR</v>
          </cell>
          <cell r="G195" t="str">
            <v>MI01_POR</v>
          </cell>
          <cell r="H195" t="str">
            <v>MC01_DWag</v>
          </cell>
          <cell r="I195" t="str">
            <v>MI01_POR</v>
          </cell>
          <cell r="J195">
            <v>0</v>
          </cell>
          <cell r="K195" t="str">
            <v>LAUNDRY</v>
          </cell>
        </row>
        <row r="196">
          <cell r="A196" t="str">
            <v>0090</v>
          </cell>
          <cell r="B196" t="str">
            <v>Staff Dining</v>
          </cell>
          <cell r="C196" t="str">
            <v>EMPMEALS</v>
          </cell>
          <cell r="D196" t="str">
            <v>tpl_meals</v>
          </cell>
          <cell r="E196" t="str">
            <v>MI01_POR</v>
          </cell>
          <cell r="F196" t="str">
            <v>MI01_THD</v>
          </cell>
          <cell r="G196" t="str">
            <v>MI01_PAR</v>
          </cell>
          <cell r="H196" t="str">
            <v>MC01_DWag</v>
          </cell>
          <cell r="I196" t="str">
            <v>MI01_FIX</v>
          </cell>
          <cell r="J196">
            <v>1</v>
          </cell>
          <cell r="K196" t="str">
            <v>EMPMEALS</v>
          </cell>
        </row>
        <row r="197">
          <cell r="A197" t="str">
            <v>0600</v>
          </cell>
          <cell r="B197" t="str">
            <v>Cluster - Admin</v>
          </cell>
          <cell r="C197" t="str">
            <v>CLUSTER</v>
          </cell>
          <cell r="D197" t="str">
            <v>tpl_cluster</v>
          </cell>
          <cell r="E197" t="str">
            <v>MI01_POR</v>
          </cell>
          <cell r="F197" t="str">
            <v>MI01_POR</v>
          </cell>
          <cell r="G197" t="str">
            <v>MI01_FIX</v>
          </cell>
          <cell r="H197" t="str">
            <v>MC01_DWag</v>
          </cell>
          <cell r="I197" t="str">
            <v>MI01_FIX</v>
          </cell>
          <cell r="J197">
            <v>0</v>
          </cell>
          <cell r="K197" t="str">
            <v>CLUSTER</v>
          </cell>
        </row>
        <row r="198">
          <cell r="A198" t="str">
            <v>0601</v>
          </cell>
          <cell r="B198" t="str">
            <v>Cluster - Corporate Dept</v>
          </cell>
          <cell r="C198" t="str">
            <v>CLUSTER</v>
          </cell>
          <cell r="D198" t="str">
            <v>tpl_cluster</v>
          </cell>
          <cell r="E198" t="str">
            <v>MI01_POR</v>
          </cell>
          <cell r="F198" t="str">
            <v>MI01_POR</v>
          </cell>
          <cell r="G198" t="str">
            <v>MI01_FIX</v>
          </cell>
          <cell r="H198" t="str">
            <v>MC01_DWag</v>
          </cell>
          <cell r="I198" t="str">
            <v>MI01_FIX</v>
          </cell>
          <cell r="J198">
            <v>0</v>
          </cell>
          <cell r="K198" t="str">
            <v>CLUSTER</v>
          </cell>
        </row>
        <row r="199">
          <cell r="A199" t="str">
            <v>0602</v>
          </cell>
          <cell r="B199" t="str">
            <v>Cluster - Finance</v>
          </cell>
          <cell r="C199" t="str">
            <v>CLUSTER</v>
          </cell>
          <cell r="D199" t="str">
            <v>tpl_cluster</v>
          </cell>
          <cell r="E199" t="str">
            <v>MI01_POR</v>
          </cell>
          <cell r="F199" t="str">
            <v>MI01_POR</v>
          </cell>
          <cell r="G199" t="str">
            <v>MI01_FIX</v>
          </cell>
          <cell r="H199" t="str">
            <v>MC01_DWag</v>
          </cell>
          <cell r="I199" t="str">
            <v>MI01_FIX</v>
          </cell>
          <cell r="J199">
            <v>0</v>
          </cell>
          <cell r="K199" t="str">
            <v>CLUSTER</v>
          </cell>
        </row>
        <row r="200">
          <cell r="A200" t="str">
            <v>0603</v>
          </cell>
          <cell r="B200" t="str">
            <v>Cluster - Sales Office</v>
          </cell>
          <cell r="C200" t="str">
            <v>CLUSTER</v>
          </cell>
          <cell r="D200" t="str">
            <v>tpl_cluster</v>
          </cell>
          <cell r="E200" t="str">
            <v>MI01_POR</v>
          </cell>
          <cell r="F200" t="str">
            <v>MI01_POR</v>
          </cell>
          <cell r="G200" t="str">
            <v>MI01_FIX</v>
          </cell>
          <cell r="H200" t="str">
            <v>MC01_DWag</v>
          </cell>
          <cell r="I200" t="str">
            <v>MI01_FIX</v>
          </cell>
          <cell r="J200">
            <v>0</v>
          </cell>
          <cell r="K200" t="str">
            <v>CLUSTER</v>
          </cell>
        </row>
        <row r="201">
          <cell r="A201" t="str">
            <v>0604</v>
          </cell>
          <cell r="B201" t="str">
            <v>Cluster - Human Resources</v>
          </cell>
          <cell r="C201" t="str">
            <v>CLUSTER</v>
          </cell>
          <cell r="D201" t="str">
            <v>tpl_cluster</v>
          </cell>
          <cell r="E201" t="str">
            <v>MI01_POR</v>
          </cell>
          <cell r="F201" t="str">
            <v>MI01_POR</v>
          </cell>
          <cell r="G201" t="str">
            <v>MI01_FIX</v>
          </cell>
          <cell r="H201" t="str">
            <v>MC01_DWag</v>
          </cell>
          <cell r="I201" t="str">
            <v>MI01_FIX</v>
          </cell>
          <cell r="J201">
            <v>0</v>
          </cell>
          <cell r="K201" t="str">
            <v>CLUSTER</v>
          </cell>
        </row>
        <row r="202">
          <cell r="A202" t="str">
            <v>0605</v>
          </cell>
          <cell r="B202" t="str">
            <v>Cluster - iT</v>
          </cell>
          <cell r="C202" t="str">
            <v>CLUSTER</v>
          </cell>
          <cell r="D202" t="str">
            <v>tpl_cluster</v>
          </cell>
          <cell r="E202" t="str">
            <v>MI01_POR</v>
          </cell>
          <cell r="F202" t="str">
            <v>MI01_POR</v>
          </cell>
          <cell r="G202" t="str">
            <v>MI01_FIX</v>
          </cell>
          <cell r="H202" t="str">
            <v>MC01_DWag</v>
          </cell>
          <cell r="I202" t="str">
            <v>MI01_FIX</v>
          </cell>
          <cell r="J202">
            <v>0</v>
          </cell>
          <cell r="K202" t="str">
            <v>CLUSTER</v>
          </cell>
        </row>
        <row r="203">
          <cell r="A203" t="str">
            <v>0606</v>
          </cell>
          <cell r="B203" t="str">
            <v>Cluster - Operations</v>
          </cell>
          <cell r="C203" t="str">
            <v>CLUSTER</v>
          </cell>
          <cell r="D203" t="str">
            <v>tpl_cluster</v>
          </cell>
          <cell r="E203" t="str">
            <v>MI01_POR</v>
          </cell>
          <cell r="F203" t="str">
            <v>MI01_POR</v>
          </cell>
          <cell r="G203" t="str">
            <v>MI01_FIX</v>
          </cell>
          <cell r="H203" t="str">
            <v>MC01_DWag</v>
          </cell>
          <cell r="I203" t="str">
            <v>MI01_FIX</v>
          </cell>
          <cell r="J203">
            <v>0</v>
          </cell>
          <cell r="K203" t="str">
            <v>CLUSTER</v>
          </cell>
        </row>
        <row r="204">
          <cell r="A204" t="str">
            <v>0607</v>
          </cell>
          <cell r="B204" t="str">
            <v>Cluster - Public Relations</v>
          </cell>
          <cell r="C204" t="str">
            <v>CLUSTER</v>
          </cell>
          <cell r="D204" t="str">
            <v>tpl_cluster</v>
          </cell>
          <cell r="E204" t="str">
            <v>MI01_POR</v>
          </cell>
          <cell r="F204" t="str">
            <v>MI01_POR</v>
          </cell>
          <cell r="G204" t="str">
            <v>MI01_FIX</v>
          </cell>
          <cell r="H204" t="str">
            <v>MC01_DWag</v>
          </cell>
          <cell r="I204" t="str">
            <v>MI01_FIX</v>
          </cell>
          <cell r="J204">
            <v>0</v>
          </cell>
          <cell r="K204" t="str">
            <v>CLUSTER</v>
          </cell>
        </row>
        <row r="205">
          <cell r="A205" t="str">
            <v>0608</v>
          </cell>
          <cell r="B205" t="str">
            <v>Cluster - Procurement</v>
          </cell>
          <cell r="C205" t="str">
            <v>CLUSTER</v>
          </cell>
          <cell r="D205" t="str">
            <v>tpl_cluster</v>
          </cell>
          <cell r="E205" t="str">
            <v>MI01_POR</v>
          </cell>
          <cell r="F205" t="str">
            <v>MI01_POR</v>
          </cell>
          <cell r="G205" t="str">
            <v>MI01_FIX</v>
          </cell>
          <cell r="H205" t="str">
            <v>MC01_DWag</v>
          </cell>
          <cell r="I205" t="str">
            <v>MI01_FIX</v>
          </cell>
          <cell r="J205">
            <v>0</v>
          </cell>
          <cell r="K205" t="str">
            <v>CLUSTER</v>
          </cell>
        </row>
        <row r="206">
          <cell r="A206" t="str">
            <v>0609</v>
          </cell>
          <cell r="B206" t="str">
            <v>Cluster - Reservations</v>
          </cell>
          <cell r="C206" t="str">
            <v>CLUSTER</v>
          </cell>
          <cell r="D206" t="str">
            <v>tpl_cluster</v>
          </cell>
          <cell r="E206" t="str">
            <v>MI01_POR</v>
          </cell>
          <cell r="F206" t="str">
            <v>MI01_POR</v>
          </cell>
          <cell r="G206" t="str">
            <v>MI01_FIX</v>
          </cell>
          <cell r="H206" t="str">
            <v>MC01_DWag</v>
          </cell>
          <cell r="I206" t="str">
            <v>MI01_FIX</v>
          </cell>
          <cell r="J206">
            <v>0</v>
          </cell>
          <cell r="K206" t="str">
            <v>CLUSTER</v>
          </cell>
        </row>
        <row r="207">
          <cell r="A207" t="str">
            <v>0610</v>
          </cell>
          <cell r="B207" t="str">
            <v>Cluster - Sales &amp; Marketing</v>
          </cell>
          <cell r="C207" t="str">
            <v>CLUSTER</v>
          </cell>
          <cell r="D207" t="str">
            <v>tpl_cluster</v>
          </cell>
          <cell r="E207" t="str">
            <v>MI01_POR</v>
          </cell>
          <cell r="F207" t="str">
            <v>MI01_POR</v>
          </cell>
          <cell r="G207" t="str">
            <v>MI01_FIX</v>
          </cell>
          <cell r="H207" t="str">
            <v>MC01_DWag</v>
          </cell>
          <cell r="I207" t="str">
            <v>MI01_FIX</v>
          </cell>
          <cell r="J207">
            <v>0</v>
          </cell>
          <cell r="K207" t="str">
            <v>CLUSTER</v>
          </cell>
        </row>
        <row r="208">
          <cell r="A208" t="str">
            <v>0611</v>
          </cell>
          <cell r="B208" t="str">
            <v>Cluster - Loss Prevention</v>
          </cell>
          <cell r="C208" t="str">
            <v>CLUSTER</v>
          </cell>
          <cell r="D208" t="str">
            <v>tpl_cluster</v>
          </cell>
          <cell r="E208" t="str">
            <v>MI01_POR</v>
          </cell>
          <cell r="F208" t="str">
            <v>MI01_POR</v>
          </cell>
          <cell r="G208" t="str">
            <v>MI01_FIX</v>
          </cell>
          <cell r="H208" t="str">
            <v>MC01_DWag</v>
          </cell>
          <cell r="I208" t="str">
            <v>MI01_FIX</v>
          </cell>
          <cell r="J208">
            <v>0</v>
          </cell>
          <cell r="K208" t="str">
            <v>CLUSTER</v>
          </cell>
        </row>
        <row r="209">
          <cell r="A209" t="str">
            <v>0612</v>
          </cell>
          <cell r="B209" t="str">
            <v>Cluster - Stores</v>
          </cell>
          <cell r="C209" t="str">
            <v>CLUSTER</v>
          </cell>
          <cell r="D209" t="str">
            <v>tpl_cluster</v>
          </cell>
          <cell r="E209" t="str">
            <v>MI01_POR</v>
          </cell>
          <cell r="F209" t="str">
            <v>MI01_POR</v>
          </cell>
          <cell r="G209" t="str">
            <v>MI01_FIX</v>
          </cell>
          <cell r="H209" t="str">
            <v>MC01_DWag</v>
          </cell>
          <cell r="I209" t="str">
            <v>MI01_FIX</v>
          </cell>
          <cell r="J209">
            <v>0</v>
          </cell>
          <cell r="K209" t="str">
            <v>CLUSTER</v>
          </cell>
        </row>
        <row r="210">
          <cell r="A210" t="str">
            <v>0613</v>
          </cell>
          <cell r="B210" t="str">
            <v>Cluster - Utilities</v>
          </cell>
          <cell r="C210" t="str">
            <v>CLUSTER</v>
          </cell>
          <cell r="D210" t="str">
            <v>tpl_cluster</v>
          </cell>
          <cell r="E210" t="str">
            <v>MI01_POR</v>
          </cell>
          <cell r="F210" t="str">
            <v>MI01_POR</v>
          </cell>
          <cell r="G210" t="str">
            <v>MI01_FIX</v>
          </cell>
          <cell r="H210" t="str">
            <v>MC01_DWag</v>
          </cell>
          <cell r="I210" t="str">
            <v>MI01_FIX</v>
          </cell>
          <cell r="J210">
            <v>0</v>
          </cell>
          <cell r="K210" t="str">
            <v>CLUSTER</v>
          </cell>
        </row>
        <row r="211">
          <cell r="A211" t="str">
            <v>0614</v>
          </cell>
          <cell r="B211" t="str">
            <v>Cluster - Guest Services</v>
          </cell>
          <cell r="C211" t="str">
            <v>CLUSTER</v>
          </cell>
          <cell r="D211" t="str">
            <v>tpl_cluster</v>
          </cell>
          <cell r="E211" t="str">
            <v>MI01_POR</v>
          </cell>
          <cell r="F211" t="str">
            <v>MI01_POR</v>
          </cell>
          <cell r="G211" t="str">
            <v>MI01_FIX</v>
          </cell>
          <cell r="H211" t="str">
            <v>MC01_DWag</v>
          </cell>
          <cell r="I211" t="str">
            <v>MI01_FIX</v>
          </cell>
          <cell r="J211">
            <v>0</v>
          </cell>
          <cell r="K211" t="str">
            <v>CLUSTER</v>
          </cell>
        </row>
        <row r="212">
          <cell r="A212" t="str">
            <v>0615</v>
          </cell>
          <cell r="B212" t="str">
            <v>Cluster - Revenue Management</v>
          </cell>
          <cell r="C212" t="str">
            <v>CLUSTER</v>
          </cell>
          <cell r="D212" t="str">
            <v>tpl_cluster</v>
          </cell>
          <cell r="E212" t="str">
            <v>MI01_POR</v>
          </cell>
          <cell r="F212" t="str">
            <v>MI01_POR</v>
          </cell>
          <cell r="G212" t="str">
            <v>MI01_FIX</v>
          </cell>
          <cell r="H212" t="str">
            <v>MC01_DWag</v>
          </cell>
          <cell r="I212" t="str">
            <v>MI01_FIX</v>
          </cell>
          <cell r="J212">
            <v>0</v>
          </cell>
          <cell r="K212" t="str">
            <v>CLUSTER</v>
          </cell>
        </row>
        <row r="213">
          <cell r="A213" t="str">
            <v>0616</v>
          </cell>
          <cell r="B213" t="str">
            <v>Cluster - eCommerce</v>
          </cell>
          <cell r="C213" t="str">
            <v>CLUSTER</v>
          </cell>
          <cell r="D213" t="str">
            <v>tpl_cluster</v>
          </cell>
          <cell r="E213" t="str">
            <v>MI01_POR</v>
          </cell>
          <cell r="F213" t="str">
            <v>MI01_POR</v>
          </cell>
          <cell r="G213" t="str">
            <v>MI01_FIX</v>
          </cell>
          <cell r="H213" t="str">
            <v>MC01_DWag</v>
          </cell>
          <cell r="I213" t="str">
            <v>MI01_FIX</v>
          </cell>
          <cell r="J213">
            <v>0</v>
          </cell>
          <cell r="K213" t="str">
            <v>CLUSTER</v>
          </cell>
        </row>
        <row r="214">
          <cell r="A214" t="str">
            <v>0617</v>
          </cell>
          <cell r="B214" t="str">
            <v>Cluster Payroll</v>
          </cell>
          <cell r="C214" t="str">
            <v>CLUSTER</v>
          </cell>
          <cell r="D214" t="str">
            <v>tpl_cluster</v>
          </cell>
          <cell r="E214" t="str">
            <v>MI01_POR</v>
          </cell>
          <cell r="F214" t="str">
            <v>MI01_POR</v>
          </cell>
          <cell r="G214" t="str">
            <v>MI01_FIX</v>
          </cell>
          <cell r="H214" t="str">
            <v>MC01_DWag</v>
          </cell>
          <cell r="I214" t="str">
            <v>MI01_FIX</v>
          </cell>
          <cell r="J214">
            <v>0</v>
          </cell>
          <cell r="K214" t="str">
            <v>CLUSTER</v>
          </cell>
        </row>
        <row r="215">
          <cell r="A215" t="str">
            <v>0618</v>
          </cell>
          <cell r="B215" t="str">
            <v>Cluster Proactive Sales</v>
          </cell>
          <cell r="C215" t="str">
            <v>CLUSTER</v>
          </cell>
          <cell r="D215" t="str">
            <v>tpl_cluster</v>
          </cell>
          <cell r="E215" t="str">
            <v>MI01_POR</v>
          </cell>
          <cell r="F215" t="str">
            <v>MI01_POR</v>
          </cell>
          <cell r="G215" t="str">
            <v>MI01_FIX</v>
          </cell>
          <cell r="H215" t="str">
            <v>MC01_DWag</v>
          </cell>
          <cell r="I215" t="str">
            <v>MI01_FIX</v>
          </cell>
          <cell r="J215">
            <v>0</v>
          </cell>
          <cell r="K215" t="str">
            <v>CLUSTER</v>
          </cell>
        </row>
        <row r="216">
          <cell r="A216" t="str">
            <v>0619</v>
          </cell>
          <cell r="B216" t="str">
            <v>Cluster Reservations 2</v>
          </cell>
          <cell r="C216" t="str">
            <v>CLUSTER</v>
          </cell>
          <cell r="D216" t="str">
            <v>tpl_cluster</v>
          </cell>
          <cell r="E216" t="str">
            <v>MI01_POR</v>
          </cell>
          <cell r="F216" t="str">
            <v>MI01_POR</v>
          </cell>
          <cell r="G216" t="str">
            <v>MI01_FIX</v>
          </cell>
          <cell r="H216" t="str">
            <v>MC01_DWag</v>
          </cell>
          <cell r="I216" t="str">
            <v>MI01_FIX</v>
          </cell>
          <cell r="J216">
            <v>0</v>
          </cell>
          <cell r="K216" t="str">
            <v>CLUSTER</v>
          </cell>
        </row>
        <row r="217">
          <cell r="A217" t="str">
            <v>0620</v>
          </cell>
          <cell r="B217" t="str">
            <v>Cluster IT 2</v>
          </cell>
          <cell r="C217" t="str">
            <v>CLUSTER</v>
          </cell>
          <cell r="D217" t="str">
            <v>tpl_cluster</v>
          </cell>
          <cell r="E217" t="str">
            <v>MI01_POR</v>
          </cell>
          <cell r="F217" t="str">
            <v>MI01_POR</v>
          </cell>
          <cell r="G217" t="str">
            <v>MI01_FIX</v>
          </cell>
          <cell r="H217" t="str">
            <v>MC01_DWag</v>
          </cell>
          <cell r="I217" t="str">
            <v>MI01_FIX</v>
          </cell>
          <cell r="J217">
            <v>0</v>
          </cell>
          <cell r="K217" t="str">
            <v>CLUSTER</v>
          </cell>
        </row>
        <row r="218">
          <cell r="A218" t="str">
            <v>0621</v>
          </cell>
          <cell r="B218" t="str">
            <v>Cluster Procurement 2</v>
          </cell>
          <cell r="C218" t="str">
            <v>CLUSTER</v>
          </cell>
          <cell r="D218" t="str">
            <v>tpl_cluster</v>
          </cell>
          <cell r="E218" t="str">
            <v>MI01_POR</v>
          </cell>
          <cell r="F218" t="str">
            <v>MI01_POR</v>
          </cell>
          <cell r="G218" t="str">
            <v>MI01_FIX</v>
          </cell>
          <cell r="H218" t="str">
            <v>MC01_DWag</v>
          </cell>
          <cell r="I218" t="str">
            <v>MI01_FIX</v>
          </cell>
          <cell r="J218">
            <v>0</v>
          </cell>
          <cell r="K218" t="str">
            <v>CLUSTER</v>
          </cell>
        </row>
        <row r="219">
          <cell r="A219" t="str">
            <v>0622</v>
          </cell>
          <cell r="B219" t="str">
            <v>Cluster Revenue Management 2</v>
          </cell>
          <cell r="C219" t="str">
            <v>CLUSTER</v>
          </cell>
          <cell r="D219" t="str">
            <v>tpl_cluster</v>
          </cell>
          <cell r="E219" t="str">
            <v>MI01_POR</v>
          </cell>
          <cell r="F219" t="str">
            <v>MI01_POR</v>
          </cell>
          <cell r="G219" t="str">
            <v>MI01_FIX</v>
          </cell>
          <cell r="H219" t="str">
            <v>MC01_DWag</v>
          </cell>
          <cell r="I219" t="str">
            <v>MI01_FIX</v>
          </cell>
          <cell r="J219">
            <v>0</v>
          </cell>
          <cell r="K219" t="str">
            <v>CLUSTER</v>
          </cell>
        </row>
        <row r="220">
          <cell r="A220" t="str">
            <v>0623</v>
          </cell>
          <cell r="B220" t="str">
            <v>Cluster Food and Beverage</v>
          </cell>
          <cell r="C220" t="str">
            <v>CLUSTER</v>
          </cell>
          <cell r="D220" t="str">
            <v>tpl_cluster</v>
          </cell>
          <cell r="E220" t="str">
            <v>MI01_POR</v>
          </cell>
          <cell r="F220" t="str">
            <v>MI01_POR</v>
          </cell>
          <cell r="G220" t="str">
            <v>MI01_FIX</v>
          </cell>
          <cell r="H220" t="str">
            <v>MC01_DWag</v>
          </cell>
          <cell r="I220" t="str">
            <v>MI01_FIX</v>
          </cell>
          <cell r="J220">
            <v>0</v>
          </cell>
          <cell r="K220" t="str">
            <v>CLUSTER</v>
          </cell>
        </row>
        <row r="221">
          <cell r="A221" t="str">
            <v>0624</v>
          </cell>
          <cell r="B221" t="str">
            <v>Cluster Front Office</v>
          </cell>
          <cell r="C221" t="str">
            <v>CLUSTER</v>
          </cell>
          <cell r="D221" t="str">
            <v>tpl_cluster</v>
          </cell>
          <cell r="E221" t="str">
            <v>MI01_POR</v>
          </cell>
          <cell r="F221" t="str">
            <v>MI01_POR</v>
          </cell>
          <cell r="G221" t="str">
            <v>MI01_FIX</v>
          </cell>
          <cell r="H221" t="str">
            <v>MC01_DWag</v>
          </cell>
          <cell r="I221" t="str">
            <v>MI01_FIX</v>
          </cell>
          <cell r="J221">
            <v>0</v>
          </cell>
          <cell r="K221" t="str">
            <v>CLUSTER</v>
          </cell>
        </row>
        <row r="222">
          <cell r="A222" t="str">
            <v>0625</v>
          </cell>
          <cell r="B222" t="str">
            <v>Cluster Housekeeping</v>
          </cell>
          <cell r="C222" t="str">
            <v>CLUSTER</v>
          </cell>
          <cell r="D222" t="str">
            <v>tpl_cluster</v>
          </cell>
          <cell r="E222" t="str">
            <v>MI01_POR</v>
          </cell>
          <cell r="F222" t="str">
            <v>MI01_POR</v>
          </cell>
          <cell r="G222" t="str">
            <v>MI01_FIX</v>
          </cell>
          <cell r="H222" t="str">
            <v>MC01_DWag</v>
          </cell>
          <cell r="I222" t="str">
            <v>MI01_FIX</v>
          </cell>
          <cell r="J222">
            <v>0</v>
          </cell>
          <cell r="K222" t="str">
            <v>CLUSTER</v>
          </cell>
        </row>
      </sheetData>
      <sheetData sheetId="92"/>
      <sheetData sheetId="93"/>
    </sheetDataSet>
  </externalBook>
</externalLink>
</file>

<file path=xl/tables/table1.xml><?xml version="1.0" encoding="utf-8"?>
<table xmlns="http://schemas.openxmlformats.org/spreadsheetml/2006/main" id="1" name="Table13" displayName="Table13" ref="C3:L12" headerRowCount="1" totalsRowCount="1" headerRowDxfId="28" dataDxfId="27" totalsRowDxfId="26">
  <tableColumns count="10">
    <tableColumn id="1" name="PRODUCT" totalsRowLabel="Total" dataDxfId="25" totalsRowDxfId="24"/>
    <tableColumn id="2" name="Vendor" dataDxfId="23" totalsRowDxfId="22"/>
    <tableColumn id="3" name="Plan Name" dataDxfId="21" totalsRowDxfId="20"/>
    <tableColumn id="4" name="Cost Link" dataDxfId="19" totalsRowDxfId="18"/>
    <tableColumn id="5" name="Cost Unit" dataDxfId="17" totalsRowDxfId="16"/>
    <tableColumn id="6" name="Cost Unit Number" dataDxfId="15" totalsRowDxfId="14"/>
    <tableColumn id="7" name="Cost Per Month" dataDxfId="13" totalsRowDxfId="12" dataCellStyle="Currency"/>
    <tableColumn id="10" name=" " dataDxfId="11" totalsRowDxfId="10" dataCellStyle="Currency"/>
    <tableColumn id="8" name="Annual Cost_x000a_(Unit X Month)" totalsRowFunction="sum" dataDxfId="9" totalsRowDxfId="8" dataCellStyle="Currency">
      <calculatedColumnFormula>Table13[[#This Row],[Cost Per Month]]*12*Table13[[#This Row],[Cost Unit Number]]</calculatedColumnFormula>
    </tableColumn>
    <tableColumn id="9" name=" 2" dataDxfId="7" totalsRowDxfId="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reshworks.com/live-chat-software/pricing/" TargetMode="External" Id="rId1"/><Relationship Type="http://schemas.openxmlformats.org/officeDocument/2006/relationships/hyperlink" Target="https://freshdesk.com/helpdesk-features" TargetMode="External" Id="rId2"/><Relationship Type="http://schemas.openxmlformats.org/officeDocument/2006/relationships/hyperlink" Target="https://freshdesk.com/pricing" TargetMode="External" Id="rId3"/><Relationship Type="http://schemas.openxmlformats.org/officeDocument/2006/relationships/hyperlink" Target="https://freshdesk.com/pricing" TargetMode="External" Id="rId4"/><Relationship Type="http://schemas.openxmlformats.org/officeDocument/2006/relationships/hyperlink" Target="https://hconnect.io/" TargetMode="External" Id="rId5"/><Relationship Type="http://schemas.openxmlformats.org/officeDocument/2006/relationships/hyperlink" Target="https://www.chargebee.com/pricing/?ref=navbar" TargetMode="External" Id="rId6"/><Relationship Type="http://schemas.openxmlformats.org/officeDocument/2006/relationships/table" Target="/xl/tables/table1.xml" Id="rId7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B4:K47"/>
  <sheetViews>
    <sheetView showGridLines="0" topLeftCell="A6" zoomScale="82" zoomScaleNormal="82" workbookViewId="0">
      <selection activeCell="D46" sqref="D46"/>
    </sheetView>
  </sheetViews>
  <sheetFormatPr baseColWidth="10" defaultColWidth="12.5" defaultRowHeight="13"/>
  <cols>
    <col width="13.6640625" customWidth="1" style="2" min="1" max="1"/>
    <col width="3.5" customWidth="1" style="2" min="2" max="2"/>
    <col width="44.83203125" customWidth="1" style="2" min="3" max="5"/>
    <col width="53.1640625" customWidth="1" style="2" min="6" max="6"/>
    <col width="44.83203125" customWidth="1" style="2" min="7" max="8"/>
    <col width="2.5" customWidth="1" style="2" min="9" max="9"/>
    <col width="0.83203125" customWidth="1" style="2" min="10" max="10"/>
    <col width="12.5" customWidth="1" style="2" min="11" max="16384"/>
  </cols>
  <sheetData>
    <row r="3" ht="14" customHeight="1" thickBot="1"/>
    <row r="4">
      <c r="B4" s="34" t="n"/>
      <c r="C4" s="35" t="n"/>
      <c r="D4" s="35" t="n"/>
      <c r="E4" s="35" t="n"/>
      <c r="F4" s="35" t="n"/>
      <c r="G4" s="35" t="n"/>
      <c r="H4" s="36" t="n"/>
      <c r="I4" s="37" t="n"/>
      <c r="J4" s="1" t="n"/>
      <c r="K4" s="1" t="n"/>
    </row>
    <row r="5">
      <c r="B5" s="38" t="n"/>
      <c r="C5" s="3" t="n"/>
      <c r="D5" s="4" t="n"/>
      <c r="E5" s="4" t="n"/>
      <c r="F5" s="4" t="n"/>
      <c r="G5" s="4" t="n"/>
      <c r="H5" s="5" t="n"/>
      <c r="I5" s="42" t="n"/>
      <c r="J5" s="1" t="n"/>
      <c r="K5" s="1" t="n"/>
    </row>
    <row r="6" ht="62" customHeight="1">
      <c r="B6" s="38" t="n"/>
      <c r="C6" s="6" t="n"/>
      <c r="D6" s="933" t="inlineStr">
        <is>
          <t xml:space="preserve"> </t>
        </is>
      </c>
      <c r="H6" s="7" t="n"/>
      <c r="I6" s="42" t="n"/>
      <c r="J6" s="1" t="n"/>
      <c r="K6" s="1" t="n"/>
    </row>
    <row r="7" ht="37" customHeight="1">
      <c r="B7" s="38" t="n"/>
      <c r="C7" s="6" t="n"/>
      <c r="H7" s="7" t="n"/>
      <c r="I7" s="42" t="n"/>
      <c r="J7" s="1" t="n"/>
      <c r="K7" s="1" t="n"/>
    </row>
    <row r="8" ht="37" customHeight="1">
      <c r="B8" s="38" t="n"/>
      <c r="C8" s="6" t="n"/>
      <c r="H8" s="7" t="n"/>
      <c r="I8" s="42" t="n"/>
      <c r="J8" s="1" t="n"/>
      <c r="K8" s="1" t="n"/>
    </row>
    <row r="9" ht="37" customHeight="1">
      <c r="B9" s="38" t="n"/>
      <c r="C9" s="6" t="n"/>
      <c r="H9" s="7" t="n"/>
      <c r="I9" s="42" t="n"/>
      <c r="J9" s="1" t="n"/>
      <c r="K9" s="1" t="n"/>
    </row>
    <row r="10" ht="37" customHeight="1">
      <c r="B10" s="38" t="n"/>
      <c r="C10" s="6" t="n"/>
      <c r="H10" s="7" t="n"/>
      <c r="I10" s="42" t="n"/>
      <c r="J10" s="1" t="n"/>
      <c r="K10" s="1" t="n"/>
    </row>
    <row r="11" ht="37" customHeight="1">
      <c r="B11" s="38" t="n"/>
      <c r="C11" s="6" t="n"/>
      <c r="H11" s="7" t="n"/>
      <c r="I11" s="42" t="n"/>
      <c r="J11" s="1" t="n"/>
      <c r="K11" s="1" t="n"/>
    </row>
    <row r="12" ht="37" customHeight="1">
      <c r="B12" s="38" t="n"/>
      <c r="C12" s="6" t="n"/>
      <c r="H12" s="7" t="n"/>
      <c r="I12" s="42" t="n"/>
      <c r="J12" s="1" t="n"/>
      <c r="K12" s="1" t="n"/>
    </row>
    <row r="13" ht="37" customHeight="1">
      <c r="B13" s="38" t="n"/>
      <c r="C13" s="6" t="n"/>
      <c r="H13" s="7" t="n"/>
      <c r="I13" s="42" t="n"/>
      <c r="J13" s="1" t="n"/>
      <c r="K13" s="1" t="n"/>
    </row>
    <row r="14" ht="37" customHeight="1">
      <c r="B14" s="38" t="n"/>
      <c r="C14" s="6" t="n"/>
      <c r="H14" s="7" t="n"/>
      <c r="I14" s="42" t="n"/>
      <c r="J14" s="1" t="n"/>
      <c r="K14" s="1" t="n"/>
    </row>
    <row r="15" ht="37" customHeight="1">
      <c r="B15" s="38" t="n"/>
      <c r="C15" s="6" t="n"/>
      <c r="H15" s="7" t="n"/>
      <c r="I15" s="42" t="n"/>
      <c r="J15" s="1" t="n"/>
      <c r="K15" s="1" t="n"/>
    </row>
    <row r="16" ht="37" customHeight="1">
      <c r="B16" s="38" t="n"/>
      <c r="C16" s="6" t="n"/>
      <c r="H16" s="7" t="n"/>
      <c r="I16" s="42" t="n"/>
      <c r="J16" s="1" t="n"/>
      <c r="K16" s="1" t="n"/>
    </row>
    <row r="17" ht="37" customHeight="1">
      <c r="B17" s="38" t="n"/>
      <c r="C17" s="6" t="n"/>
      <c r="H17" s="7" t="n"/>
      <c r="I17" s="42" t="n"/>
      <c r="J17" s="1" t="n"/>
      <c r="K17" s="1" t="n"/>
    </row>
    <row r="18" ht="37" customHeight="1">
      <c r="B18" s="38" t="n"/>
      <c r="C18" s="6" t="n"/>
      <c r="D18" s="22" t="inlineStr">
        <is>
          <t xml:space="preserve"> </t>
        </is>
      </c>
      <c r="E18" s="22" t="n"/>
      <c r="F18" s="22" t="n"/>
      <c r="G18" s="22" t="n"/>
      <c r="H18" s="7" t="n"/>
      <c r="I18" s="42" t="n"/>
      <c r="J18" s="1" t="n"/>
      <c r="K18" s="1" t="n"/>
    </row>
    <row r="19" ht="37" customHeight="1">
      <c r="B19" s="38" t="n"/>
      <c r="C19" s="6" t="n"/>
      <c r="D19" s="23" t="inlineStr">
        <is>
          <t xml:space="preserve"> </t>
        </is>
      </c>
      <c r="E19" s="23" t="n"/>
      <c r="F19" s="23" t="n"/>
      <c r="G19" s="23" t="n"/>
      <c r="H19" s="7" t="n"/>
      <c r="I19" s="42" t="n"/>
      <c r="J19" s="1" t="n"/>
      <c r="K19" s="1" t="n"/>
    </row>
    <row r="20" ht="37" customHeight="1">
      <c r="B20" s="38" t="n"/>
      <c r="C20" s="6" t="n"/>
      <c r="D20" s="24" t="inlineStr">
        <is>
          <t xml:space="preserve"> </t>
        </is>
      </c>
      <c r="E20" s="24" t="n"/>
      <c r="F20" s="24" t="n"/>
      <c r="G20" s="24" t="n"/>
      <c r="H20" s="7" t="n"/>
      <c r="I20" s="42" t="n"/>
      <c r="J20" s="1" t="n"/>
      <c r="K20" s="1" t="n"/>
    </row>
    <row r="21" ht="37" customHeight="1">
      <c r="B21" s="38" t="n"/>
      <c r="C21" s="6" t="n"/>
      <c r="G21" s="8" t="n"/>
      <c r="H21" s="7" t="n"/>
      <c r="I21" s="42" t="n"/>
      <c r="J21" s="1" t="n"/>
      <c r="K21" s="1" t="n"/>
    </row>
    <row r="22" ht="37" customHeight="1">
      <c r="B22" s="38" t="n"/>
      <c r="C22" s="6" t="n"/>
      <c r="H22" s="7" t="n"/>
      <c r="I22" s="42" t="n"/>
      <c r="J22" s="1" t="n"/>
      <c r="K22" s="1" t="n"/>
    </row>
    <row r="23" ht="37" customHeight="1">
      <c r="B23" s="38" t="n"/>
      <c r="C23" s="6" t="n"/>
      <c r="H23" s="7" t="n"/>
      <c r="I23" s="42" t="n"/>
      <c r="J23" s="1" t="n"/>
      <c r="K23" s="1" t="n"/>
    </row>
    <row r="24" ht="37" customHeight="1">
      <c r="B24" s="38" t="n"/>
      <c r="C24" s="6" t="n"/>
      <c r="H24" s="7" t="n"/>
      <c r="I24" s="42" t="n"/>
      <c r="J24" s="1" t="n"/>
      <c r="K24" s="1" t="n"/>
    </row>
    <row r="25">
      <c r="B25" s="38" t="n"/>
      <c r="C25" s="6" t="n"/>
      <c r="H25" s="7" t="n"/>
      <c r="I25" s="42" t="n"/>
      <c r="J25" s="1" t="n"/>
      <c r="K25" s="1" t="n"/>
    </row>
    <row r="26">
      <c r="B26" s="38" t="n"/>
      <c r="C26" s="6" t="n"/>
      <c r="H26" s="7" t="n"/>
      <c r="I26" s="42" t="n"/>
      <c r="J26" s="1" t="n"/>
      <c r="K26" s="1" t="n"/>
    </row>
    <row r="27">
      <c r="B27" s="38" t="n"/>
      <c r="C27" s="6" t="n"/>
      <c r="D27" s="931" t="inlineStr">
        <is>
          <t xml:space="preserve"> </t>
        </is>
      </c>
      <c r="H27" s="7" t="n"/>
      <c r="I27" s="42" t="n"/>
      <c r="J27" s="1" t="n"/>
      <c r="K27" s="1" t="n"/>
    </row>
    <row r="28" ht="31" customHeight="1">
      <c r="B28" s="38" t="n"/>
      <c r="C28" s="6" t="n"/>
      <c r="D28" s="932" t="inlineStr">
        <is>
          <t xml:space="preserve">The foregoing information is based upon a variety of assumptions and estimates. </t>
        </is>
      </c>
      <c r="H28" s="7" t="n"/>
      <c r="I28" s="42" t="n"/>
      <c r="J28" s="1" t="n"/>
      <c r="K28" s="1" t="n"/>
    </row>
    <row r="29" ht="18" customHeight="1">
      <c r="B29" s="38" t="n"/>
      <c r="C29" s="6" t="n"/>
      <c r="D29" s="930" t="inlineStr">
        <is>
          <t>There can be no assurance that the projections stated will be realized. Actual results may vary significantly from those shown.</t>
        </is>
      </c>
      <c r="H29" s="7" t="n"/>
      <c r="I29" s="42" t="n"/>
      <c r="J29" s="1" t="n"/>
      <c r="K29" s="1" t="n"/>
    </row>
    <row r="30">
      <c r="B30" s="38" t="n"/>
      <c r="C30" s="6" t="n"/>
      <c r="H30" s="7" t="n"/>
      <c r="I30" s="42" t="n"/>
      <c r="J30" s="1" t="n"/>
      <c r="K30" s="1" t="n"/>
    </row>
    <row r="31">
      <c r="B31" s="38" t="n"/>
      <c r="C31" s="9" t="n"/>
      <c r="D31" s="10" t="n"/>
      <c r="E31" s="10" t="n"/>
      <c r="F31" s="10" t="n"/>
      <c r="G31" s="10" t="n"/>
      <c r="H31" s="11" t="n"/>
      <c r="I31" s="42" t="n"/>
      <c r="J31" s="1" t="n"/>
      <c r="K31" s="1" t="n"/>
    </row>
    <row r="32" ht="14" customHeight="1" thickBot="1">
      <c r="B32" s="39" t="n"/>
      <c r="C32" s="40" t="n"/>
      <c r="D32" s="40" t="n"/>
      <c r="E32" s="40" t="n"/>
      <c r="F32" s="40" t="n"/>
      <c r="G32" s="40" t="n"/>
      <c r="H32" s="40" t="n"/>
      <c r="I32" s="41" t="n"/>
      <c r="J32" s="1" t="n"/>
      <c r="K32" s="1" t="n"/>
    </row>
    <row r="47">
      <c r="E47" s="84" t="n"/>
    </row>
  </sheetData>
  <mergeCells count="4">
    <mergeCell ref="D27:G27"/>
    <mergeCell ref="D29:G30"/>
    <mergeCell ref="D6:G6"/>
    <mergeCell ref="D28:G28"/>
  </mergeCells>
  <printOptions horizontalCentered="1" verticalCentered="1"/>
  <pageMargins left="0.7" right="0.7" top="0.75" bottom="0.75" header="0.3" footer="0.3"/>
  <pageSetup orientation="landscape" scale="38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Q55"/>
  <sheetViews>
    <sheetView showGridLines="0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9" sqref="C9:C11"/>
    </sheetView>
  </sheetViews>
  <sheetFormatPr baseColWidth="10" defaultColWidth="11.5" defaultRowHeight="15"/>
  <cols>
    <col width="38.83203125" customWidth="1" min="3" max="6"/>
    <col width="79.1640625" customWidth="1" min="7" max="7"/>
    <col width="34.1640625" bestFit="1" customWidth="1" min="8" max="8"/>
    <col width="17.83203125" customWidth="1" min="9" max="17"/>
  </cols>
  <sheetData>
    <row r="1" ht="15" customHeight="1" thickBot="1"/>
    <row r="2" ht="62" customHeight="1" thickBot="1">
      <c r="D2" s="254" t="inlineStr">
        <is>
          <t>Product Item</t>
        </is>
      </c>
      <c r="E2" s="255" t="inlineStr">
        <is>
          <t>Spark</t>
        </is>
      </c>
      <c r="F2" s="256" t="inlineStr">
        <is>
          <t>Spark +</t>
        </is>
      </c>
      <c r="G2" s="257" t="inlineStr">
        <is>
          <t>Blaze</t>
        </is>
      </c>
      <c r="H2" s="258" t="inlineStr">
        <is>
          <t>Internal Notes</t>
        </is>
      </c>
      <c r="I2" s="184" t="inlineStr">
        <is>
          <t>Availability</t>
        </is>
      </c>
    </row>
    <row r="3" ht="93" customHeight="1" thickBot="1">
      <c r="D3" s="259" t="inlineStr">
        <is>
          <t>Description</t>
        </is>
      </c>
      <c r="E3" s="260" t="inlineStr">
        <is>
          <t>Small operations, such as start ups, single tenant</t>
        </is>
      </c>
      <c r="F3" s="631" t="inlineStr">
        <is>
          <t>Small operations that need a bit more configuration to drive usage, Single Tenant</t>
        </is>
      </c>
      <c r="G3" s="260" t="inlineStr">
        <is>
          <t>Core offering, Tentant, and Sub-tenant</t>
        </is>
      </c>
      <c r="H3" s="261" t="inlineStr">
        <is>
          <t>Enterprise, Organization, Department</t>
        </is>
      </c>
      <c r="N3" s="32" t="n"/>
      <c r="O3" s="32" t="n"/>
      <c r="P3" s="32" t="n"/>
      <c r="Q3" s="32" t="n"/>
    </row>
    <row r="4" ht="59" customHeight="1">
      <c r="B4" s="1110" t="inlineStr">
        <is>
          <t>Reoccuring</t>
        </is>
      </c>
      <c r="C4" s="1111" t="inlineStr">
        <is>
          <t>Base</t>
        </is>
      </c>
      <c r="D4" s="262" t="inlineStr">
        <is>
          <t>Licensing</t>
        </is>
      </c>
      <c r="E4" s="574" t="inlineStr">
        <is>
          <t>User</t>
        </is>
      </c>
      <c r="F4" s="632" t="inlineStr">
        <is>
          <t>User</t>
        </is>
      </c>
      <c r="G4" s="574" t="inlineStr">
        <is>
          <t>Site + 2 Users</t>
        </is>
      </c>
      <c r="H4" s="575" t="inlineStr">
        <is>
          <t>Site + Users</t>
        </is>
      </c>
    </row>
    <row r="5" ht="59" customHeight="1" thickBot="1">
      <c r="B5" s="359" t="n"/>
      <c r="C5" s="1112" t="n"/>
      <c r="D5" s="263" t="inlineStr">
        <is>
          <t xml:space="preserve">Reoccurring fee </t>
        </is>
      </c>
      <c r="E5" s="576" t="inlineStr">
        <is>
          <t xml:space="preserve"> </t>
        </is>
      </c>
      <c r="F5" s="633" t="inlineStr">
        <is>
          <t xml:space="preserve"> </t>
        </is>
      </c>
      <c r="G5" s="577" t="inlineStr">
        <is>
          <t xml:space="preserve"> </t>
        </is>
      </c>
      <c r="H5" s="578" t="inlineStr">
        <is>
          <t xml:space="preserve"> </t>
        </is>
      </c>
    </row>
    <row r="6" ht="59" customHeight="1">
      <c r="B6" s="359" t="n"/>
      <c r="C6" s="1113" t="inlineStr">
        <is>
          <t>Support</t>
        </is>
      </c>
      <c r="D6" s="264" t="inlineStr">
        <is>
          <t>Support</t>
        </is>
      </c>
      <c r="E6" s="579" t="inlineStr">
        <is>
          <t>E-mail, Chat</t>
        </is>
      </c>
      <c r="F6" s="634" t="inlineStr">
        <is>
          <t>E-mail, Chat</t>
        </is>
      </c>
      <c r="G6" s="580" t="inlineStr">
        <is>
          <t>Call, E-mail, Chat</t>
        </is>
      </c>
      <c r="H6" s="581" t="inlineStr">
        <is>
          <t xml:space="preserve"> </t>
        </is>
      </c>
    </row>
    <row r="7" ht="59" customHeight="1">
      <c r="B7" s="359" t="n"/>
      <c r="D7" s="264" t="inlineStr">
        <is>
          <t>Support Guidelines</t>
        </is>
      </c>
      <c r="E7" s="582" t="inlineStr">
        <is>
          <t>E-mail 8:00 am ET - 8:00 pm ET, Chat: 8:00am  ET- 8 pm ET</t>
        </is>
      </c>
      <c r="F7" s="635" t="inlineStr">
        <is>
          <t>E-mail 8:00 am ET - 8:00 pm ET, Chat: 8:00am  ET- 8 pm ET</t>
        </is>
      </c>
      <c r="G7" s="583" t="inlineStr">
        <is>
          <t>E-mail 8:00 am ET - 8:00 pm ET, Chat: 24 hr.,  Call: Customer Success 8:00 ET - 8:00 pm ET</t>
        </is>
      </c>
      <c r="H7" s="581" t="n"/>
    </row>
    <row r="8" ht="59" customHeight="1" thickBot="1">
      <c r="B8" s="1114" t="n"/>
      <c r="C8" s="1115" t="n"/>
      <c r="D8" s="265" t="inlineStr">
        <is>
          <t>Support Fee</t>
        </is>
      </c>
      <c r="E8" s="1116" t="n">
        <v>50</v>
      </c>
      <c r="F8" s="678" t="n"/>
      <c r="G8" s="1117" t="n">
        <v>100</v>
      </c>
      <c r="H8" s="581" t="n"/>
    </row>
    <row r="9" ht="59" customHeight="1">
      <c r="B9" s="1118" t="inlineStr">
        <is>
          <t>One Time</t>
        </is>
      </c>
      <c r="C9" s="1119" t="inlineStr">
        <is>
          <t>Configuration</t>
        </is>
      </c>
      <c r="D9" s="266" t="inlineStr">
        <is>
          <t>Configuration</t>
        </is>
      </c>
      <c r="E9" s="584" t="inlineStr">
        <is>
          <t>Limited Functionality, Templatized</t>
        </is>
      </c>
      <c r="F9" s="636" t="inlineStr">
        <is>
          <t>Limited, Functionality, templatized by industry, small configuration to enable user experience</t>
        </is>
      </c>
      <c r="G9" s="585" t="inlineStr">
        <is>
          <t>Full Functionality, configured for the organization</t>
        </is>
      </c>
      <c r="H9" s="586" t="inlineStr">
        <is>
          <t xml:space="preserve">  </t>
        </is>
      </c>
    </row>
    <row r="10" ht="59" customHeight="1">
      <c r="B10" s="359" t="n"/>
      <c r="C10" s="1120" t="n"/>
      <c r="D10" s="267" t="inlineStr">
        <is>
          <t>Configuration Guidelines</t>
        </is>
      </c>
      <c r="E10" s="587" t="n"/>
      <c r="F10" s="637" t="n"/>
      <c r="G10" s="588" t="inlineStr">
        <is>
          <t xml:space="preserve">First four hours included in fee, additional fees- One Time Fee </t>
        </is>
      </c>
      <c r="H10" s="589" t="n"/>
    </row>
    <row r="11" ht="59" customHeight="1" thickBot="1">
      <c r="B11" s="359" t="n"/>
      <c r="C11" s="1112" t="n"/>
      <c r="D11" s="268" t="inlineStr">
        <is>
          <t>Configuration Fee</t>
        </is>
      </c>
      <c r="E11" s="590" t="inlineStr">
        <is>
          <t>N/A</t>
        </is>
      </c>
      <c r="F11" s="676" t="inlineStr">
        <is>
          <t>$250 hourly rate</t>
        </is>
      </c>
      <c r="G11" s="574" t="inlineStr">
        <is>
          <t>$250 hourly rate</t>
        </is>
      </c>
      <c r="H11" s="589" t="n"/>
    </row>
    <row r="12" ht="59" customHeight="1">
      <c r="B12" s="359" t="n"/>
      <c r="C12" s="1119" t="inlineStr">
        <is>
          <t>On-boarding</t>
        </is>
      </c>
      <c r="D12" s="266" t="inlineStr">
        <is>
          <t>Onboarding- User Training</t>
        </is>
      </c>
      <c r="E12" s="584" t="inlineStr">
        <is>
          <t>User Experience</t>
        </is>
      </c>
      <c r="F12" s="636" t="inlineStr">
        <is>
          <t>Wizardry, with the ability to purchase hours- E-training</t>
        </is>
      </c>
      <c r="G12" s="591" t="inlineStr">
        <is>
          <t>Up to 10 ppl per session, Two 1-hour sessions- E-training</t>
        </is>
      </c>
      <c r="H12" s="586" t="inlineStr">
        <is>
          <t xml:space="preserve"> </t>
        </is>
      </c>
    </row>
    <row r="13" ht="49" customHeight="1" thickBot="1">
      <c r="B13" s="359" t="n"/>
      <c r="C13" s="1120" t="n"/>
      <c r="D13" s="269" t="inlineStr">
        <is>
          <t>Onboarding- User Training Fee</t>
        </is>
      </c>
      <c r="E13" s="587" t="inlineStr">
        <is>
          <t>N/A</t>
        </is>
      </c>
      <c r="F13" s="637" t="inlineStr">
        <is>
          <t>$200 per hour</t>
        </is>
      </c>
      <c r="G13" s="588" t="inlineStr">
        <is>
          <t>$600 per session</t>
        </is>
      </c>
      <c r="H13" s="589" t="n"/>
    </row>
    <row r="14" ht="97" customHeight="1">
      <c r="B14" s="359" t="n"/>
      <c r="C14" s="1120" t="n"/>
      <c r="D14" s="270" t="inlineStr">
        <is>
          <t>Onboarding- Administrator</t>
        </is>
      </c>
      <c r="E14" s="584" t="inlineStr">
        <is>
          <t>Templatized</t>
        </is>
      </c>
      <c r="F14" s="636" t="inlineStr">
        <is>
          <t>wizardry, with the ability to purchase hours</t>
        </is>
      </c>
      <c r="G14" s="591" t="inlineStr">
        <is>
          <t>On-boarding training of Administrators, up to 3 administrators, Three 1-hour sessions</t>
        </is>
      </c>
      <c r="H14" s="586" t="inlineStr">
        <is>
          <t xml:space="preserve"> </t>
        </is>
      </c>
    </row>
    <row r="15" ht="93" customHeight="1" thickBot="1">
      <c r="B15" s="359" t="n"/>
      <c r="C15" s="1112" t="n"/>
      <c r="D15" s="269" t="inlineStr">
        <is>
          <t>Onboarding- Administrator Fee</t>
        </is>
      </c>
      <c r="E15" s="587" t="inlineStr">
        <is>
          <t>N/A</t>
        </is>
      </c>
      <c r="F15" s="637" t="inlineStr">
        <is>
          <t>$200 per hour</t>
        </is>
      </c>
      <c r="G15" s="588" t="inlineStr">
        <is>
          <t>$600 per session</t>
        </is>
      </c>
      <c r="H15" s="589" t="n"/>
    </row>
    <row r="16" ht="49" customHeight="1">
      <c r="B16" s="359" t="n"/>
      <c r="C16" s="949" t="inlineStr">
        <is>
          <t xml:space="preserve">Import </t>
        </is>
      </c>
      <c r="D16" s="266" t="inlineStr">
        <is>
          <t>Import</t>
        </is>
      </c>
      <c r="E16" s="592" t="inlineStr">
        <is>
          <t>spreadsheet mapping</t>
        </is>
      </c>
      <c r="F16" s="680" t="inlineStr">
        <is>
          <t>API- Configuration tool (ETL)- DOMO</t>
        </is>
      </c>
      <c r="G16" s="580" t="inlineStr">
        <is>
          <t>API- We Build, $100 per hour</t>
        </is>
      </c>
      <c r="H16" s="586" t="inlineStr">
        <is>
          <t xml:space="preserve"> </t>
        </is>
      </c>
    </row>
    <row r="17" ht="77" customHeight="1" thickBot="1">
      <c r="B17" s="1114" t="n"/>
      <c r="C17" s="1115" t="n"/>
      <c r="D17" s="269" t="inlineStr">
        <is>
          <t>Import Fee</t>
        </is>
      </c>
      <c r="E17" s="593" t="inlineStr">
        <is>
          <t>N/A</t>
        </is>
      </c>
      <c r="F17" s="638" t="inlineStr">
        <is>
          <t xml:space="preserve"> </t>
        </is>
      </c>
      <c r="G17" s="630" t="inlineStr">
        <is>
          <t>$150  per hour</t>
        </is>
      </c>
      <c r="H17" s="578" t="inlineStr">
        <is>
          <t xml:space="preserve"> </t>
        </is>
      </c>
    </row>
    <row r="18" ht="23" customHeight="1" thickBot="1">
      <c r="D18" s="271" t="inlineStr">
        <is>
          <t xml:space="preserve"> </t>
        </is>
      </c>
      <c r="E18" s="594" t="n"/>
      <c r="F18" s="595" t="n"/>
      <c r="G18" s="596" t="inlineStr">
        <is>
          <t xml:space="preserve"> </t>
        </is>
      </c>
      <c r="H18" s="596" t="inlineStr">
        <is>
          <t xml:space="preserve"> </t>
        </is>
      </c>
    </row>
    <row r="19" ht="45" customHeight="1" thickBot="1">
      <c r="D19" s="90" t="inlineStr">
        <is>
          <t>Thought Leadership Library</t>
        </is>
      </c>
      <c r="E19" s="597" t="inlineStr">
        <is>
          <t xml:space="preserve"> </t>
        </is>
      </c>
      <c r="F19" s="597" t="inlineStr">
        <is>
          <t xml:space="preserve"> </t>
        </is>
      </c>
      <c r="G19" s="598" t="inlineStr">
        <is>
          <t xml:space="preserve"> </t>
        </is>
      </c>
      <c r="H19" s="599" t="inlineStr">
        <is>
          <t>Access to thought library content per license</t>
        </is>
      </c>
    </row>
    <row r="20" ht="67" customHeight="1" thickBot="1">
      <c r="D20" s="90" t="inlineStr">
        <is>
          <t xml:space="preserve">Consultancy </t>
        </is>
      </c>
      <c r="E20" s="597" t="inlineStr">
        <is>
          <t xml:space="preserve"> </t>
        </is>
      </c>
      <c r="F20" s="597" t="inlineStr">
        <is>
          <t xml:space="preserve"> </t>
        </is>
      </c>
      <c r="G20" s="598" t="inlineStr">
        <is>
          <t xml:space="preserve"> </t>
        </is>
      </c>
      <c r="H20" s="599" t="inlineStr">
        <is>
          <t xml:space="preserve">Four hour session, that can be allocated at user's discretion.  </t>
        </is>
      </c>
    </row>
    <row r="21" ht="20" customHeight="1">
      <c r="D21" s="44" t="inlineStr">
        <is>
          <t xml:space="preserve"> </t>
        </is>
      </c>
      <c r="E21" s="43" t="n"/>
      <c r="F21" s="43" t="n"/>
      <c r="G21" s="43" t="n"/>
      <c r="H21" s="43" t="n"/>
    </row>
    <row r="22" ht="31" customHeight="1">
      <c r="D22" s="681" t="inlineStr">
        <is>
          <t>Ignite Talent</t>
        </is>
      </c>
      <c r="E22" s="43" t="n"/>
      <c r="F22" s="43" t="n"/>
      <c r="G22" s="43" t="n"/>
      <c r="H22" s="43" t="n"/>
    </row>
    <row r="23">
      <c r="C23" s="45" t="n"/>
      <c r="D23" s="45" t="n"/>
      <c r="E23" s="45" t="n"/>
      <c r="F23" s="45" t="n"/>
      <c r="G23" s="45" t="n"/>
    </row>
    <row r="24">
      <c r="C24" s="45" t="n"/>
      <c r="D24" s="45" t="n"/>
      <c r="E24" s="45" t="n"/>
      <c r="F24" s="45" t="n"/>
      <c r="G24" s="45" t="n"/>
    </row>
    <row r="25">
      <c r="C25" s="45" t="n"/>
      <c r="D25" s="45" t="n"/>
      <c r="E25" s="45" t="n"/>
      <c r="F25" s="45" t="n"/>
      <c r="G25" s="45" t="n"/>
    </row>
    <row r="26">
      <c r="C26" s="45" t="n"/>
      <c r="D26" s="45" t="n"/>
      <c r="E26" s="45" t="n"/>
      <c r="F26" s="45" t="n"/>
      <c r="G26" s="45" t="n"/>
    </row>
    <row r="27">
      <c r="C27" s="45" t="n"/>
      <c r="D27" s="45" t="n"/>
      <c r="E27" s="45" t="n"/>
      <c r="F27" s="45" t="n"/>
      <c r="G27" s="45" t="n"/>
    </row>
    <row r="28">
      <c r="C28" s="45" t="n"/>
      <c r="D28" s="45" t="n"/>
      <c r="E28" s="45" t="n"/>
      <c r="F28" s="45" t="n"/>
      <c r="G28" s="45" t="n"/>
    </row>
    <row r="29">
      <c r="C29" s="45" t="n"/>
      <c r="D29" s="45" t="n"/>
      <c r="E29" s="45" t="n"/>
      <c r="F29" s="45" t="n"/>
      <c r="G29" s="45" t="n"/>
    </row>
    <row r="30">
      <c r="C30" s="45" t="n"/>
      <c r="D30" s="45" t="n"/>
      <c r="E30" s="45" t="n"/>
      <c r="F30" s="45" t="n"/>
      <c r="G30" s="45" t="n"/>
    </row>
    <row r="31">
      <c r="C31" s="45" t="n"/>
      <c r="D31" s="45" t="n"/>
      <c r="E31" s="45" t="n"/>
      <c r="F31" s="45" t="n"/>
      <c r="G31" s="45" t="n"/>
    </row>
    <row r="32">
      <c r="C32" s="45" t="n"/>
      <c r="D32" s="45" t="n"/>
      <c r="E32" s="45" t="n"/>
      <c r="F32" s="45" t="n"/>
      <c r="G32" s="45" t="n"/>
    </row>
    <row r="33">
      <c r="C33" s="45" t="n"/>
      <c r="D33" s="45" t="n"/>
      <c r="E33" s="45" t="n"/>
      <c r="F33" s="45" t="n"/>
      <c r="G33" s="45" t="n"/>
    </row>
    <row r="34">
      <c r="C34" s="45" t="n"/>
      <c r="D34" s="45" t="n"/>
      <c r="E34" s="45" t="n"/>
      <c r="F34" s="45" t="n"/>
      <c r="G34" s="45" t="n"/>
    </row>
    <row r="35">
      <c r="C35" s="45" t="n"/>
      <c r="D35" s="45" t="n"/>
      <c r="E35" s="45" t="n"/>
      <c r="F35" s="45" t="n"/>
      <c r="G35" s="45" t="n"/>
    </row>
    <row r="36">
      <c r="C36" s="45" t="n"/>
      <c r="D36" s="45" t="n"/>
      <c r="E36" s="45" t="n"/>
      <c r="F36" s="45" t="n"/>
      <c r="G36" s="45" t="n"/>
    </row>
    <row r="37">
      <c r="C37" s="45" t="n"/>
      <c r="D37" s="45" t="n"/>
      <c r="E37" s="45" t="n"/>
      <c r="F37" s="45" t="n"/>
      <c r="G37" s="45" t="n"/>
    </row>
    <row r="38">
      <c r="C38" s="45" t="n"/>
      <c r="D38" s="45" t="n"/>
      <c r="E38" s="45" t="n"/>
      <c r="F38" s="45" t="n"/>
      <c r="G38" s="45" t="n"/>
    </row>
    <row r="39">
      <c r="C39" s="45" t="n"/>
      <c r="D39" s="45" t="n"/>
      <c r="E39" s="45" t="n"/>
      <c r="F39" s="45" t="n"/>
      <c r="G39" s="45" t="n"/>
    </row>
    <row r="40">
      <c r="C40" s="45" t="n"/>
      <c r="D40" s="45" t="n"/>
      <c r="E40" s="45" t="n"/>
      <c r="F40" s="45" t="n"/>
      <c r="G40" s="45" t="n"/>
    </row>
    <row r="41">
      <c r="C41" s="45" t="n"/>
      <c r="D41" s="45" t="n"/>
      <c r="E41" s="45" t="n"/>
      <c r="F41" s="45" t="n"/>
      <c r="G41" s="45" t="n"/>
    </row>
    <row r="42">
      <c r="C42" s="45" t="n"/>
      <c r="D42" s="45" t="n"/>
      <c r="E42" s="45" t="n"/>
      <c r="F42" s="45" t="n"/>
      <c r="G42" s="45" t="n"/>
    </row>
    <row r="43">
      <c r="C43" s="45" t="n"/>
      <c r="D43" s="45" t="n"/>
      <c r="E43" s="45" t="n"/>
      <c r="F43" s="45" t="n"/>
      <c r="G43" s="45" t="n"/>
    </row>
    <row r="44">
      <c r="C44" s="45" t="n"/>
      <c r="D44" s="45" t="n"/>
      <c r="E44" s="45" t="n"/>
      <c r="F44" s="45" t="n"/>
      <c r="G44" s="45" t="n"/>
    </row>
    <row r="45">
      <c r="C45" s="45" t="n"/>
      <c r="D45" s="45" t="n"/>
      <c r="E45" s="45" t="n"/>
      <c r="F45" s="45" t="n"/>
      <c r="G45" s="45" t="n"/>
    </row>
    <row r="46">
      <c r="C46" s="45" t="n"/>
      <c r="D46" s="45" t="n"/>
      <c r="E46" s="45" t="n"/>
      <c r="F46" s="45" t="n"/>
      <c r="G46" s="45" t="n"/>
    </row>
    <row r="47">
      <c r="C47" s="45" t="n"/>
      <c r="D47" s="45" t="n"/>
      <c r="E47" s="45" t="n"/>
      <c r="F47" s="45" t="n"/>
      <c r="G47" s="45" t="n"/>
    </row>
    <row r="48">
      <c r="C48" s="45" t="n"/>
      <c r="D48" s="45" t="n"/>
      <c r="E48" s="45" t="n"/>
      <c r="F48" s="45" t="n"/>
      <c r="G48" s="45" t="n"/>
    </row>
    <row r="49">
      <c r="C49" s="45" t="n"/>
      <c r="D49" s="45" t="n"/>
      <c r="E49" s="45" t="n"/>
      <c r="F49" s="45" t="n"/>
      <c r="G49" s="45" t="n"/>
    </row>
    <row r="50">
      <c r="C50" s="45" t="n"/>
      <c r="D50" s="45" t="n"/>
      <c r="E50" s="45" t="n"/>
      <c r="F50" s="45" t="n"/>
      <c r="G50" s="45" t="n"/>
    </row>
    <row r="51">
      <c r="C51" s="45" t="n"/>
      <c r="D51" s="45" t="n"/>
      <c r="E51" s="45" t="n"/>
      <c r="F51" s="45" t="n"/>
      <c r="G51" s="45" t="n"/>
    </row>
    <row r="52">
      <c r="C52" s="45" t="n"/>
      <c r="D52" s="45" t="n"/>
      <c r="E52" s="45" t="n"/>
      <c r="F52" s="45" t="n"/>
      <c r="G52" s="45" t="n"/>
    </row>
    <row r="53">
      <c r="C53" s="45" t="n"/>
      <c r="D53" s="45" t="n"/>
      <c r="E53" s="45" t="n"/>
      <c r="F53" s="45" t="n"/>
      <c r="G53" s="45" t="n"/>
    </row>
    <row r="54">
      <c r="C54" s="45" t="n"/>
      <c r="D54" s="45" t="n"/>
      <c r="E54" s="45" t="n"/>
      <c r="F54" s="45" t="n"/>
      <c r="G54" s="45" t="n"/>
    </row>
    <row r="55">
      <c r="C55" s="45" t="n"/>
      <c r="D55" s="45" t="n"/>
      <c r="E55" s="45" t="n"/>
      <c r="F55" s="45" t="n"/>
      <c r="G55" s="45" t="n"/>
    </row>
  </sheetData>
  <mergeCells count="7">
    <mergeCell ref="B9:B17"/>
    <mergeCell ref="C4:C5"/>
    <mergeCell ref="B4:B8"/>
    <mergeCell ref="C12:C15"/>
    <mergeCell ref="C16:C17"/>
    <mergeCell ref="C6:C8"/>
    <mergeCell ref="C9:C11"/>
  </mergeCells>
  <printOptions horizontalCentered="1" verticalCentered="1"/>
  <pageMargins left="0.7" right="0.7" top="0.75" bottom="0.75" header="0.3" footer="0.3"/>
  <pageSetup orientation="landscape" scale="42" horizontalDpi="0" verticalDpi="0"/>
  <colBreaks count="1" manualBreakCount="1">
    <brk id="7" min="1" max="12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Y94"/>
  <sheetViews>
    <sheetView topLeftCell="A42" zoomScaleNormal="100" workbookViewId="0">
      <selection activeCell="D7" sqref="D7"/>
    </sheetView>
  </sheetViews>
  <sheetFormatPr baseColWidth="10" defaultColWidth="11.5" defaultRowHeight="15"/>
  <cols>
    <col width="31" bestFit="1" customWidth="1" min="3" max="3"/>
    <col width="21.5" bestFit="1" customWidth="1" min="4" max="4"/>
    <col width="20.1640625" customWidth="1" min="5" max="6"/>
    <col width="25.33203125" customWidth="1" min="7" max="7"/>
    <col width="5.83203125" customWidth="1" min="8" max="8"/>
    <col width="81.33203125" customWidth="1" min="9" max="9"/>
    <col width="15.5" bestFit="1" customWidth="1" min="11" max="11"/>
  </cols>
  <sheetData>
    <row r="3" ht="62" customHeight="1">
      <c r="C3" s="953" t="inlineStr">
        <is>
          <t>Pricing Matrix</t>
        </is>
      </c>
      <c r="E3" t="inlineStr">
        <is>
          <t xml:space="preserve">  </t>
        </is>
      </c>
      <c r="H3" t="inlineStr">
        <is>
          <t xml:space="preserve"> </t>
        </is>
      </c>
      <c r="I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  <c r="Q3" t="inlineStr">
        <is>
          <t xml:space="preserve"> </t>
        </is>
      </c>
      <c r="U3" t="inlineStr">
        <is>
          <t xml:space="preserve"> </t>
        </is>
      </c>
      <c r="Y3" t="inlineStr">
        <is>
          <t xml:space="preserve"> </t>
        </is>
      </c>
    </row>
    <row r="5">
      <c r="C5" s="45" t="n"/>
      <c r="D5" s="45" t="n"/>
      <c r="E5" s="45" t="n"/>
      <c r="F5" s="45" t="n"/>
      <c r="G5" s="45" t="n"/>
      <c r="H5" s="45" t="n"/>
      <c r="I5" s="45" t="n"/>
    </row>
    <row r="6" ht="16" customHeight="1">
      <c r="C6" s="467" t="inlineStr">
        <is>
          <t>Type of User</t>
        </is>
      </c>
      <c r="D6" s="135" t="inlineStr">
        <is>
          <t xml:space="preserve">License </t>
        </is>
      </c>
      <c r="E6" s="135" t="inlineStr">
        <is>
          <t>User</t>
        </is>
      </c>
      <c r="F6" s="135" t="inlineStr">
        <is>
          <t xml:space="preserve"> </t>
        </is>
      </c>
      <c r="G6" s="442" t="inlineStr">
        <is>
          <t xml:space="preserve"> </t>
        </is>
      </c>
      <c r="H6" s="442" t="n"/>
      <c r="I6" s="442" t="n"/>
      <c r="J6" s="46" t="n"/>
      <c r="K6" s="46" t="n"/>
      <c r="L6" s="46" t="n"/>
      <c r="M6" s="45" t="n"/>
      <c r="N6" s="46" t="n"/>
      <c r="O6" s="46" t="n"/>
    </row>
    <row r="7" ht="16" customHeight="1">
      <c r="C7" s="468" t="inlineStr">
        <is>
          <t>Hospitality</t>
        </is>
      </c>
      <c r="D7" s="1121" t="n">
        <v>250</v>
      </c>
      <c r="E7" s="135" t="n"/>
      <c r="F7" s="135" t="n"/>
      <c r="G7" s="442" t="n"/>
      <c r="H7" s="442" t="n"/>
      <c r="I7" s="442" t="n"/>
      <c r="J7" s="46" t="n"/>
      <c r="K7" s="46" t="n"/>
      <c r="L7" s="46" t="n"/>
      <c r="M7" s="45" t="n"/>
      <c r="N7" s="46" t="n"/>
      <c r="O7" s="46" t="n"/>
    </row>
    <row r="8" ht="16" customHeight="1">
      <c r="C8" s="468" t="inlineStr">
        <is>
          <t>Hospitality Reseller</t>
        </is>
      </c>
      <c r="D8" s="1121" t="n">
        <v>100</v>
      </c>
      <c r="E8" s="135" t="n"/>
      <c r="F8" s="135" t="n"/>
      <c r="G8" s="442" t="n"/>
      <c r="H8" s="442" t="n"/>
      <c r="I8" s="442" t="n"/>
      <c r="J8" s="46" t="n"/>
      <c r="K8" s="46" t="n"/>
      <c r="L8" s="46" t="n"/>
      <c r="M8" s="45" t="n"/>
      <c r="N8" s="46" t="n"/>
      <c r="O8" s="46" t="n"/>
    </row>
    <row r="9" ht="16" customHeight="1">
      <c r="C9" s="470" t="inlineStr">
        <is>
          <t>Real Estate</t>
        </is>
      </c>
      <c r="D9" s="1122" t="n">
        <v>400</v>
      </c>
      <c r="E9" s="135" t="n"/>
      <c r="F9" s="135" t="n"/>
      <c r="G9" s="442" t="n"/>
      <c r="H9" s="442" t="n"/>
      <c r="I9" s="442" t="n"/>
      <c r="J9" s="46" t="n"/>
      <c r="K9" s="46" t="n"/>
      <c r="L9" s="46" t="n"/>
      <c r="M9" s="45" t="n"/>
      <c r="N9" s="46" t="n"/>
      <c r="O9" s="46" t="n"/>
    </row>
    <row r="10" ht="16" customHeight="1">
      <c r="C10" s="470" t="inlineStr">
        <is>
          <t>Real Estate Reseller</t>
        </is>
      </c>
      <c r="D10" s="1122" t="n">
        <v>250</v>
      </c>
      <c r="E10" s="135" t="n"/>
      <c r="F10" s="135" t="n"/>
      <c r="G10" s="442" t="n"/>
      <c r="H10" s="442" t="n"/>
      <c r="I10" s="442" t="n"/>
      <c r="J10" s="46" t="n"/>
      <c r="K10" s="46" t="n"/>
      <c r="L10" s="46" t="n"/>
      <c r="M10" s="45" t="n"/>
      <c r="N10" s="46" t="n"/>
      <c r="O10" s="46" t="n"/>
    </row>
    <row r="11" ht="16" customHeight="1">
      <c r="C11" s="468" t="inlineStr">
        <is>
          <t>Pharma</t>
        </is>
      </c>
      <c r="D11" s="1121" t="n">
        <v>400</v>
      </c>
      <c r="E11" s="135" t="n"/>
      <c r="F11" s="135" t="n"/>
      <c r="G11" s="442" t="n"/>
      <c r="H11" s="442" t="n"/>
      <c r="I11" s="442" t="n"/>
      <c r="J11" s="46" t="n"/>
      <c r="K11" s="46" t="n"/>
      <c r="L11" s="46" t="n"/>
      <c r="M11" s="45" t="n"/>
      <c r="N11" s="46" t="n"/>
      <c r="O11" s="46" t="n"/>
    </row>
    <row r="12" ht="16" customHeight="1">
      <c r="C12" s="468" t="inlineStr">
        <is>
          <t>Pharma- Reseller</t>
        </is>
      </c>
      <c r="D12" s="1121" t="n">
        <v>250</v>
      </c>
      <c r="E12" s="135" t="n"/>
      <c r="F12" s="135" t="n"/>
      <c r="G12" s="442" t="n"/>
      <c r="H12" s="442" t="n"/>
      <c r="I12" s="442" t="n"/>
      <c r="J12" s="46" t="n"/>
      <c r="K12" s="46" t="n"/>
      <c r="L12" s="46" t="n"/>
      <c r="M12" s="45" t="n"/>
      <c r="N12" s="46" t="n"/>
      <c r="O12" s="46" t="n"/>
    </row>
    <row r="13" ht="16" customHeight="1">
      <c r="C13" s="470" t="inlineStr">
        <is>
          <t>Small Start ups</t>
        </is>
      </c>
      <c r="D13" s="1122" t="n">
        <v>150</v>
      </c>
      <c r="E13" s="135" t="n"/>
      <c r="F13" s="135" t="n"/>
      <c r="G13" s="442" t="n"/>
      <c r="H13" s="442" t="n"/>
      <c r="I13" s="442" t="n"/>
      <c r="J13" s="46" t="n"/>
      <c r="K13" s="46" t="n"/>
      <c r="L13" s="46" t="n"/>
      <c r="M13" s="45" t="n"/>
      <c r="N13" s="46" t="n"/>
      <c r="O13" s="46" t="n"/>
    </row>
    <row r="14" ht="16" customHeight="1">
      <c r="C14" s="470" t="inlineStr">
        <is>
          <t>Small Start ups Reseller</t>
        </is>
      </c>
      <c r="D14" s="1122" t="n">
        <v>75</v>
      </c>
      <c r="E14" s="135" t="n"/>
      <c r="F14" s="135" t="n"/>
      <c r="G14" s="442" t="n"/>
      <c r="H14" s="442" t="n"/>
      <c r="I14" s="442" t="n"/>
      <c r="J14" s="46" t="n"/>
      <c r="K14" s="46" t="n"/>
      <c r="L14" s="46" t="n"/>
      <c r="M14" s="45" t="n"/>
      <c r="N14" s="46" t="n"/>
      <c r="O14" s="46" t="n"/>
    </row>
    <row r="15" ht="16" customHeight="1">
      <c r="C15" s="472" t="n"/>
      <c r="D15" s="1123" t="n"/>
      <c r="E15" s="135" t="n"/>
      <c r="F15" s="135" t="n"/>
      <c r="G15" s="442" t="n"/>
      <c r="H15" s="442" t="n"/>
      <c r="I15" s="442" t="n"/>
      <c r="J15" s="46" t="n"/>
      <c r="K15" s="46" t="n"/>
      <c r="L15" s="46" t="n"/>
      <c r="M15" s="45" t="n"/>
      <c r="N15" s="46" t="n"/>
      <c r="O15" s="46" t="n"/>
    </row>
    <row r="16" ht="17" customHeight="1" thickBot="1">
      <c r="C16" s="957" t="inlineStr">
        <is>
          <t>Pricing Calculator</t>
        </is>
      </c>
      <c r="D16" s="1124" t="n"/>
      <c r="E16" s="1124" t="n"/>
      <c r="F16" s="1124" t="n"/>
      <c r="G16" s="1124" t="n"/>
      <c r="H16" s="1124" t="n"/>
      <c r="I16" s="1124" t="n"/>
      <c r="J16" s="46" t="n"/>
      <c r="K16" s="46" t="n"/>
      <c r="L16" s="46" t="n"/>
      <c r="M16" s="45" t="n"/>
      <c r="N16" s="46" t="n"/>
      <c r="O16" s="46" t="n"/>
    </row>
    <row r="17" ht="17" customHeight="1" thickTop="1">
      <c r="C17" s="1125" t="inlineStr">
        <is>
          <t>Rate Sheet</t>
        </is>
      </c>
      <c r="D17" s="1126" t="n"/>
      <c r="E17" s="1126" t="n"/>
      <c r="F17" s="1126" t="n"/>
      <c r="G17" s="1126" t="n"/>
      <c r="H17" s="1126" t="n"/>
      <c r="I17" s="1127" t="n"/>
      <c r="J17" s="46" t="n"/>
      <c r="K17" s="46" t="n"/>
      <c r="L17" s="46" t="n"/>
      <c r="M17" s="45" t="n"/>
      <c r="N17" s="46" t="n"/>
      <c r="O17" s="46" t="n"/>
    </row>
    <row r="18" ht="16" customHeight="1">
      <c r="C18" s="443" t="n"/>
      <c r="D18" s="444" t="n"/>
      <c r="E18" s="445" t="inlineStr">
        <is>
          <t>Subscription</t>
        </is>
      </c>
      <c r="F18" s="446" t="inlineStr">
        <is>
          <t xml:space="preserve"> </t>
        </is>
      </c>
      <c r="G18" s="445" t="inlineStr">
        <is>
          <t>One-Time Cost</t>
        </is>
      </c>
      <c r="H18" s="444" t="n"/>
      <c r="I18" s="447" t="inlineStr">
        <is>
          <t>Description</t>
        </is>
      </c>
      <c r="J18" s="46" t="n"/>
      <c r="K18" s="46" t="n"/>
      <c r="L18" s="46" t="n"/>
      <c r="M18" s="45" t="n"/>
      <c r="N18" s="46" t="n"/>
      <c r="O18" s="46" t="n"/>
    </row>
    <row r="19" ht="16" customHeight="1">
      <c r="C19" s="448" t="n"/>
      <c r="D19" s="442" t="n"/>
      <c r="E19" s="548" t="n"/>
      <c r="F19" s="549" t="n"/>
      <c r="G19" s="442" t="n"/>
      <c r="H19" s="442" t="n"/>
      <c r="I19" s="449" t="n"/>
      <c r="J19" s="46" t="n"/>
      <c r="K19" s="46" t="n"/>
      <c r="L19" s="46" t="n"/>
      <c r="M19" s="45" t="n"/>
      <c r="N19" s="46" t="n"/>
      <c r="O19" s="46" t="n"/>
    </row>
    <row r="20" ht="16" customHeight="1">
      <c r="C20" s="557">
        <f>C6</f>
        <v/>
      </c>
      <c r="D20" s="450" t="inlineStr">
        <is>
          <t>Hospitality</t>
        </is>
      </c>
      <c r="E20" s="1128">
        <f>IF(D20="","",IF(D20=$C$7,$D$7,IF(D20=$C$8,D8,IF(D20=$C$9,D9,IF(D20=$C$11,D11,IF(D20=$C$12,D12,IF(D20=$C$10,D10,IF(D20=$C$13,D13,IF(D20=$C$14,D14)))))))))</f>
        <v/>
      </c>
      <c r="F20" s="551" t="n"/>
      <c r="G20" s="442" t="n"/>
      <c r="H20" s="442" t="n"/>
      <c r="I20" s="449" t="n"/>
      <c r="J20" s="46" t="n"/>
      <c r="K20" s="46" t="n"/>
      <c r="L20" s="46" t="n"/>
      <c r="M20" s="45" t="n"/>
      <c r="N20" s="46" t="n"/>
      <c r="O20" s="46" t="n"/>
    </row>
    <row r="21" ht="16" customHeight="1">
      <c r="C21" s="452" t="n"/>
      <c r="D21" s="442" t="n"/>
      <c r="E21" s="442" t="n"/>
      <c r="F21" s="551" t="n"/>
      <c r="G21" s="442" t="n"/>
      <c r="H21" s="442" t="n"/>
      <c r="I21" s="449" t="n"/>
      <c r="J21" s="46" t="n"/>
      <c r="K21" s="46" t="n"/>
      <c r="L21" s="46" t="n"/>
      <c r="M21" s="45" t="n"/>
      <c r="N21" s="46" t="n"/>
      <c r="O21" s="46" t="n"/>
    </row>
    <row r="22" ht="17" customHeight="1" thickBot="1">
      <c r="C22" s="557" t="inlineStr">
        <is>
          <t xml:space="preserve">Number of </t>
        </is>
      </c>
      <c r="F22" s="551" t="n"/>
      <c r="G22" s="442" t="n"/>
      <c r="H22" s="442" t="n"/>
      <c r="I22" s="449" t="inlineStr">
        <is>
          <t xml:space="preserve"> </t>
        </is>
      </c>
      <c r="J22" s="46" t="n"/>
      <c r="K22" s="46" t="n"/>
      <c r="L22" s="46" t="n"/>
      <c r="M22" s="45" t="n"/>
      <c r="N22" s="46" t="n"/>
      <c r="O22" s="46" t="n"/>
    </row>
    <row r="23" ht="17" customHeight="1" thickBot="1">
      <c r="C23" s="558" t="inlineStr">
        <is>
          <t>Sites</t>
        </is>
      </c>
      <c r="D23" s="608" t="n">
        <v>5</v>
      </c>
      <c r="E23" s="1128">
        <f>E20*D23</f>
        <v/>
      </c>
      <c r="I23" s="572" t="inlineStr">
        <is>
          <t>With each site license you will receive 2 users</t>
        </is>
      </c>
      <c r="J23" s="46" t="n"/>
      <c r="K23" s="46" t="n"/>
      <c r="L23" s="46" t="n"/>
      <c r="M23" s="45" t="n"/>
      <c r="N23" s="46" t="n"/>
      <c r="O23" s="46" t="n"/>
    </row>
    <row r="24" ht="33" customHeight="1" thickBot="1">
      <c r="C24" s="558" t="inlineStr">
        <is>
          <t>Additional User</t>
        </is>
      </c>
      <c r="D24" s="611" t="n">
        <v>10</v>
      </c>
      <c r="E24" s="1129">
        <f>(E23*D24)*0.5</f>
        <v/>
      </c>
      <c r="F24" s="551" t="n"/>
      <c r="G24" s="442" t="n"/>
      <c r="H24" s="442" t="n"/>
      <c r="I24" s="449" t="inlineStr">
        <is>
          <t>Additional User licenses over an above the 2 per site, 50% discount for additional users</t>
        </is>
      </c>
      <c r="J24" s="46" t="n"/>
      <c r="K24" s="46" t="n"/>
      <c r="L24" s="46" t="n"/>
      <c r="M24" s="45" t="n"/>
      <c r="N24" s="46" t="n"/>
      <c r="O24" s="46" t="n"/>
    </row>
    <row r="25" ht="17" customHeight="1" thickBot="1">
      <c r="C25" s="452" t="n"/>
      <c r="D25" s="612" t="n"/>
      <c r="E25" s="442" t="n"/>
      <c r="F25" s="551" t="n"/>
      <c r="G25" s="442" t="n"/>
      <c r="H25" s="442" t="n"/>
      <c r="I25" s="449" t="n"/>
      <c r="J25" s="46" t="n"/>
      <c r="K25" s="46" t="n"/>
      <c r="L25" s="46" t="n"/>
      <c r="M25" s="45" t="n"/>
      <c r="N25" s="46" t="n"/>
      <c r="O25" s="46" t="n"/>
    </row>
    <row r="26" ht="36" customHeight="1" thickBot="1">
      <c r="C26" s="557">
        <f>C68</f>
        <v/>
      </c>
      <c r="D26" s="609" t="inlineStr">
        <is>
          <t>Support Blaze</t>
        </is>
      </c>
      <c r="E26" s="1130">
        <f>IF(D26="","",IF(D26=C69,D69,IF(D26=C70,D70)))</f>
        <v/>
      </c>
      <c r="F26" s="551" t="n"/>
      <c r="G26" s="442" t="n"/>
      <c r="H26" s="442" t="n"/>
      <c r="I26" s="449">
        <f>IF(D26="","",IF(D26=C69,'Pricing Structure Description'!F7,IF('Pricing Calcuator'!D26='Pricing Calcuator'!C70,'Pricing Structure Description'!G7)))</f>
        <v/>
      </c>
      <c r="J26" s="46" t="n"/>
      <c r="K26" s="46" t="n"/>
      <c r="L26" s="46" t="n"/>
      <c r="M26" s="45" t="n"/>
      <c r="N26" s="46" t="n"/>
      <c r="O26" s="46" t="n"/>
    </row>
    <row r="27" ht="16" customHeight="1">
      <c r="C27" s="557" t="n"/>
      <c r="D27" s="547" t="n"/>
      <c r="E27" s="1130" t="n"/>
      <c r="F27" s="551" t="n"/>
      <c r="G27" s="442" t="n"/>
      <c r="H27" s="442" t="n"/>
      <c r="I27" s="449" t="n"/>
      <c r="J27" s="46" t="n"/>
      <c r="K27" s="46" t="n"/>
      <c r="L27" s="46" t="n"/>
      <c r="M27" s="45" t="n"/>
      <c r="N27" s="46" t="n"/>
      <c r="O27" s="46" t="n"/>
    </row>
    <row r="28" ht="16" customHeight="1">
      <c r="C28" s="557" t="inlineStr">
        <is>
          <t>Number of Months</t>
        </is>
      </c>
      <c r="D28" s="547" t="n"/>
      <c r="E28" s="560" t="n">
        <v>12</v>
      </c>
      <c r="F28" s="551" t="n"/>
      <c r="G28" s="442" t="n"/>
      <c r="H28" s="442" t="n"/>
      <c r="I28" s="449" t="n"/>
      <c r="J28" s="46" t="n"/>
      <c r="K28" s="46" t="n"/>
      <c r="L28" s="46" t="n"/>
      <c r="M28" s="45" t="n"/>
      <c r="N28" s="46" t="n"/>
      <c r="O28" s="46" t="n"/>
    </row>
    <row r="29" ht="16" customHeight="1">
      <c r="C29" s="557" t="n"/>
      <c r="D29" s="547" t="n"/>
      <c r="E29" s="1130" t="n"/>
      <c r="F29" s="551" t="n"/>
      <c r="G29" s="442" t="n"/>
      <c r="H29" s="442" t="n"/>
      <c r="I29" s="449" t="n"/>
      <c r="J29" s="46" t="n"/>
      <c r="K29" s="46" t="n"/>
      <c r="L29" s="46" t="n"/>
      <c r="M29" s="45" t="n"/>
      <c r="N29" s="46" t="n"/>
      <c r="O29" s="46" t="n"/>
    </row>
    <row r="30" ht="16" customHeight="1">
      <c r="C30" s="555" t="inlineStr">
        <is>
          <t>One- Time Fees</t>
        </is>
      </c>
      <c r="D30" s="442" t="n"/>
      <c r="E30" s="442" t="n"/>
      <c r="F30" s="551" t="n"/>
      <c r="G30" s="442" t="n"/>
      <c r="H30" s="442" t="n"/>
      <c r="I30" s="449" t="n"/>
      <c r="J30" s="46" t="n"/>
      <c r="K30" s="46" t="n"/>
      <c r="L30" s="46" t="n"/>
      <c r="M30" s="45" t="n"/>
      <c r="N30" s="46" t="n"/>
      <c r="O30" s="46" t="n"/>
    </row>
    <row r="31" ht="35" customHeight="1" thickBot="1">
      <c r="C31" s="627">
        <f>C73</f>
        <v/>
      </c>
      <c r="D31" s="626" t="inlineStr">
        <is>
          <t>Blaze</t>
        </is>
      </c>
      <c r="E31" s="1131" t="inlineStr">
        <is>
          <t xml:space="preserve"> </t>
        </is>
      </c>
      <c r="F31" s="1132" t="n"/>
      <c r="G31" s="1128">
        <f>IF(D31="","",IF(D31=$C$74,D74,IF(D31=$C$75,D75)))*D32</f>
        <v/>
      </c>
      <c r="H31" s="442" t="n"/>
      <c r="I31" s="449">
        <f>IF(D31="","",IF(D31=C74,'Pricing Structure Description'!F9,IF('Pricing Calcuator'!D31='Pricing Calcuator'!C75,'Pricing Structure Description'!G9)))</f>
        <v/>
      </c>
      <c r="J31" s="46" t="n"/>
      <c r="K31" s="46" t="n"/>
      <c r="L31" s="46" t="n"/>
      <c r="M31" s="45" t="n"/>
      <c r="N31" s="46" t="n"/>
      <c r="O31" s="46" t="n"/>
    </row>
    <row r="32" ht="34" customHeight="1" thickBot="1">
      <c r="C32" s="562" t="inlineStr">
        <is>
          <t>Number of hours</t>
        </is>
      </c>
      <c r="D32" s="607" t="n">
        <v>10</v>
      </c>
      <c r="E32" s="1133" t="n"/>
      <c r="F32" s="1132" t="n"/>
      <c r="G32" s="1128" t="n"/>
      <c r="H32" s="442" t="inlineStr">
        <is>
          <t xml:space="preserve"> </t>
        </is>
      </c>
      <c r="I32" s="451" t="n"/>
      <c r="J32" s="46" t="n"/>
      <c r="K32" s="46" t="n"/>
      <c r="L32" s="46" t="n"/>
      <c r="M32" s="45" t="n"/>
      <c r="N32" s="46" t="n"/>
      <c r="O32" s="46" t="n"/>
    </row>
    <row r="33" ht="35" customHeight="1" thickBot="1">
      <c r="C33" s="561" t="inlineStr">
        <is>
          <t>Importing</t>
        </is>
      </c>
      <c r="D33" s="606" t="inlineStr">
        <is>
          <t>Blaze</t>
        </is>
      </c>
      <c r="E33" s="442" t="n"/>
      <c r="F33" s="551" t="n"/>
      <c r="G33" s="1134">
        <f>D86*D23</f>
        <v/>
      </c>
      <c r="H33" s="604" t="inlineStr">
        <is>
          <t xml:space="preserve"> </t>
        </is>
      </c>
      <c r="I33" s="449">
        <f>IF(D6="","",IF(D33=C75,'Pricing Structure Description'!G16,IF('Pricing Calcuator'!D33='Pricing Calcuator'!C74,'Pricing Structure Description'!F16)))</f>
        <v/>
      </c>
      <c r="J33" s="46" t="n"/>
      <c r="K33" s="46" t="n"/>
      <c r="L33" s="46" t="n"/>
      <c r="M33" s="45" t="n"/>
      <c r="N33" s="46" t="n"/>
      <c r="O33" s="46" t="n"/>
    </row>
    <row r="34" ht="17" customHeight="1">
      <c r="E34" s="442" t="n"/>
      <c r="F34" s="551" t="n"/>
      <c r="G34" s="1134" t="n"/>
      <c r="H34" s="604" t="n"/>
      <c r="I34" s="449" t="n"/>
      <c r="J34" s="46" t="n"/>
      <c r="K34" s="46" t="n"/>
      <c r="L34" s="46" t="n"/>
      <c r="M34" s="45" t="n"/>
      <c r="N34" s="46" t="n"/>
      <c r="O34" s="46" t="n"/>
    </row>
    <row r="35" ht="7" customHeight="1">
      <c r="C35" s="562" t="n"/>
      <c r="D35" s="442" t="n"/>
      <c r="E35" s="442" t="n"/>
      <c r="F35" s="551" t="n"/>
      <c r="G35" s="442" t="n"/>
      <c r="H35" s="442" t="n"/>
      <c r="I35" s="449" t="n"/>
      <c r="J35" s="46" t="n"/>
      <c r="K35" s="46" t="n"/>
      <c r="L35" s="46" t="n"/>
      <c r="M35" s="45" t="n"/>
      <c r="N35" s="46" t="n"/>
      <c r="O35" s="46" t="n"/>
    </row>
    <row r="36" ht="17" customHeight="1" thickBot="1">
      <c r="C36" s="561">
        <f>C77</f>
        <v/>
      </c>
      <c r="D36" s="442" t="n"/>
      <c r="E36" s="442" t="inlineStr">
        <is>
          <t xml:space="preserve"> </t>
        </is>
      </c>
      <c r="F36" s="1132" t="inlineStr">
        <is>
          <t xml:space="preserve"> </t>
        </is>
      </c>
      <c r="G36" s="442" t="n"/>
      <c r="H36" s="442" t="n"/>
      <c r="I36" s="449" t="n"/>
      <c r="J36" s="46" t="n"/>
      <c r="K36" s="46" t="n"/>
      <c r="L36" s="46" t="n"/>
      <c r="M36" s="45" t="n"/>
      <c r="N36" s="46" t="n"/>
      <c r="O36" s="46" t="n"/>
    </row>
    <row r="37" ht="33" customHeight="1" thickBot="1">
      <c r="C37" s="562" t="inlineStr">
        <is>
          <t>Administrator Training</t>
        </is>
      </c>
      <c r="D37" s="606" t="inlineStr">
        <is>
          <t>Yes</t>
        </is>
      </c>
      <c r="E37" s="442" t="n"/>
      <c r="F37" s="1132">
        <f>IF(D37="","",IF(D37=C79,D79,IF(D37=C80,D80)))</f>
        <v/>
      </c>
      <c r="G37" s="1128">
        <f>F37*D38</f>
        <v/>
      </c>
      <c r="H37" s="442" t="n"/>
      <c r="I37" s="573">
        <f>'Pricing Structure Description'!G14</f>
        <v/>
      </c>
      <c r="J37" s="628" t="n"/>
      <c r="K37" s="46" t="n"/>
      <c r="L37" s="46" t="n"/>
      <c r="M37" s="45" t="n"/>
      <c r="N37" s="46" t="n"/>
      <c r="O37" s="46" t="n"/>
    </row>
    <row r="38" ht="32" customHeight="1">
      <c r="C38" s="559" t="inlineStr">
        <is>
          <t>If yes, number of Administrators</t>
        </is>
      </c>
      <c r="D38" s="613" t="n">
        <v>3</v>
      </c>
      <c r="E38" s="614" t="n"/>
      <c r="F38" s="1132" t="inlineStr">
        <is>
          <t xml:space="preserve"> </t>
        </is>
      </c>
      <c r="G38" s="1128" t="n"/>
      <c r="H38" s="442" t="n"/>
      <c r="I38" s="449" t="n"/>
      <c r="J38" s="46" t="n"/>
      <c r="K38" s="46" t="n"/>
      <c r="L38" s="46" t="n"/>
      <c r="M38" s="45" t="n"/>
      <c r="N38" s="46" t="n"/>
      <c r="O38" s="46" t="n"/>
    </row>
    <row r="39" ht="8" customHeight="1">
      <c r="C39" s="562" t="n"/>
      <c r="D39" s="453" t="n"/>
      <c r="E39" s="442" t="n"/>
      <c r="F39" s="1132" t="n"/>
      <c r="G39" s="1128" t="n"/>
      <c r="H39" s="442" t="n"/>
      <c r="I39" s="449" t="n"/>
      <c r="J39" s="46" t="n"/>
      <c r="K39" s="46" t="n"/>
      <c r="L39" s="46" t="n"/>
      <c r="M39" s="45" t="n"/>
      <c r="N39" s="46" t="n"/>
      <c r="O39" s="46" t="n"/>
    </row>
    <row r="40" ht="16" customHeight="1">
      <c r="C40" s="562" t="inlineStr">
        <is>
          <t>User Training</t>
        </is>
      </c>
      <c r="D40" s="615" t="inlineStr">
        <is>
          <t>Yes</t>
        </is>
      </c>
      <c r="E40" s="442" t="n"/>
      <c r="F40" s="1135">
        <f>IF(D40="","",IF(D40=C82,D82,IF(D40=C83,D83)))</f>
        <v/>
      </c>
      <c r="G40" s="1128">
        <f>D41*F40</f>
        <v/>
      </c>
      <c r="H40" s="442" t="n"/>
      <c r="I40" s="449">
        <f>'Pricing Structure Description'!G12</f>
        <v/>
      </c>
      <c r="J40" s="46" t="n"/>
      <c r="K40" s="46" t="n"/>
      <c r="L40" s="46" t="n"/>
      <c r="M40" s="45" t="n"/>
      <c r="N40" s="46" t="n"/>
      <c r="O40" s="46" t="n"/>
    </row>
    <row r="41" ht="16" customHeight="1">
      <c r="C41" s="559" t="inlineStr">
        <is>
          <t>If yes, number of sessions</t>
        </is>
      </c>
      <c r="D41" s="556" t="n">
        <v>5</v>
      </c>
      <c r="E41" s="442" t="n"/>
      <c r="F41" s="442" t="inlineStr">
        <is>
          <t xml:space="preserve"> </t>
        </is>
      </c>
      <c r="G41" s="442" t="inlineStr">
        <is>
          <t xml:space="preserve"> </t>
        </is>
      </c>
      <c r="H41" s="442" t="n"/>
      <c r="I41" s="449" t="n"/>
      <c r="J41" s="46" t="n"/>
      <c r="K41" s="46" t="n"/>
      <c r="L41" s="46" t="n"/>
      <c r="M41" s="45" t="n"/>
      <c r="N41" s="46" t="n"/>
      <c r="O41" s="46" t="n"/>
    </row>
    <row r="42" ht="16" customHeight="1">
      <c r="C42" s="562" t="n"/>
      <c r="D42" s="442" t="n"/>
      <c r="E42" s="442" t="n"/>
      <c r="F42" s="551" t="n"/>
      <c r="G42" s="442" t="n"/>
      <c r="H42" s="442" t="n"/>
      <c r="I42" s="449" t="n"/>
      <c r="J42" s="46" t="n"/>
      <c r="K42" s="46" t="n"/>
      <c r="L42" s="46" t="n"/>
      <c r="M42" s="45" t="n"/>
      <c r="N42" s="46" t="n"/>
      <c r="O42" s="46" t="n"/>
    </row>
    <row r="43" ht="16" customHeight="1">
      <c r="C43" s="629">
        <f>C88</f>
        <v/>
      </c>
      <c r="D43" s="453" t="n"/>
      <c r="E43" s="1136">
        <f>IF(D44="","",IF(D44=C90,D90,IF(D44=C91,D91)))</f>
        <v/>
      </c>
      <c r="F43" s="551" t="n"/>
      <c r="G43" s="442" t="n"/>
      <c r="H43" s="442" t="n"/>
      <c r="I43" s="449" t="n"/>
      <c r="J43" s="46" t="n"/>
      <c r="K43" s="46" t="n"/>
      <c r="L43" s="46" t="n"/>
      <c r="M43" s="45" t="n"/>
      <c r="N43" s="46" t="n"/>
      <c r="O43" s="46" t="n"/>
    </row>
    <row r="44" ht="17" customHeight="1" thickBot="1">
      <c r="C44" s="618">
        <f>C89</f>
        <v/>
      </c>
      <c r="D44" s="617" t="inlineStr">
        <is>
          <t>Yes</t>
        </is>
      </c>
      <c r="E44" s="1137">
        <f>E43*D23</f>
        <v/>
      </c>
      <c r="F44" s="551" t="n"/>
      <c r="G44" s="442" t="n"/>
      <c r="H44" s="442" t="n"/>
      <c r="I44" s="449">
        <f>IF(D44="","",IF(D44=C90,'Pricing Structure Description'!G11,IF('Pricing Calcuator'!D44='Pricing Calcuator'!C91,'Pricing Structure Description'!H19)))</f>
        <v/>
      </c>
      <c r="J44" s="46" t="n"/>
      <c r="K44" s="46" t="n"/>
      <c r="L44" s="46" t="n"/>
      <c r="M44" s="45" t="n"/>
      <c r="N44" s="46" t="n"/>
      <c r="O44" s="46" t="n"/>
    </row>
    <row r="45" ht="16" customHeight="1">
      <c r="C45" s="562" t="n"/>
      <c r="D45" s="442" t="n"/>
      <c r="E45" s="442" t="n"/>
      <c r="F45" s="551" t="n"/>
      <c r="G45" s="442" t="n"/>
      <c r="H45" s="442" t="n"/>
      <c r="I45" s="449" t="n"/>
      <c r="J45" s="46" t="n"/>
      <c r="K45" s="46" t="n"/>
      <c r="L45" s="46" t="n"/>
      <c r="M45" s="45" t="n"/>
      <c r="N45" s="46" t="n"/>
      <c r="O45" s="46" t="n"/>
    </row>
    <row r="46" ht="16" customHeight="1">
      <c r="C46" s="620" t="inlineStr">
        <is>
          <t>Consultancy Services</t>
        </is>
      </c>
      <c r="D46" s="619" t="inlineStr">
        <is>
          <t>Yes</t>
        </is>
      </c>
      <c r="E46" s="614" t="n"/>
      <c r="F46" s="442" t="n"/>
      <c r="G46" s="1128">
        <f>IF(D46="","",IF(D46=C93,D93,IF(D46=C94,D94)))</f>
        <v/>
      </c>
      <c r="H46" s="442" t="n"/>
      <c r="I46" s="449">
        <f>IF(D46="","",IF(D46=C93,'Pricing Structure Description'!G12,IF('Pricing Calcuator'!D46='Pricing Calcuator'!C94,'Pricing Structure Description'!H22)))</f>
        <v/>
      </c>
      <c r="J46" s="46" t="n"/>
      <c r="K46" s="46" t="n"/>
      <c r="L46" s="46" t="n"/>
      <c r="M46" s="45" t="n"/>
      <c r="N46" s="46" t="n"/>
      <c r="O46" s="46" t="n"/>
    </row>
    <row r="47" ht="16" customHeight="1">
      <c r="C47" s="562" t="n"/>
      <c r="D47" s="442" t="n"/>
      <c r="E47" s="442" t="n"/>
      <c r="F47" s="442" t="n"/>
      <c r="G47" s="442" t="n"/>
      <c r="H47" s="442" t="n"/>
      <c r="I47" s="449" t="n"/>
      <c r="J47" s="46" t="n"/>
      <c r="K47" s="46" t="n"/>
      <c r="L47" s="46" t="n"/>
      <c r="M47" s="45" t="n"/>
      <c r="N47" s="46" t="n"/>
      <c r="O47" s="46" t="n"/>
    </row>
    <row r="48" ht="16" customHeight="1">
      <c r="C48" s="562" t="n"/>
      <c r="D48" s="442" t="n"/>
      <c r="E48" s="442" t="n"/>
      <c r="F48" s="442" t="n"/>
      <c r="G48" s="442" t="n"/>
      <c r="H48" s="442" t="n"/>
      <c r="I48" s="449" t="n"/>
      <c r="J48" s="46" t="n"/>
      <c r="K48" s="46" t="n"/>
      <c r="L48" s="46" t="n"/>
      <c r="M48" s="45" t="n"/>
      <c r="N48" s="46" t="n"/>
      <c r="O48" s="46" t="n"/>
    </row>
    <row r="49" ht="16" customHeight="1">
      <c r="C49" s="562" t="n"/>
      <c r="D49" s="442" t="n"/>
      <c r="E49" s="1138">
        <f>((E23+E24+E26)*E28)+E44</f>
        <v/>
      </c>
      <c r="F49" s="442" t="n"/>
      <c r="G49" s="1139">
        <f>SUM(G20:G48)</f>
        <v/>
      </c>
      <c r="H49" s="442" t="n"/>
      <c r="I49" s="449" t="inlineStr">
        <is>
          <t xml:space="preserve"> </t>
        </is>
      </c>
      <c r="J49" s="46" t="n"/>
      <c r="K49" s="46" t="n"/>
      <c r="L49" s="46" t="n"/>
      <c r="M49" s="45" t="n"/>
      <c r="N49" s="46" t="n"/>
      <c r="O49" s="46" t="n"/>
    </row>
    <row r="50" ht="16" customHeight="1">
      <c r="C50" s="562" t="n"/>
      <c r="D50" s="442" t="n"/>
      <c r="E50" s="1128" t="n"/>
      <c r="F50" s="442" t="n"/>
      <c r="G50" s="1140" t="n"/>
      <c r="H50" s="442" t="n"/>
      <c r="I50" s="449" t="n"/>
      <c r="J50" s="46" t="n"/>
      <c r="K50" s="46" t="n"/>
      <c r="L50" s="46" t="n"/>
      <c r="M50" s="45" t="n"/>
      <c r="N50" s="46" t="n"/>
      <c r="O50" s="46" t="n"/>
    </row>
    <row r="51" ht="16" customHeight="1">
      <c r="C51" s="561" t="inlineStr">
        <is>
          <t>First Year</t>
        </is>
      </c>
      <c r="D51" s="442" t="n"/>
      <c r="E51" s="1128">
        <f>E49+G49</f>
        <v/>
      </c>
      <c r="F51" s="442" t="n"/>
      <c r="G51" s="1141" t="n"/>
      <c r="H51" s="442" t="n"/>
      <c r="I51" s="449" t="n"/>
      <c r="J51" s="46" t="n"/>
      <c r="K51" s="46" t="n"/>
      <c r="L51" s="46" t="n"/>
      <c r="M51" s="45" t="n"/>
    </row>
    <row r="52" ht="17" customHeight="1" thickBot="1">
      <c r="C52" s="561" t="n"/>
      <c r="D52" s="442" t="n"/>
      <c r="E52" s="1128" t="n"/>
      <c r="F52" s="442" t="n"/>
      <c r="G52" s="1141" t="n"/>
      <c r="H52" s="442" t="n"/>
      <c r="I52" s="449" t="n"/>
      <c r="J52" s="46" t="n"/>
      <c r="K52" s="46" t="n"/>
      <c r="L52" s="46" t="n"/>
      <c r="M52" s="45" t="n"/>
    </row>
    <row r="53" ht="16" customHeight="1">
      <c r="C53" s="561">
        <f>C84</f>
        <v/>
      </c>
      <c r="D53" s="621" t="inlineStr">
        <is>
          <t>Yes</t>
        </is>
      </c>
      <c r="E53" s="1142">
        <f>E49*0.2</f>
        <v/>
      </c>
      <c r="F53" s="442" t="n"/>
      <c r="G53" s="1141" t="n"/>
      <c r="H53" s="442" t="n"/>
      <c r="I53" s="449" t="n"/>
      <c r="J53" s="46" t="n"/>
      <c r="K53" s="46" t="n"/>
      <c r="L53" s="46" t="n"/>
      <c r="M53" s="45" t="n"/>
    </row>
    <row r="54" ht="17" customHeight="1" thickBot="1">
      <c r="C54" s="562" t="inlineStr">
        <is>
          <t>Year Commitment</t>
        </is>
      </c>
      <c r="D54" s="623" t="n">
        <v>2</v>
      </c>
      <c r="E54" s="1129">
        <f>IF(D54&gt;1,((E49*D54)-E53),IF(D54&lt;1,0))</f>
        <v/>
      </c>
      <c r="F54" s="442" t="inlineStr">
        <is>
          <t xml:space="preserve"> </t>
        </is>
      </c>
      <c r="G54" s="1141" t="n"/>
      <c r="H54" s="442" t="n"/>
      <c r="I54" s="449" t="inlineStr">
        <is>
          <t>Multi-Year with Discount of 20% per year</t>
        </is>
      </c>
      <c r="J54" s="46" t="n"/>
      <c r="K54" s="46" t="n"/>
      <c r="L54" s="46" t="n"/>
      <c r="M54" s="45" t="n"/>
    </row>
    <row r="55" ht="16" customHeight="1">
      <c r="C55" s="562" t="n"/>
      <c r="D55" s="624" t="n"/>
      <c r="F55" s="442" t="n"/>
      <c r="G55" s="1141" t="n"/>
      <c r="H55" s="442" t="n"/>
      <c r="I55" s="449" t="n"/>
      <c r="J55" s="46" t="n"/>
      <c r="K55" s="46" t="n"/>
      <c r="L55" s="46" t="n"/>
      <c r="M55" s="45" t="n"/>
    </row>
    <row r="56" ht="17" customHeight="1" thickBot="1">
      <c r="C56" s="601" t="inlineStr">
        <is>
          <t>Total Investment</t>
        </is>
      </c>
      <c r="D56" s="602" t="n"/>
      <c r="E56" s="1143">
        <f>E54+G49</f>
        <v/>
      </c>
      <c r="F56" s="442" t="n"/>
      <c r="G56" s="1140" t="inlineStr">
        <is>
          <t xml:space="preserve"> </t>
        </is>
      </c>
      <c r="H56" s="442" t="n"/>
      <c r="I56" s="449" t="inlineStr">
        <is>
          <t xml:space="preserve"> </t>
        </is>
      </c>
      <c r="J56" s="46" t="n"/>
      <c r="K56" s="46" t="n"/>
      <c r="L56" s="46" t="n"/>
      <c r="M56" s="45" t="n"/>
    </row>
    <row r="57" ht="18" customHeight="1" thickBot="1" thickTop="1">
      <c r="C57" s="456" t="n"/>
      <c r="D57" s="457" t="n"/>
      <c r="E57" s="457" t="n"/>
      <c r="F57" s="457" t="n"/>
      <c r="G57" s="457" t="n"/>
      <c r="H57" s="457" t="n"/>
      <c r="I57" s="458" t="n"/>
      <c r="J57" s="46" t="n"/>
      <c r="K57" s="46" t="n"/>
      <c r="L57" s="46" t="n"/>
      <c r="M57" s="45" t="n"/>
    </row>
    <row r="58" ht="17" customHeight="1" thickTop="1">
      <c r="C58" s="442" t="n"/>
      <c r="D58" s="442" t="n"/>
      <c r="E58" s="442" t="n"/>
      <c r="F58" s="442" t="n"/>
      <c r="G58" s="442" t="n"/>
      <c r="H58" s="442" t="n"/>
      <c r="I58" s="442" t="n"/>
      <c r="J58" s="46" t="n"/>
      <c r="K58" s="46" t="n"/>
      <c r="L58" s="46" t="n"/>
      <c r="M58" s="45" t="n"/>
    </row>
    <row r="59" ht="16" customHeight="1">
      <c r="C59" s="442" t="n"/>
      <c r="D59" s="442" t="n"/>
      <c r="E59" s="442" t="n"/>
      <c r="F59" s="442" t="n"/>
      <c r="G59" s="442" t="n"/>
      <c r="H59" s="442" t="n"/>
      <c r="I59" s="442" t="n"/>
      <c r="J59" s="46" t="n"/>
      <c r="K59" s="46" t="n"/>
      <c r="L59" s="46" t="n"/>
      <c r="M59" s="45" t="n"/>
    </row>
    <row r="60" ht="17" customHeight="1" thickBot="1">
      <c r="C60" s="442" t="n"/>
      <c r="D60" s="442" t="n"/>
      <c r="E60" s="442" t="n"/>
      <c r="F60" s="442" t="n"/>
      <c r="G60" s="442" t="n"/>
      <c r="H60" s="442" t="n"/>
      <c r="I60" s="442" t="n"/>
      <c r="J60" s="46" t="n"/>
      <c r="K60" s="46" t="n"/>
      <c r="L60" s="46" t="n"/>
      <c r="M60" s="45" t="n"/>
    </row>
    <row r="61" ht="16" customHeight="1">
      <c r="C61" s="1144" t="inlineStr">
        <is>
          <t>Outline of Service</t>
        </is>
      </c>
      <c r="D61" s="1145" t="n"/>
      <c r="E61" s="1145" t="n"/>
      <c r="F61" s="705" t="n"/>
      <c r="G61" s="459" t="n"/>
      <c r="H61" s="459" t="n"/>
      <c r="I61" s="459" t="n"/>
    </row>
    <row r="62" ht="34" customHeight="1">
      <c r="C62" s="654" t="inlineStr">
        <is>
          <t xml:space="preserve">Service </t>
        </is>
      </c>
      <c r="D62" s="1146" t="inlineStr">
        <is>
          <t>Pricing</t>
        </is>
      </c>
      <c r="E62" s="656" t="inlineStr">
        <is>
          <t>Offering</t>
        </is>
      </c>
      <c r="F62" s="657" t="inlineStr">
        <is>
          <t>Description</t>
        </is>
      </c>
      <c r="G62" s="442" t="n"/>
      <c r="H62" s="442" t="n"/>
      <c r="I62" s="442" t="n"/>
      <c r="J62" s="46" t="n"/>
      <c r="K62" s="46" t="n"/>
      <c r="L62" s="46" t="n"/>
      <c r="M62" s="45" t="n"/>
      <c r="N62" s="46" t="n"/>
      <c r="O62" s="46" t="n"/>
    </row>
    <row r="63" ht="18" customHeight="1">
      <c r="C63" s="658" t="inlineStr">
        <is>
          <t>Reoccuring</t>
        </is>
      </c>
      <c r="D63" s="1147" t="n"/>
      <c r="E63" s="475" t="n"/>
      <c r="F63" s="659" t="n"/>
      <c r="G63" s="442" t="n"/>
      <c r="H63" s="442" t="n"/>
      <c r="I63" s="442" t="n"/>
      <c r="J63" s="46" t="n"/>
      <c r="K63" s="46" t="n"/>
      <c r="L63" s="46" t="n"/>
      <c r="M63" s="45" t="n"/>
      <c r="N63" s="46" t="n"/>
      <c r="O63" s="46" t="n"/>
    </row>
    <row r="64" ht="16" customHeight="1">
      <c r="C64" s="660" t="inlineStr">
        <is>
          <t>Site / User</t>
        </is>
      </c>
      <c r="D64" s="135" t="inlineStr">
        <is>
          <t xml:space="preserve"> </t>
        </is>
      </c>
      <c r="E64" s="135" t="inlineStr">
        <is>
          <t xml:space="preserve"> </t>
        </is>
      </c>
      <c r="F64" s="661" t="inlineStr">
        <is>
          <t xml:space="preserve"> </t>
        </is>
      </c>
      <c r="G64" s="442" t="inlineStr">
        <is>
          <t xml:space="preserve"> </t>
        </is>
      </c>
      <c r="H64" s="442" t="n"/>
      <c r="I64" s="442" t="n"/>
      <c r="J64" s="46" t="n"/>
      <c r="K64" s="46" t="n"/>
      <c r="L64" s="46" t="n"/>
      <c r="M64" s="45" t="n"/>
      <c r="N64" s="46" t="n"/>
      <c r="O64" s="46" t="n"/>
    </row>
    <row r="65" ht="16" customHeight="1">
      <c r="C65" s="662" t="inlineStr">
        <is>
          <t xml:space="preserve">Site  </t>
        </is>
      </c>
      <c r="D65" s="135" t="n"/>
      <c r="E65" s="135" t="n"/>
      <c r="F65" s="661" t="n"/>
      <c r="G65" s="442" t="n"/>
      <c r="H65" s="442" t="n"/>
      <c r="I65" s="442" t="n"/>
      <c r="J65" s="46" t="n"/>
      <c r="K65" s="46" t="n"/>
      <c r="L65" s="46" t="n"/>
      <c r="M65" s="45" t="n"/>
      <c r="N65" s="46" t="n"/>
      <c r="O65" s="46" t="n"/>
    </row>
    <row r="66" ht="16" customHeight="1">
      <c r="C66" s="662" t="inlineStr">
        <is>
          <t>User</t>
        </is>
      </c>
      <c r="D66" s="135" t="n"/>
      <c r="E66" s="135" t="n"/>
      <c r="F66" s="661" t="n"/>
      <c r="G66" s="442" t="n"/>
      <c r="H66" s="442" t="n"/>
      <c r="I66" s="442" t="n"/>
      <c r="J66" s="46" t="n"/>
      <c r="K66" s="46" t="n"/>
      <c r="L66" s="46" t="n"/>
      <c r="M66" s="45" t="n"/>
      <c r="N66" s="46" t="n"/>
      <c r="O66" s="46" t="n"/>
    </row>
    <row r="67" ht="16" customHeight="1">
      <c r="C67" s="662" t="n"/>
      <c r="D67" s="135" t="n"/>
      <c r="E67" s="135" t="n"/>
      <c r="F67" s="661" t="n"/>
      <c r="G67" s="442" t="n"/>
      <c r="H67" s="442" t="n"/>
      <c r="I67" s="442" t="n"/>
      <c r="J67" s="46" t="n"/>
      <c r="K67" s="46" t="n"/>
      <c r="L67" s="46" t="n"/>
      <c r="M67" s="45" t="n"/>
      <c r="N67" s="46" t="n"/>
      <c r="O67" s="46" t="n"/>
    </row>
    <row r="68" ht="16" customHeight="1">
      <c r="C68" s="660" t="inlineStr">
        <is>
          <t>Tech Support</t>
        </is>
      </c>
      <c r="D68" s="135" t="n"/>
      <c r="E68" s="135" t="n"/>
      <c r="F68" s="661" t="n"/>
      <c r="G68" s="442" t="n"/>
      <c r="H68" s="442" t="n"/>
      <c r="I68" s="442" t="n"/>
      <c r="J68" s="46" t="n"/>
      <c r="K68" s="46" t="n"/>
      <c r="L68" s="46" t="n"/>
      <c r="M68" s="45" t="n"/>
      <c r="N68" s="46" t="n"/>
      <c r="O68" s="46" t="n"/>
    </row>
    <row r="69" ht="16" customHeight="1">
      <c r="C69" s="662" t="inlineStr">
        <is>
          <t>Support Spark</t>
        </is>
      </c>
      <c r="D69" s="476" t="n">
        <v>50</v>
      </c>
      <c r="E69" s="477">
        <f>'Pricing Structure Description'!F6</f>
        <v/>
      </c>
      <c r="F69" s="661" t="n"/>
      <c r="G69" s="442" t="n"/>
      <c r="H69" s="442" t="n"/>
      <c r="I69" s="442" t="n"/>
      <c r="J69" s="46" t="n"/>
      <c r="K69" s="46" t="n"/>
      <c r="L69" s="46" t="n"/>
      <c r="M69" s="45" t="n"/>
      <c r="N69" s="46" t="n"/>
      <c r="O69" s="46" t="n"/>
    </row>
    <row r="70" ht="51" customHeight="1">
      <c r="C70" s="663" t="inlineStr">
        <is>
          <t>Support Blaze</t>
        </is>
      </c>
      <c r="D70" s="482" t="n">
        <v>100</v>
      </c>
      <c r="E70" s="478">
        <f>'Pricing Structure Description'!F7</f>
        <v/>
      </c>
      <c r="F70" s="664" t="n"/>
      <c r="G70" s="442" t="n"/>
      <c r="H70" s="442" t="n"/>
      <c r="I70" s="442" t="n"/>
      <c r="J70" s="46" t="n"/>
      <c r="K70" s="46" t="n"/>
      <c r="L70" s="46" t="n"/>
      <c r="M70" s="45" t="n"/>
      <c r="N70" s="46" t="n"/>
      <c r="O70" s="46" t="n"/>
    </row>
    <row r="71" ht="16" customHeight="1">
      <c r="C71" s="665" t="n"/>
      <c r="D71" s="477" t="n"/>
      <c r="E71" s="135" t="n"/>
      <c r="F71" s="661" t="n"/>
      <c r="G71" s="442" t="n"/>
      <c r="H71" s="442" t="n"/>
      <c r="I71" s="442" t="n"/>
      <c r="J71" s="46" t="n"/>
      <c r="K71" s="46" t="n"/>
      <c r="L71" s="46" t="n"/>
      <c r="M71" s="45" t="n"/>
      <c r="N71" s="46" t="n"/>
      <c r="O71" s="46" t="n"/>
    </row>
    <row r="72" ht="18" customHeight="1">
      <c r="C72" s="666" t="inlineStr">
        <is>
          <t>One Time</t>
        </is>
      </c>
      <c r="D72" s="479" t="n"/>
      <c r="E72" s="475" t="n"/>
      <c r="F72" s="659" t="n"/>
      <c r="G72" s="442" t="n"/>
      <c r="H72" s="442" t="n"/>
      <c r="I72" s="442" t="n"/>
      <c r="J72" s="46" t="n"/>
      <c r="K72" s="46" t="n"/>
      <c r="L72" s="46" t="n"/>
      <c r="M72" s="45" t="n"/>
      <c r="N72" s="46" t="n"/>
      <c r="O72" s="46" t="n"/>
    </row>
    <row r="73" ht="16" customHeight="1">
      <c r="C73" s="660" t="inlineStr">
        <is>
          <t>Configuration</t>
        </is>
      </c>
      <c r="D73" s="480" t="inlineStr">
        <is>
          <t xml:space="preserve"> </t>
        </is>
      </c>
      <c r="E73" s="135" t="n"/>
      <c r="F73" s="661" t="n"/>
      <c r="G73" s="442" t="n"/>
      <c r="H73" s="442" t="n"/>
      <c r="I73" s="442" t="n"/>
      <c r="J73" s="46" t="n"/>
      <c r="K73" s="46" t="n"/>
      <c r="L73" s="46" t="n"/>
      <c r="M73" s="45" t="n"/>
      <c r="N73" s="46" t="n"/>
      <c r="O73" s="46" t="n"/>
    </row>
    <row r="74" ht="16" customHeight="1">
      <c r="C74" s="662" t="inlineStr">
        <is>
          <t>Spark</t>
        </is>
      </c>
      <c r="D74" s="477" t="n">
        <v>100</v>
      </c>
      <c r="E74" s="46" t="n"/>
      <c r="F74" s="661" t="n"/>
      <c r="G74" s="442" t="n"/>
      <c r="H74" s="442" t="n"/>
      <c r="I74" s="442" t="n"/>
      <c r="J74" s="46" t="n"/>
      <c r="K74" s="46" t="n"/>
      <c r="L74" s="46" t="n"/>
      <c r="M74" s="45" t="n"/>
      <c r="N74" s="46" t="n"/>
      <c r="O74" s="46" t="n"/>
    </row>
    <row r="75" ht="16" customHeight="1">
      <c r="C75" s="662" t="inlineStr">
        <is>
          <t>Blaze</t>
        </is>
      </c>
      <c r="D75" s="481" t="n">
        <v>250</v>
      </c>
      <c r="E75" s="46" t="n"/>
      <c r="F75" s="661" t="n"/>
      <c r="G75" s="442" t="n"/>
      <c r="H75" s="442" t="n"/>
      <c r="I75" s="442" t="n"/>
      <c r="J75" s="46" t="n"/>
      <c r="K75" s="46" t="n"/>
      <c r="L75" s="46" t="n"/>
      <c r="M75" s="45" t="n"/>
      <c r="N75" s="46" t="n"/>
      <c r="O75" s="46" t="n"/>
    </row>
    <row r="76" ht="16" customHeight="1">
      <c r="C76" s="665" t="inlineStr">
        <is>
          <t xml:space="preserve"> </t>
        </is>
      </c>
      <c r="D76" s="477" t="n"/>
      <c r="E76" s="135" t="n"/>
      <c r="F76" s="661" t="n"/>
      <c r="G76" s="442" t="n"/>
      <c r="H76" s="442" t="n"/>
      <c r="I76" s="442" t="n"/>
      <c r="J76" s="46" t="n"/>
      <c r="K76" s="46" t="n"/>
      <c r="L76" s="46" t="n"/>
      <c r="M76" s="45" t="n"/>
      <c r="N76" s="46" t="n"/>
      <c r="O76" s="46" t="n"/>
    </row>
    <row r="77" ht="16" customHeight="1">
      <c r="C77" s="660" t="inlineStr">
        <is>
          <t>On-Boarding</t>
        </is>
      </c>
      <c r="D77" s="477" t="n"/>
      <c r="E77" s="135" t="n"/>
      <c r="F77" s="661" t="n"/>
      <c r="G77" s="442" t="n"/>
      <c r="H77" s="442" t="n"/>
      <c r="I77" s="442" t="n"/>
      <c r="J77" s="46" t="n"/>
      <c r="K77" s="46" t="n"/>
      <c r="L77" s="46" t="n"/>
      <c r="M77" s="45" t="n"/>
      <c r="N77" s="46" t="n"/>
      <c r="O77" s="46" t="n"/>
    </row>
    <row r="78" ht="16" customHeight="1">
      <c r="C78" s="662" t="inlineStr">
        <is>
          <t>admin training</t>
        </is>
      </c>
      <c r="D78" s="477" t="inlineStr">
        <is>
          <t xml:space="preserve"> </t>
        </is>
      </c>
      <c r="E78" s="135" t="inlineStr">
        <is>
          <t xml:space="preserve"> </t>
        </is>
      </c>
      <c r="F78" s="661" t="n"/>
      <c r="G78" s="442" t="n"/>
      <c r="H78" s="442" t="n"/>
      <c r="I78" s="442" t="n"/>
      <c r="J78" s="46" t="n"/>
      <c r="K78" s="46" t="n"/>
      <c r="L78" s="46" t="n"/>
      <c r="M78" s="45" t="n"/>
      <c r="N78" s="46" t="n"/>
      <c r="O78" s="46" t="n"/>
    </row>
    <row r="79" ht="16" customHeight="1">
      <c r="C79" s="667" t="inlineStr">
        <is>
          <t>Yes</t>
        </is>
      </c>
      <c r="D79" s="480" t="n">
        <v>600</v>
      </c>
      <c r="E79" s="135" t="inlineStr">
        <is>
          <t>per session</t>
        </is>
      </c>
      <c r="F79" s="661" t="n"/>
      <c r="G79" s="442" t="n"/>
      <c r="H79" s="442" t="n"/>
      <c r="I79" s="442" t="n"/>
      <c r="J79" s="46" t="n"/>
      <c r="K79" s="46" t="n"/>
      <c r="L79" s="46" t="n"/>
      <c r="M79" s="45" t="n"/>
      <c r="N79" s="46" t="n"/>
      <c r="O79" s="46" t="n"/>
    </row>
    <row r="80" ht="16" customHeight="1">
      <c r="C80" s="667" t="inlineStr">
        <is>
          <t>No</t>
        </is>
      </c>
      <c r="D80" s="480" t="n">
        <v>0</v>
      </c>
      <c r="E80" s="135" t="n"/>
      <c r="F80" s="661" t="n"/>
      <c r="G80" s="442" t="n"/>
      <c r="H80" s="442" t="n"/>
      <c r="I80" s="442" t="n"/>
      <c r="J80" s="46" t="n"/>
      <c r="K80" s="46" t="n"/>
      <c r="L80" s="46" t="n"/>
      <c r="M80" s="45" t="n"/>
      <c r="N80" s="46" t="n"/>
      <c r="O80" s="46" t="n"/>
    </row>
    <row r="81" ht="16" customHeight="1">
      <c r="C81" s="662" t="inlineStr">
        <is>
          <t>user training</t>
        </is>
      </c>
      <c r="D81" s="480" t="inlineStr">
        <is>
          <t xml:space="preserve"> </t>
        </is>
      </c>
      <c r="E81" s="135" t="inlineStr">
        <is>
          <t xml:space="preserve"> </t>
        </is>
      </c>
      <c r="F81" s="661" t="n"/>
      <c r="G81" s="442" t="n"/>
      <c r="H81" s="442" t="n"/>
      <c r="I81" s="442" t="n"/>
      <c r="J81" s="46" t="n"/>
      <c r="K81" s="46" t="n"/>
      <c r="L81" s="46" t="n"/>
      <c r="M81" s="45" t="n"/>
      <c r="N81" s="46" t="n"/>
      <c r="O81" s="46" t="n"/>
    </row>
    <row r="82" ht="16" customHeight="1">
      <c r="C82" s="667" t="inlineStr">
        <is>
          <t>Yes</t>
        </is>
      </c>
      <c r="D82" s="476" t="n">
        <v>600</v>
      </c>
      <c r="E82" s="135" t="inlineStr">
        <is>
          <t>per session</t>
        </is>
      </c>
      <c r="F82" s="661" t="n"/>
      <c r="G82" s="442" t="n"/>
      <c r="H82" s="442" t="n"/>
      <c r="I82" s="442" t="n"/>
      <c r="J82" s="46" t="n"/>
      <c r="K82" s="46" t="n"/>
      <c r="L82" s="46" t="n"/>
      <c r="M82" s="45" t="n"/>
      <c r="N82" s="46" t="n"/>
      <c r="O82" s="46" t="n"/>
    </row>
    <row r="83" ht="16" customHeight="1">
      <c r="C83" s="667" t="inlineStr">
        <is>
          <t>No</t>
        </is>
      </c>
      <c r="D83" s="480" t="n">
        <v>0</v>
      </c>
      <c r="E83" s="135" t="n"/>
      <c r="F83" s="661" t="n"/>
      <c r="G83" s="442" t="n"/>
      <c r="H83" s="442" t="n"/>
      <c r="I83" s="442" t="n"/>
      <c r="J83" s="46" t="n"/>
      <c r="K83" s="46" t="n"/>
      <c r="L83" s="46" t="n"/>
      <c r="M83" s="45" t="n"/>
      <c r="N83" s="46" t="n"/>
      <c r="O83" s="46" t="n"/>
    </row>
    <row r="84" ht="16" customHeight="1">
      <c r="C84" s="660" t="inlineStr">
        <is>
          <t>Multi-Year</t>
        </is>
      </c>
      <c r="D84" s="477" t="inlineStr">
        <is>
          <t>Yes</t>
        </is>
      </c>
      <c r="E84" s="135" t="n"/>
      <c r="F84" s="661" t="n"/>
      <c r="G84" s="442" t="n"/>
      <c r="H84" s="442" t="n"/>
      <c r="I84" s="442" t="n"/>
      <c r="J84" s="46" t="n"/>
      <c r="K84" s="46" t="n"/>
      <c r="L84" s="46" t="n"/>
      <c r="M84" s="45" t="n"/>
      <c r="N84" s="46" t="n"/>
      <c r="O84" s="46" t="n"/>
    </row>
    <row r="85" ht="16" customHeight="1">
      <c r="C85" s="665" t="n"/>
      <c r="D85" s="477" t="inlineStr">
        <is>
          <t>No</t>
        </is>
      </c>
      <c r="E85" s="135" t="n"/>
      <c r="F85" s="661" t="n"/>
      <c r="G85" s="442" t="n"/>
      <c r="H85" s="442" t="n"/>
      <c r="I85" s="442" t="n"/>
      <c r="J85" s="46" t="n"/>
      <c r="K85" s="46" t="n"/>
      <c r="L85" s="46" t="n"/>
      <c r="M85" s="45" t="n"/>
      <c r="N85" s="46" t="n"/>
      <c r="O85" s="46" t="n"/>
    </row>
    <row r="86" ht="16" customHeight="1">
      <c r="C86" s="668" t="inlineStr">
        <is>
          <t>Import</t>
        </is>
      </c>
      <c r="D86" s="482" t="n">
        <v>700</v>
      </c>
      <c r="E86" s="483" t="n"/>
      <c r="F86" s="664" t="n"/>
      <c r="G86" s="442" t="n"/>
      <c r="H86" s="442" t="n"/>
      <c r="I86" s="442" t="n"/>
      <c r="J86" s="46" t="n"/>
      <c r="K86" s="46" t="n"/>
      <c r="L86" s="46" t="n"/>
      <c r="M86" s="45" t="n"/>
      <c r="N86" s="46" t="n"/>
      <c r="O86" s="46" t="n"/>
    </row>
    <row r="87" ht="16" customHeight="1">
      <c r="C87" s="669" t="inlineStr">
        <is>
          <t xml:space="preserve"> </t>
        </is>
      </c>
      <c r="D87" s="477" t="n"/>
      <c r="E87" s="135" t="n"/>
      <c r="F87" s="661" t="n"/>
      <c r="G87" s="442" t="n"/>
      <c r="H87" s="442" t="n"/>
      <c r="I87" s="442" t="n"/>
      <c r="J87" s="46" t="n"/>
      <c r="K87" s="46" t="n"/>
      <c r="L87" s="46" t="n"/>
      <c r="M87" s="45" t="n"/>
      <c r="N87" s="46" t="n"/>
      <c r="O87" s="46" t="n"/>
    </row>
    <row r="88" ht="16" customHeight="1">
      <c r="C88" s="670" t="inlineStr">
        <is>
          <t xml:space="preserve">Thought Leadership </t>
        </is>
      </c>
      <c r="D88" s="479" t="n"/>
      <c r="E88" s="475" t="n"/>
      <c r="F88" s="659" t="n"/>
      <c r="G88" s="442" t="n"/>
      <c r="H88" s="442" t="n"/>
      <c r="I88" s="442" t="n"/>
      <c r="J88" s="46" t="n"/>
      <c r="K88" s="46" t="n"/>
      <c r="L88" s="46" t="n"/>
      <c r="M88" s="45" t="n"/>
      <c r="N88" s="46" t="n"/>
      <c r="O88" s="46" t="n"/>
    </row>
    <row r="89" ht="17" customHeight="1">
      <c r="C89" s="671" t="inlineStr">
        <is>
          <t>Thought Library</t>
        </is>
      </c>
      <c r="D89" s="477" t="inlineStr">
        <is>
          <t xml:space="preserve"> </t>
        </is>
      </c>
      <c r="E89" s="135" t="n"/>
      <c r="F89" s="661" t="n"/>
      <c r="G89" s="442" t="n"/>
      <c r="H89" s="442" t="n"/>
      <c r="I89" s="442" t="n"/>
      <c r="J89" s="46" t="n"/>
      <c r="K89" s="46" t="n"/>
      <c r="L89" s="46" t="n"/>
      <c r="M89" s="45" t="n"/>
      <c r="N89" s="46" t="n"/>
      <c r="O89" s="46" t="n"/>
    </row>
    <row r="90" ht="16" customHeight="1">
      <c r="C90" s="662" t="inlineStr">
        <is>
          <t>Yes</t>
        </is>
      </c>
      <c r="D90" s="480" t="n">
        <v>50</v>
      </c>
      <c r="E90" s="135" t="n"/>
      <c r="F90" s="661" t="n"/>
      <c r="G90" s="442" t="n"/>
      <c r="H90" s="442" t="n"/>
      <c r="I90" s="442" t="n"/>
      <c r="J90" s="46" t="n"/>
      <c r="K90" s="46" t="n"/>
      <c r="L90" s="46" t="n"/>
      <c r="M90" s="45" t="n"/>
      <c r="N90" s="46" t="n"/>
      <c r="O90" s="46" t="n"/>
    </row>
    <row r="91" ht="16" customHeight="1">
      <c r="C91" s="662" t="inlineStr">
        <is>
          <t>No</t>
        </is>
      </c>
      <c r="D91" s="480" t="n">
        <v>0</v>
      </c>
      <c r="E91" s="135" t="n"/>
      <c r="F91" s="661" t="n"/>
      <c r="G91" s="442" t="n"/>
      <c r="H91" s="442" t="n"/>
      <c r="I91" s="442" t="n"/>
      <c r="J91" s="46" t="n"/>
      <c r="K91" s="46" t="n"/>
      <c r="L91" s="46" t="n"/>
      <c r="M91" s="45" t="n"/>
      <c r="N91" s="46" t="n"/>
      <c r="O91" s="46" t="n"/>
    </row>
    <row r="92" ht="16" customHeight="1">
      <c r="C92" s="660" t="inlineStr">
        <is>
          <t>Consultancy as a Service</t>
        </is>
      </c>
      <c r="D92" s="477" t="inlineStr">
        <is>
          <t xml:space="preserve"> </t>
        </is>
      </c>
      <c r="E92" s="135" t="n"/>
      <c r="F92" s="661" t="n"/>
      <c r="G92" s="442" t="n"/>
      <c r="H92" s="442" t="n"/>
      <c r="I92" s="442" t="n"/>
      <c r="J92" s="46" t="n"/>
      <c r="K92" s="46" t="n"/>
      <c r="L92" s="46" t="n"/>
      <c r="M92" s="45" t="n"/>
      <c r="N92" s="46" t="n"/>
      <c r="O92" s="46" t="n"/>
    </row>
    <row r="93" ht="16" customHeight="1">
      <c r="C93" s="662" t="inlineStr">
        <is>
          <t>Yes</t>
        </is>
      </c>
      <c r="D93" s="480" t="n">
        <v>250</v>
      </c>
      <c r="E93" s="135" t="n"/>
      <c r="F93" s="661" t="n"/>
      <c r="G93" s="442" t="n"/>
      <c r="H93" s="442" t="n"/>
      <c r="I93" s="442" t="n"/>
      <c r="J93" s="46" t="n"/>
      <c r="K93" s="46" t="n"/>
      <c r="L93" s="46" t="n"/>
      <c r="M93" s="45" t="n"/>
      <c r="N93" s="46" t="n"/>
      <c r="O93" s="46" t="n"/>
    </row>
    <row r="94" ht="17" customHeight="1" thickBot="1">
      <c r="C94" s="672" t="inlineStr">
        <is>
          <t>No</t>
        </is>
      </c>
      <c r="D94" s="673" t="n">
        <v>0</v>
      </c>
      <c r="E94" s="674" t="n"/>
      <c r="F94" s="675" t="n"/>
      <c r="G94" s="442" t="n"/>
      <c r="H94" s="442" t="n"/>
      <c r="I94" s="442" t="n"/>
      <c r="J94" s="46" t="n"/>
      <c r="K94" s="46" t="n"/>
      <c r="L94" s="46" t="n"/>
      <c r="M94" s="45" t="n"/>
      <c r="N94" s="46" t="n"/>
      <c r="O94" s="46" t="n"/>
    </row>
  </sheetData>
  <mergeCells count="4">
    <mergeCell ref="C17:I17"/>
    <mergeCell ref="C3:D3"/>
    <mergeCell ref="C61:F61"/>
    <mergeCell ref="C16:I16"/>
  </mergeCells>
  <dataValidations count="6">
    <dataValidation sqref="D20" showDropDown="0" showInputMessage="1" showErrorMessage="1" allowBlank="1" type="list">
      <formula1>$C$7:$C$14</formula1>
    </dataValidation>
    <dataValidation sqref="D26" showDropDown="0" showInputMessage="1" showErrorMessage="1" allowBlank="1" type="list">
      <formula1>$C$69:$C$70</formula1>
    </dataValidation>
    <dataValidation sqref="D37 D44" showDropDown="0" showInputMessage="1" showErrorMessage="1" allowBlank="1" type="list">
      <formula1>$C$79:$C$80</formula1>
    </dataValidation>
    <dataValidation sqref="D40 D46" showDropDown="0" showInputMessage="1" showErrorMessage="1" allowBlank="1" type="list">
      <formula1>$C$82:$C$83</formula1>
    </dataValidation>
    <dataValidation sqref="D53" showDropDown="0" showInputMessage="1" showErrorMessage="1" allowBlank="1" type="list">
      <formula1>$D$84:$D$85</formula1>
    </dataValidation>
    <dataValidation sqref="D31 D33" showDropDown="0" showInputMessage="1" showErrorMessage="1" allowBlank="1" type="list">
      <formula1>$C$74:$C$75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173"/>
  <sheetViews>
    <sheetView topLeftCell="C1" zoomScale="92" zoomScaleNormal="94" workbookViewId="0">
      <selection activeCell="T102" sqref="T102"/>
    </sheetView>
  </sheetViews>
  <sheetFormatPr baseColWidth="10" defaultColWidth="8.83203125" defaultRowHeight="15"/>
  <cols>
    <col width="40.33203125" bestFit="1" customWidth="1" min="3" max="3"/>
    <col width="19" customWidth="1" min="4" max="15"/>
    <col width="26.33203125" customWidth="1" min="16" max="16"/>
    <col width="19" customWidth="1" min="17" max="18"/>
    <col width="19.83203125" customWidth="1" min="19" max="19"/>
    <col width="13.5" customWidth="1" min="20" max="27"/>
  </cols>
  <sheetData>
    <row r="2" ht="22" customHeight="1" thickBot="1">
      <c r="C2" s="204" t="inlineStr">
        <is>
          <t xml:space="preserve"> </t>
        </is>
      </c>
      <c r="D2" s="1030" t="inlineStr">
        <is>
          <t xml:space="preserve"> </t>
        </is>
      </c>
      <c r="J2" s="46" t="n"/>
      <c r="K2" s="46" t="n"/>
      <c r="L2" s="46" t="n"/>
      <c r="M2" s="46" t="n"/>
      <c r="N2" s="46" t="n"/>
      <c r="O2" s="47" t="n"/>
      <c r="P2" s="47" t="n"/>
      <c r="Q2" s="47" t="n"/>
      <c r="R2" s="47" t="n"/>
    </row>
    <row r="3" ht="22" customHeight="1" thickBot="1">
      <c r="B3" s="46" t="n"/>
      <c r="C3" s="120" t="n">
        <v>2025</v>
      </c>
      <c r="D3" s="1148" t="inlineStr">
        <is>
          <t>Pricing</t>
        </is>
      </c>
      <c r="E3" s="1149" t="n"/>
      <c r="F3" s="1150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39" customHeight="1" thickBot="1">
      <c r="B4" s="46" t="n"/>
      <c r="C4" s="97" t="inlineStr">
        <is>
          <t>Offerings and Distribution</t>
        </is>
      </c>
      <c r="D4" s="91" t="inlineStr">
        <is>
          <t>Price</t>
        </is>
      </c>
      <c r="E4" s="93" t="inlineStr">
        <is>
          <t>COGS</t>
        </is>
      </c>
      <c r="F4" s="99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19" customHeight="1" thickBot="1">
      <c r="B5" s="46" t="n"/>
      <c r="C5" s="188" t="inlineStr">
        <is>
          <t>Administrative</t>
        </is>
      </c>
      <c r="D5" s="189" t="n"/>
      <c r="E5" s="190" t="n"/>
      <c r="F5" s="191" t="n"/>
      <c r="G5" s="46" t="n"/>
      <c r="H5" s="250" t="inlineStr">
        <is>
          <t>Growth Model</t>
        </is>
      </c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19" customHeight="1">
      <c r="B6" s="46" t="n"/>
      <c r="C6" s="848" t="inlineStr">
        <is>
          <t>Configuration</t>
        </is>
      </c>
      <c r="D6" s="849" t="n">
        <v>250</v>
      </c>
      <c r="E6" s="835" t="n">
        <v>50</v>
      </c>
      <c r="F6" s="1151">
        <f>D6-E6</f>
        <v/>
      </c>
      <c r="G6" s="46" t="n"/>
      <c r="H6" s="223" t="inlineStr">
        <is>
          <t xml:space="preserve"> </t>
        </is>
      </c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19" customHeight="1">
      <c r="B7" s="46" t="n"/>
      <c r="C7" s="850" t="inlineStr">
        <is>
          <t>On-Boarding- Administrator</t>
        </is>
      </c>
      <c r="D7" s="278" t="n">
        <v>500</v>
      </c>
      <c r="E7" s="420" t="n">
        <v>100</v>
      </c>
      <c r="F7" s="1152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19" customHeight="1">
      <c r="B8" s="46" t="n"/>
      <c r="C8" s="850" t="inlineStr">
        <is>
          <t>On-Boarding Users</t>
        </is>
      </c>
      <c r="D8" s="278" t="n">
        <v>500</v>
      </c>
      <c r="E8" s="420" t="n">
        <v>100</v>
      </c>
      <c r="F8" s="1152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19" customHeight="1">
      <c r="B9" s="46" t="n"/>
      <c r="C9" s="851" t="inlineStr">
        <is>
          <t>Import</t>
        </is>
      </c>
      <c r="D9" s="859">
        <f>'Pricing Calcuator'!D86</f>
        <v/>
      </c>
      <c r="E9" s="421" t="n">
        <v>600</v>
      </c>
      <c r="F9" s="1153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20" customHeight="1" thickBot="1">
      <c r="B10" s="46" t="n"/>
      <c r="C10" s="853" t="inlineStr">
        <is>
          <t>Support</t>
        </is>
      </c>
      <c r="D10" s="276" t="n">
        <v>100</v>
      </c>
      <c r="E10" s="431" t="n">
        <v>50</v>
      </c>
      <c r="F10" s="1154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19" customHeight="1" thickBot="1">
      <c r="B11" s="46" t="n"/>
      <c r="C11" s="855" t="inlineStr">
        <is>
          <t>Industry Break Down</t>
        </is>
      </c>
      <c r="D11" s="121" t="inlineStr">
        <is>
          <t xml:space="preserve"> </t>
        </is>
      </c>
      <c r="E11" s="291">
        <f>'COGS Analysis'!D18</f>
        <v/>
      </c>
      <c r="F11" s="1155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18" customHeight="1">
      <c r="B12" s="46" t="n"/>
      <c r="C12" s="857" t="inlineStr">
        <is>
          <t>Hospitality</t>
        </is>
      </c>
      <c r="D12" s="796" t="n">
        <v>250</v>
      </c>
      <c r="E12" s="800">
        <f>'Revenue 2030'!$Q$210</f>
        <v/>
      </c>
      <c r="F12" s="1156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18" customHeight="1">
      <c r="B13" s="46" t="n"/>
      <c r="C13" s="809" t="inlineStr">
        <is>
          <t>Hospitality- Reseller</t>
        </is>
      </c>
      <c r="D13" s="797" t="n">
        <v>100</v>
      </c>
      <c r="E13" s="801">
        <f>'Revenue 2030'!$Q$210</f>
        <v/>
      </c>
      <c r="F13" s="1157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18" customHeight="1">
      <c r="B14" s="46" t="n"/>
      <c r="C14" s="811" t="inlineStr">
        <is>
          <t>Real Estate Development</t>
        </is>
      </c>
      <c r="D14" s="798" t="n">
        <v>400</v>
      </c>
      <c r="E14" s="803">
        <f>'Revenue 2030'!$Q$210</f>
        <v/>
      </c>
      <c r="F14" s="1158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18" customHeight="1">
      <c r="B15" s="46" t="n"/>
      <c r="C15" s="811" t="inlineStr">
        <is>
          <t>Real Estate Development- Reseller</t>
        </is>
      </c>
      <c r="D15" s="798" t="n">
        <v>250</v>
      </c>
      <c r="E15" s="804">
        <f>'Revenue 2030'!$Q$210</f>
        <v/>
      </c>
      <c r="F15" s="1158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18" customHeight="1">
      <c r="B16" s="46" t="n"/>
      <c r="C16" s="809" t="inlineStr">
        <is>
          <t>Pharma</t>
        </is>
      </c>
      <c r="D16" s="797" t="n">
        <v>400</v>
      </c>
      <c r="E16" s="801">
        <f>'Revenue 2030'!$Q$210</f>
        <v/>
      </c>
      <c r="F16" s="1157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18" customHeight="1">
      <c r="B17" s="46" t="n"/>
      <c r="C17" s="809" t="inlineStr">
        <is>
          <t>Pharma- Reseller</t>
        </is>
      </c>
      <c r="D17" s="797" t="n">
        <v>250</v>
      </c>
      <c r="E17" s="801">
        <f>'Revenue 2030'!$Q$210</f>
        <v/>
      </c>
      <c r="F17" s="1157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18" customHeight="1">
      <c r="B18" s="46" t="n"/>
      <c r="C18" s="811" t="inlineStr">
        <is>
          <t>Start up - Small Firms</t>
        </is>
      </c>
      <c r="D18" s="798" t="n">
        <v>200</v>
      </c>
      <c r="E18" s="805">
        <f>'Revenue 2030'!$Q$210</f>
        <v/>
      </c>
      <c r="F18" s="1158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19" customHeight="1" thickBot="1">
      <c r="B19" s="46" t="n"/>
      <c r="C19" s="813" t="inlineStr">
        <is>
          <t>Start up Reseller</t>
        </is>
      </c>
      <c r="D19" s="814" t="n">
        <v>100</v>
      </c>
      <c r="E19" s="802">
        <f>'Revenue 2030'!$Q$210</f>
        <v/>
      </c>
      <c r="F19" s="1159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19" customHeight="1" thickBot="1">
      <c r="B20" s="46" t="n"/>
      <c r="C20" s="461" t="inlineStr">
        <is>
          <t>Training / Consultancy Training as a Service</t>
        </is>
      </c>
      <c r="D20" s="490" t="n"/>
      <c r="E20" s="462" t="n"/>
      <c r="F20" s="1160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18" customHeight="1">
      <c r="B21" s="46" t="n"/>
      <c r="C21" s="464" t="inlineStr">
        <is>
          <t>Thought Library</t>
        </is>
      </c>
      <c r="D21" s="493" t="n">
        <v>50</v>
      </c>
      <c r="E21" s="465" t="n">
        <v>25</v>
      </c>
      <c r="F21" s="1161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19" customHeight="1" thickBot="1">
      <c r="B22" s="46" t="n"/>
      <c r="C22" s="98" t="inlineStr">
        <is>
          <t>Consultancy Services</t>
        </is>
      </c>
      <c r="D22" s="100" t="n">
        <v>225</v>
      </c>
      <c r="E22" s="95" t="n">
        <v>125</v>
      </c>
      <c r="F22" s="1162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23.25" customHeight="1" thickBot="1">
      <c r="B23" s="46" t="n"/>
      <c r="C23" s="106" t="n"/>
      <c r="D23" s="253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39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55" t="inlineStr">
        <is>
          <t>Profit margin comparison</t>
        </is>
      </c>
      <c r="S24" s="901" t="inlineStr">
        <is>
          <t>CHURN</t>
        </is>
      </c>
    </row>
    <row r="25" ht="15" customHeight="1" thickBo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</row>
    <row r="26" ht="29" customHeight="1" thickBot="1">
      <c r="B26" s="1163" t="inlineStr">
        <is>
          <t>Hospitality</t>
        </is>
      </c>
      <c r="C26" s="1164">
        <f>C12</f>
        <v/>
      </c>
      <c r="R26" s="1165" t="n"/>
      <c r="T26" s="1166" t="inlineStr">
        <is>
          <t>Assumptions</t>
        </is>
      </c>
      <c r="U26" s="1167" t="n"/>
      <c r="V26" s="1167" t="n"/>
      <c r="W26" s="1167" t="n"/>
      <c r="X26" s="1167" t="n"/>
      <c r="Y26" s="1167" t="n"/>
      <c r="Z26" s="1167" t="n"/>
      <c r="AA26" s="1168" t="n"/>
    </row>
    <row r="27" ht="15" customHeight="1" thickBot="1">
      <c r="B27" s="1169" t="n"/>
      <c r="C27" s="116" t="inlineStr">
        <is>
          <t>Licences Sold</t>
        </is>
      </c>
      <c r="D27" s="1170" t="n">
        <v>120</v>
      </c>
      <c r="E27" s="1170" t="n">
        <v>120</v>
      </c>
      <c r="F27" s="1170" t="n">
        <v>150</v>
      </c>
      <c r="G27" s="1170" t="n">
        <v>150</v>
      </c>
      <c r="H27" s="1170" t="n">
        <v>160</v>
      </c>
      <c r="I27" s="1170" t="n">
        <v>175</v>
      </c>
      <c r="J27" s="1170" t="n">
        <v>250</v>
      </c>
      <c r="K27" s="1170" t="n">
        <v>300</v>
      </c>
      <c r="L27" s="1170" t="n">
        <v>325</v>
      </c>
      <c r="M27" s="1170" t="n">
        <v>325</v>
      </c>
      <c r="N27" s="1170" t="n">
        <v>325</v>
      </c>
      <c r="O27" s="1170" t="n">
        <v>325</v>
      </c>
      <c r="P27" s="1171">
        <f>O27</f>
        <v/>
      </c>
      <c r="Q27" s="323" t="n"/>
      <c r="R27" s="324" t="n"/>
      <c r="S27" s="904" t="n">
        <v>0.03</v>
      </c>
      <c r="T27" s="1172" t="n"/>
      <c r="U27" s="1145" t="n"/>
      <c r="V27" s="1145" t="n"/>
      <c r="W27" s="1145" t="n"/>
      <c r="X27" s="1145" t="n"/>
      <c r="Y27" s="1145" t="n"/>
      <c r="Z27" s="1145" t="n"/>
      <c r="AA27" s="705" t="n"/>
    </row>
    <row r="28" hidden="1" ht="15" customHeigh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174" t="n"/>
      <c r="Q28" s="909" t="n"/>
      <c r="R28" s="910" t="n"/>
      <c r="S28" s="904" t="n"/>
      <c r="T28" s="958" t="n"/>
      <c r="U28" s="959" t="n"/>
      <c r="V28" s="959" t="n"/>
      <c r="W28" s="959" t="n"/>
      <c r="X28" s="959" t="n"/>
      <c r="Y28" s="959" t="n"/>
      <c r="Z28" s="959" t="n"/>
      <c r="AA28" s="960" t="n"/>
    </row>
    <row r="29" ht="24" customHeight="1">
      <c r="B29" s="1169" t="n"/>
      <c r="C29" s="117" t="inlineStr">
        <is>
          <t>Total Sales</t>
        </is>
      </c>
      <c r="D29" s="194">
        <f>(D27-D28)*$D$12</f>
        <v/>
      </c>
      <c r="E29" s="194">
        <f>E27*$D$12</f>
        <v/>
      </c>
      <c r="F29" s="194">
        <f>F27*$D$12</f>
        <v/>
      </c>
      <c r="G29" s="194">
        <f>G27*$D$12</f>
        <v/>
      </c>
      <c r="H29" s="194">
        <f>H27*$D$12</f>
        <v/>
      </c>
      <c r="I29" s="194">
        <f>I27*$D$12</f>
        <v/>
      </c>
      <c r="J29" s="194">
        <f>J27*$D$12</f>
        <v/>
      </c>
      <c r="K29" s="194">
        <f>K27*$D$12</f>
        <v/>
      </c>
      <c r="L29" s="194">
        <f>L27*$D$12</f>
        <v/>
      </c>
      <c r="M29" s="194">
        <f>M27*$D$12</f>
        <v/>
      </c>
      <c r="N29" s="194">
        <f>N27*$D$12</f>
        <v/>
      </c>
      <c r="O29" s="523">
        <f>O27*$D$12</f>
        <v/>
      </c>
      <c r="P29" s="319">
        <f>SUM(D29:O29)</f>
        <v/>
      </c>
      <c r="Q29" s="1175">
        <f>(Q30+Q31)</f>
        <v/>
      </c>
      <c r="R29" s="1176" t="inlineStr">
        <is>
          <t xml:space="preserve"> </t>
        </is>
      </c>
      <c r="S29" s="905" t="n"/>
      <c r="T29" s="1177" t="inlineStr">
        <is>
          <t xml:space="preserve">t Growing first within the hotel B2B market and looking for strategic partners and resellers, i.e. BI  </t>
        </is>
      </c>
      <c r="AA29" s="707" t="n"/>
    </row>
    <row r="30" ht="21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320">
        <f>SUM(D30:O30)</f>
        <v/>
      </c>
      <c r="Q30" s="1178">
        <f>IF(P29=0,0,P30/P29)</f>
        <v/>
      </c>
      <c r="R30" s="1179" t="inlineStr">
        <is>
          <t xml:space="preserve"> </t>
        </is>
      </c>
      <c r="S30" s="905" t="n"/>
      <c r="T30" s="1180" t="n"/>
      <c r="AA30" s="707" t="n"/>
    </row>
    <row r="31" ht="22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321">
        <f>SUM(D31:O31)</f>
        <v/>
      </c>
      <c r="Q31" s="1181">
        <f>IF(P29=0,0,P31/P29)</f>
        <v/>
      </c>
      <c r="R31" s="1182" t="inlineStr">
        <is>
          <t xml:space="preserve"> </t>
        </is>
      </c>
      <c r="S31" s="905" t="n"/>
      <c r="T31" s="1177" t="inlineStr">
        <is>
          <t xml:space="preserve"> </t>
        </is>
      </c>
      <c r="AA31" s="707" t="n"/>
    </row>
    <row r="32" ht="31" customHeight="1">
      <c r="B32" s="1169" t="n"/>
      <c r="C32" s="1183" t="inlineStr">
        <is>
          <t xml:space="preserve"> </t>
        </is>
      </c>
      <c r="S32" s="905" t="n"/>
      <c r="T32" s="1184" t="inlineStr">
        <is>
          <t xml:space="preserve">t  The growth coming from Strategic Partners </t>
        </is>
      </c>
      <c r="AA32" s="707" t="n"/>
    </row>
    <row r="33" ht="18" customHeight="1" thickBot="1">
      <c r="B33" s="1169" t="n"/>
      <c r="C33" s="1185">
        <f>C13</f>
        <v/>
      </c>
      <c r="R33" s="707" t="n"/>
      <c r="S33" s="905" t="n"/>
      <c r="T33" s="1186" t="inlineStr">
        <is>
          <t xml:space="preserve"> </t>
        </is>
      </c>
      <c r="AA33" s="707" t="n"/>
    </row>
    <row r="34" ht="25" customHeight="1" thickBot="1">
      <c r="B34" s="1169" t="n"/>
      <c r="C34" s="116" t="inlineStr">
        <is>
          <t>Licences Sold</t>
        </is>
      </c>
      <c r="D34" s="1170" t="n">
        <v>0</v>
      </c>
      <c r="E34" s="1170" t="n">
        <v>0</v>
      </c>
      <c r="F34" s="1170" t="n">
        <v>0</v>
      </c>
      <c r="G34" s="1170" t="n">
        <v>0</v>
      </c>
      <c r="H34" s="1170" t="n">
        <v>0</v>
      </c>
      <c r="I34" s="1170" t="n">
        <v>0</v>
      </c>
      <c r="J34" s="1170" t="n">
        <v>0</v>
      </c>
      <c r="K34" s="1170" t="n">
        <v>0</v>
      </c>
      <c r="L34" s="1170" t="n">
        <v>0</v>
      </c>
      <c r="M34" s="1170" t="n">
        <v>0</v>
      </c>
      <c r="N34" s="1170" t="n">
        <v>0</v>
      </c>
      <c r="O34" s="1170" t="n">
        <v>0</v>
      </c>
      <c r="P34" s="1187">
        <f>O34</f>
        <v/>
      </c>
      <c r="Q34" s="72" t="n"/>
      <c r="R34" s="318" t="n"/>
      <c r="S34" s="905" t="n"/>
      <c r="T34" s="1184" t="inlineStr">
        <is>
          <t>t  Sales coming from current team</t>
        </is>
      </c>
      <c r="AA34" s="707" t="n"/>
    </row>
    <row r="35" ht="15" customHeight="1">
      <c r="B35" s="1169" t="n"/>
      <c r="C35" s="117" t="inlineStr">
        <is>
          <t>Total Sales</t>
        </is>
      </c>
      <c r="D35" s="194">
        <f>D34*$D$13</f>
        <v/>
      </c>
      <c r="E35" s="194">
        <f>E34*$D$13</f>
        <v/>
      </c>
      <c r="F35" s="194">
        <f>F34*$D$13</f>
        <v/>
      </c>
      <c r="G35" s="194">
        <f>G34*$D$13</f>
        <v/>
      </c>
      <c r="H35" s="194">
        <f>H34*$D$13</f>
        <v/>
      </c>
      <c r="I35" s="194">
        <f>I34*$D$13</f>
        <v/>
      </c>
      <c r="J35" s="194">
        <f>J34*$D$13</f>
        <v/>
      </c>
      <c r="K35" s="194">
        <f>K34*$D$13</f>
        <v/>
      </c>
      <c r="L35" s="194">
        <f>L34*$D$13</f>
        <v/>
      </c>
      <c r="M35" s="194">
        <f>M34*$D$13</f>
        <v/>
      </c>
      <c r="N35" s="194">
        <f>N34*$D$13</f>
        <v/>
      </c>
      <c r="O35" s="523">
        <f>O34*$D$13</f>
        <v/>
      </c>
      <c r="P35" s="319">
        <f>SUM(D35:O35)</f>
        <v/>
      </c>
      <c r="Q35" s="1175">
        <f>(Q36+Q37)</f>
        <v/>
      </c>
      <c r="R35" s="1176" t="inlineStr">
        <is>
          <t xml:space="preserve"> </t>
        </is>
      </c>
      <c r="S35" s="905" t="n"/>
      <c r="T35" s="1188" t="n"/>
      <c r="AA35" s="707" t="n"/>
    </row>
    <row r="36" ht="23.25" customHeight="1">
      <c r="B36" s="1169" t="n"/>
      <c r="C36" s="118" t="inlineStr">
        <is>
          <t>Total COGS</t>
        </is>
      </c>
      <c r="D36" s="193">
        <f>D34*$E$13</f>
        <v/>
      </c>
      <c r="E36" s="193">
        <f>E34*$E$13</f>
        <v/>
      </c>
      <c r="F36" s="193">
        <f>F34*$E$13</f>
        <v/>
      </c>
      <c r="G36" s="193">
        <f>G34*$E$13</f>
        <v/>
      </c>
      <c r="H36" s="193">
        <f>H34*$E$13</f>
        <v/>
      </c>
      <c r="I36" s="193">
        <f>I34*$E$13</f>
        <v/>
      </c>
      <c r="J36" s="193">
        <f>J34*$E$13</f>
        <v/>
      </c>
      <c r="K36" s="193">
        <f>K34*$E$13</f>
        <v/>
      </c>
      <c r="L36" s="193">
        <f>L34*$E$13</f>
        <v/>
      </c>
      <c r="M36" s="193">
        <f>M34*$E$13</f>
        <v/>
      </c>
      <c r="N36" s="193">
        <f>N34*$E$13</f>
        <v/>
      </c>
      <c r="O36" s="273">
        <f>O34*$E$13</f>
        <v/>
      </c>
      <c r="P36" s="320">
        <f>SUM(D36:O36)</f>
        <v/>
      </c>
      <c r="Q36" s="1178">
        <f>IF(P35=0,0,P36/P35)</f>
        <v/>
      </c>
      <c r="R36" s="1179" t="inlineStr">
        <is>
          <t xml:space="preserve"> </t>
        </is>
      </c>
      <c r="S36" s="905" t="n"/>
      <c r="T36" s="1188" t="n"/>
      <c r="AA36" s="707" t="n"/>
    </row>
    <row r="37" ht="20" customHeight="1" thickBot="1">
      <c r="B37" s="1169" t="n"/>
      <c r="C37" s="119" t="inlineStr">
        <is>
          <t>Total Margin</t>
        </is>
      </c>
      <c r="D37" s="68">
        <f>D35-D36</f>
        <v/>
      </c>
      <c r="E37" s="68">
        <f>E35-E36</f>
        <v/>
      </c>
      <c r="F37" s="68">
        <f>F35-F36</f>
        <v/>
      </c>
      <c r="G37" s="68">
        <f>G35-G36</f>
        <v/>
      </c>
      <c r="H37" s="68">
        <f>H35-H36</f>
        <v/>
      </c>
      <c r="I37" s="68">
        <f>I35-I36</f>
        <v/>
      </c>
      <c r="J37" s="68">
        <f>J35-J36</f>
        <v/>
      </c>
      <c r="K37" s="68">
        <f>K35-K36</f>
        <v/>
      </c>
      <c r="L37" s="68">
        <f>L35-L36</f>
        <v/>
      </c>
      <c r="M37" s="68">
        <f>M35-M36</f>
        <v/>
      </c>
      <c r="N37" s="68">
        <f>N35-N36</f>
        <v/>
      </c>
      <c r="O37" s="69">
        <f>O35-O36</f>
        <v/>
      </c>
      <c r="P37" s="321">
        <f>SUM(D37:O37)</f>
        <v/>
      </c>
      <c r="Q37" s="1181">
        <f>IF(P35=0,0,P37/P35)</f>
        <v/>
      </c>
      <c r="R37" s="1182" t="inlineStr">
        <is>
          <t xml:space="preserve"> </t>
        </is>
      </c>
      <c r="S37" s="905" t="n"/>
      <c r="T37" s="1188" t="n"/>
      <c r="AA37" s="707" t="n"/>
    </row>
    <row r="38" ht="15" customHeight="1" thickBot="1">
      <c r="B38" s="1189" t="n"/>
      <c r="C38" s="1190" t="inlineStr">
        <is>
          <t xml:space="preserve"> </t>
        </is>
      </c>
      <c r="R38" s="1191" t="n"/>
      <c r="S38" s="905" t="n"/>
      <c r="T38" s="1188" t="n"/>
      <c r="AA38" s="707" t="n"/>
    </row>
    <row r="39" ht="15" customHeight="1" thickBot="1">
      <c r="B39" s="1192" t="inlineStr">
        <is>
          <t>Real Estate</t>
        </is>
      </c>
      <c r="C39" s="1193">
        <f>C14</f>
        <v/>
      </c>
      <c r="D39" s="1145" t="n"/>
      <c r="E39" s="1145" t="n"/>
      <c r="F39" s="1145" t="n"/>
      <c r="G39" s="1145" t="n"/>
      <c r="H39" s="1145" t="n"/>
      <c r="I39" s="1145" t="n"/>
      <c r="J39" s="1145" t="n"/>
      <c r="K39" s="1145" t="n"/>
      <c r="L39" s="1145" t="n"/>
      <c r="M39" s="1145" t="n"/>
      <c r="N39" s="1145" t="n"/>
      <c r="O39" s="1145" t="n"/>
      <c r="P39" s="1145" t="n"/>
      <c r="Q39" s="1145" t="n"/>
      <c r="R39" s="705" t="n"/>
      <c r="S39" s="905" t="n"/>
      <c r="T39" s="1188" t="n"/>
      <c r="AA39" s="707" t="n"/>
    </row>
    <row r="40" ht="15" customHeight="1" thickBot="1">
      <c r="B40" s="1194" t="n"/>
      <c r="C40" s="325" t="inlineStr">
        <is>
          <t>Licences Sold</t>
        </is>
      </c>
      <c r="D40" s="1170" t="n">
        <v>50</v>
      </c>
      <c r="E40" s="1170" t="n">
        <v>50</v>
      </c>
      <c r="F40" s="1170" t="n">
        <v>50</v>
      </c>
      <c r="G40" s="1170" t="n">
        <v>50</v>
      </c>
      <c r="H40" s="1170" t="n">
        <v>50</v>
      </c>
      <c r="I40" s="1170" t="n">
        <v>175</v>
      </c>
      <c r="J40" s="1170" t="n">
        <v>175</v>
      </c>
      <c r="K40" s="1170" t="n">
        <v>180</v>
      </c>
      <c r="L40" s="1170" t="n">
        <v>180</v>
      </c>
      <c r="M40" s="1170" t="n">
        <v>200</v>
      </c>
      <c r="N40" s="1170" t="n">
        <v>200</v>
      </c>
      <c r="O40" s="1170" t="n">
        <v>230</v>
      </c>
      <c r="P40" s="1187">
        <f>O40</f>
        <v/>
      </c>
      <c r="Q40" s="72" t="n"/>
      <c r="R40" s="318" t="n"/>
      <c r="S40" s="905" t="n"/>
      <c r="T40" s="1188" t="n"/>
      <c r="AA40" s="707" t="n"/>
    </row>
    <row r="41" ht="21" customHeight="1">
      <c r="B41" s="1194" t="n"/>
      <c r="C41" s="297" t="inlineStr">
        <is>
          <t>Total Sales</t>
        </is>
      </c>
      <c r="D41" s="194">
        <f>D40*$D$14</f>
        <v/>
      </c>
      <c r="E41" s="194">
        <f>E40*$D$14</f>
        <v/>
      </c>
      <c r="F41" s="194">
        <f>F40*$D$14</f>
        <v/>
      </c>
      <c r="G41" s="194">
        <f>G40*$D$14</f>
        <v/>
      </c>
      <c r="H41" s="194">
        <f>H40*$D$14</f>
        <v/>
      </c>
      <c r="I41" s="194">
        <f>I40*$D$14</f>
        <v/>
      </c>
      <c r="J41" s="194">
        <f>J40*$D$14</f>
        <v/>
      </c>
      <c r="K41" s="194">
        <f>K40*$D$14</f>
        <v/>
      </c>
      <c r="L41" s="194">
        <f>L40*$D$14</f>
        <v/>
      </c>
      <c r="M41" s="194">
        <f>M40*$D$14</f>
        <v/>
      </c>
      <c r="N41" s="194">
        <f>N40*$D$14</f>
        <v/>
      </c>
      <c r="O41" s="523">
        <f>O40*$D$14</f>
        <v/>
      </c>
      <c r="P41" s="319">
        <f>SUM(D41:O41)</f>
        <v/>
      </c>
      <c r="Q41" s="1175">
        <f>(Q42+Q43)</f>
        <v/>
      </c>
      <c r="R41" s="1176" t="inlineStr">
        <is>
          <t xml:space="preserve"> </t>
        </is>
      </c>
      <c r="S41" s="905" t="n"/>
      <c r="T41" s="1188" t="n"/>
      <c r="AA41" s="707" t="n"/>
    </row>
    <row r="42" ht="21" customHeight="1">
      <c r="B42" s="1194" t="n"/>
      <c r="C42" s="299" t="inlineStr">
        <is>
          <t>Total COGS</t>
        </is>
      </c>
      <c r="D42" s="193">
        <f>D40*$E$14</f>
        <v/>
      </c>
      <c r="E42" s="193">
        <f>E40*$E$14</f>
        <v/>
      </c>
      <c r="F42" s="193">
        <f>F40*$E$14</f>
        <v/>
      </c>
      <c r="G42" s="193">
        <f>G40*$E$14</f>
        <v/>
      </c>
      <c r="H42" s="193">
        <f>H40*$E$14</f>
        <v/>
      </c>
      <c r="I42" s="193">
        <f>I40*$E$14</f>
        <v/>
      </c>
      <c r="J42" s="193">
        <f>J40*$E$14</f>
        <v/>
      </c>
      <c r="K42" s="193">
        <f>K40*$E$14</f>
        <v/>
      </c>
      <c r="L42" s="193">
        <f>L40*$E$14</f>
        <v/>
      </c>
      <c r="M42" s="193">
        <f>M40*$E$14</f>
        <v/>
      </c>
      <c r="N42" s="193">
        <f>N40*$E$14</f>
        <v/>
      </c>
      <c r="O42" s="509">
        <f>O40*$E$14</f>
        <v/>
      </c>
      <c r="P42" s="510">
        <f>SUM(D42:O42)</f>
        <v/>
      </c>
      <c r="Q42" s="1178">
        <f>IF(P41=0,0,P42/P41)</f>
        <v/>
      </c>
      <c r="R42" s="1179" t="inlineStr">
        <is>
          <t xml:space="preserve"> </t>
        </is>
      </c>
      <c r="S42" s="905" t="n"/>
      <c r="T42" s="1188" t="n"/>
      <c r="AA42" s="707" t="n"/>
    </row>
    <row r="43" ht="21" customHeight="1">
      <c r="B43" s="1194" t="n"/>
      <c r="C43" s="326" t="inlineStr">
        <is>
          <t>Total Margin</t>
        </is>
      </c>
      <c r="D43" s="68">
        <f>D41-D42</f>
        <v/>
      </c>
      <c r="E43" s="68">
        <f>E41-E42</f>
        <v/>
      </c>
      <c r="F43" s="68">
        <f>F41-F42</f>
        <v/>
      </c>
      <c r="G43" s="68">
        <f>G41-G42</f>
        <v/>
      </c>
      <c r="H43" s="68">
        <f>H41-H42</f>
        <v/>
      </c>
      <c r="I43" s="68">
        <f>I41-I42</f>
        <v/>
      </c>
      <c r="J43" s="68">
        <f>J41-J42</f>
        <v/>
      </c>
      <c r="K43" s="68">
        <f>K41-K42</f>
        <v/>
      </c>
      <c r="L43" s="68">
        <f>L41-L42</f>
        <v/>
      </c>
      <c r="M43" s="68">
        <f>M41-M42</f>
        <v/>
      </c>
      <c r="N43" s="68">
        <f>N41-N42</f>
        <v/>
      </c>
      <c r="O43" s="516">
        <f>O41-O42</f>
        <v/>
      </c>
      <c r="P43" s="197">
        <f>SUM(D43:O43)</f>
        <v/>
      </c>
      <c r="Q43" s="1178">
        <f>IF(P41=0,0,P43/P41)</f>
        <v/>
      </c>
      <c r="R43" s="1179" t="inlineStr">
        <is>
          <t xml:space="preserve"> </t>
        </is>
      </c>
      <c r="S43" s="905" t="n"/>
      <c r="T43" s="1188" t="n"/>
      <c r="AA43" s="707" t="n"/>
    </row>
    <row r="44" ht="15" customHeight="1">
      <c r="B44" s="1194" t="n"/>
      <c r="C44" s="1195" t="inlineStr">
        <is>
          <t xml:space="preserve"> </t>
        </is>
      </c>
      <c r="R44" s="707" t="n"/>
      <c r="S44" s="905" t="n"/>
      <c r="T44" s="1196" t="n"/>
      <c r="AA44" s="707" t="n"/>
    </row>
    <row r="45" ht="15" customHeight="1" thickBot="1">
      <c r="B45" s="1194" t="n"/>
      <c r="C45" s="1197">
        <f>C15</f>
        <v/>
      </c>
      <c r="R45" s="707" t="n"/>
      <c r="S45" s="905" t="n"/>
      <c r="T45" s="1188" t="n"/>
      <c r="AA45" s="707" t="n"/>
    </row>
    <row r="46" ht="15" customHeight="1" thickBot="1">
      <c r="B46" s="1194" t="n"/>
      <c r="C46" s="325" t="inlineStr">
        <is>
          <t>Licences Sold</t>
        </is>
      </c>
      <c r="D46" s="1170" t="n">
        <v>0</v>
      </c>
      <c r="E46" s="1170" t="n">
        <v>0</v>
      </c>
      <c r="F46" s="1170" t="n">
        <v>0</v>
      </c>
      <c r="G46" s="1170" t="n">
        <v>0</v>
      </c>
      <c r="H46" s="1170" t="n">
        <v>0</v>
      </c>
      <c r="I46" s="1170" t="n">
        <v>0</v>
      </c>
      <c r="J46" s="1170" t="n">
        <v>0</v>
      </c>
      <c r="K46" s="1170" t="n">
        <v>0</v>
      </c>
      <c r="L46" s="1170" t="n">
        <v>0</v>
      </c>
      <c r="M46" s="1170" t="n">
        <v>0</v>
      </c>
      <c r="N46" s="1170" t="n">
        <v>0</v>
      </c>
      <c r="O46" s="1170" t="n">
        <v>0</v>
      </c>
      <c r="P46" s="1187">
        <f>O46</f>
        <v/>
      </c>
      <c r="Q46" s="72" t="n"/>
      <c r="R46" s="318" t="inlineStr">
        <is>
          <t xml:space="preserve"> </t>
        </is>
      </c>
      <c r="S46" s="905" t="n"/>
      <c r="T46" s="1188" t="n"/>
      <c r="AA46" s="707" t="n"/>
    </row>
    <row r="47" ht="21" customHeight="1">
      <c r="B47" s="1194" t="n"/>
      <c r="C47" s="297" t="inlineStr">
        <is>
          <t>Total Sales</t>
        </is>
      </c>
      <c r="D47" s="194">
        <f>D46*$D$15</f>
        <v/>
      </c>
      <c r="E47" s="194">
        <f>E46*$D$15</f>
        <v/>
      </c>
      <c r="F47" s="194">
        <f>F46*$D$15</f>
        <v/>
      </c>
      <c r="G47" s="194">
        <f>G46*$D$15</f>
        <v/>
      </c>
      <c r="H47" s="194">
        <f>H46*$D$15</f>
        <v/>
      </c>
      <c r="I47" s="194">
        <f>I46*$D$15</f>
        <v/>
      </c>
      <c r="J47" s="194">
        <f>J46*$D$15</f>
        <v/>
      </c>
      <c r="K47" s="194">
        <f>K46*$D$15</f>
        <v/>
      </c>
      <c r="L47" s="194">
        <f>L46*$D$15</f>
        <v/>
      </c>
      <c r="M47" s="194">
        <f>M46*$D$15</f>
        <v/>
      </c>
      <c r="N47" s="194">
        <f>N46*$D$15</f>
        <v/>
      </c>
      <c r="O47" s="523">
        <f>O46*$D$15</f>
        <v/>
      </c>
      <c r="P47" s="319">
        <f>SUM(D47:O47)</f>
        <v/>
      </c>
      <c r="Q47" s="1175">
        <f>(Q48+Q49)</f>
        <v/>
      </c>
      <c r="R47" s="1176" t="inlineStr">
        <is>
          <t xml:space="preserve"> </t>
        </is>
      </c>
      <c r="S47" s="905" t="n"/>
      <c r="T47" s="1188" t="n"/>
      <c r="AA47" s="707" t="n"/>
    </row>
    <row r="48" ht="23.25" customHeight="1">
      <c r="B48" s="1194" t="n"/>
      <c r="C48" s="299" t="inlineStr">
        <is>
          <t>Total COGS</t>
        </is>
      </c>
      <c r="D48" s="193">
        <f>D46*$E$15</f>
        <v/>
      </c>
      <c r="E48" s="193">
        <f>E46*$E$15</f>
        <v/>
      </c>
      <c r="F48" s="193">
        <f>F46*$E$15</f>
        <v/>
      </c>
      <c r="G48" s="193">
        <f>G46*$E$15</f>
        <v/>
      </c>
      <c r="H48" s="193">
        <f>H46*$E$15</f>
        <v/>
      </c>
      <c r="I48" s="193">
        <f>I46*$E$15</f>
        <v/>
      </c>
      <c r="J48" s="193">
        <f>J46*$E$15</f>
        <v/>
      </c>
      <c r="K48" s="193">
        <f>K46*$E$15</f>
        <v/>
      </c>
      <c r="L48" s="193">
        <f>L46*$E$15</f>
        <v/>
      </c>
      <c r="M48" s="193">
        <f>M46*$E$15</f>
        <v/>
      </c>
      <c r="N48" s="193">
        <f>N46*$E$15</f>
        <v/>
      </c>
      <c r="O48" s="509">
        <f>O46*$E$15</f>
        <v/>
      </c>
      <c r="P48" s="510">
        <f>SUM(D48:O48)</f>
        <v/>
      </c>
      <c r="Q48" s="1198">
        <f>IF(P47=0,0,P48/P47)</f>
        <v/>
      </c>
      <c r="R48" s="1199" t="inlineStr">
        <is>
          <t xml:space="preserve"> </t>
        </is>
      </c>
      <c r="S48" s="905" t="n"/>
      <c r="T48" s="1188" t="n"/>
      <c r="AA48" s="707" t="n"/>
    </row>
    <row r="49" ht="20" customHeight="1">
      <c r="B49" s="1194" t="n"/>
      <c r="C49" s="326" t="inlineStr">
        <is>
          <t>Total Margin</t>
        </is>
      </c>
      <c r="D49" s="68">
        <f>D47-D48</f>
        <v/>
      </c>
      <c r="E49" s="68">
        <f>E47-E48</f>
        <v/>
      </c>
      <c r="F49" s="68">
        <f>F47-F48</f>
        <v/>
      </c>
      <c r="G49" s="68">
        <f>G47-G48</f>
        <v/>
      </c>
      <c r="H49" s="68">
        <f>H47-H48</f>
        <v/>
      </c>
      <c r="I49" s="68">
        <f>I47-I48</f>
        <v/>
      </c>
      <c r="J49" s="68">
        <f>J47-J48</f>
        <v/>
      </c>
      <c r="K49" s="68">
        <f>K47-K48</f>
        <v/>
      </c>
      <c r="L49" s="68">
        <f>L47-L48</f>
        <v/>
      </c>
      <c r="M49" s="68">
        <f>M47-M48</f>
        <v/>
      </c>
      <c r="N49" s="68">
        <f>N47-N48</f>
        <v/>
      </c>
      <c r="O49" s="508">
        <f>O47-O48</f>
        <v/>
      </c>
      <c r="P49" s="513">
        <f>SUM(D49:O49)</f>
        <v/>
      </c>
      <c r="Q49" s="1200">
        <f>IF(P47=0,0,P49/P47)</f>
        <v/>
      </c>
      <c r="R49" s="1201" t="inlineStr">
        <is>
          <t xml:space="preserve"> </t>
        </is>
      </c>
      <c r="S49" s="905" t="n"/>
      <c r="T49" s="1188" t="n"/>
      <c r="AA49" s="707" t="n"/>
    </row>
    <row r="50" ht="15" customHeight="1" thickBot="1">
      <c r="B50" s="1202" t="n"/>
      <c r="C50" s="1203" t="inlineStr">
        <is>
          <t xml:space="preserve"> </t>
        </is>
      </c>
      <c r="D50" s="711" t="n"/>
      <c r="E50" s="711" t="n"/>
      <c r="F50" s="711" t="n"/>
      <c r="G50" s="711" t="n"/>
      <c r="H50" s="711" t="n"/>
      <c r="I50" s="711" t="n"/>
      <c r="J50" s="711" t="n"/>
      <c r="K50" s="711" t="n"/>
      <c r="L50" s="711" t="n"/>
      <c r="M50" s="711" t="n"/>
      <c r="N50" s="711" t="n"/>
      <c r="O50" s="711" t="n"/>
      <c r="P50" s="711" t="n"/>
      <c r="Q50" s="711" t="n"/>
      <c r="R50" s="1204" t="n"/>
      <c r="S50" s="905" t="n"/>
      <c r="T50" s="1188" t="n"/>
      <c r="AA50" s="707" t="n"/>
    </row>
    <row r="51" ht="15" customHeight="1" thickBot="1">
      <c r="B51" s="1163" t="inlineStr">
        <is>
          <t>Pharma</t>
        </is>
      </c>
      <c r="C51" s="1205">
        <f>C16</f>
        <v/>
      </c>
      <c r="R51" s="1191" t="n"/>
      <c r="S51" s="905" t="n"/>
      <c r="T51" s="1188" t="n"/>
      <c r="AA51" s="707" t="n"/>
    </row>
    <row r="52" ht="15" customHeight="1" thickBot="1">
      <c r="B52" s="1169" t="n"/>
      <c r="C52" s="116" t="inlineStr">
        <is>
          <t>Licences Sold</t>
        </is>
      </c>
      <c r="D52" s="1170" t="n">
        <v>0</v>
      </c>
      <c r="E52" s="1170" t="n">
        <v>0</v>
      </c>
      <c r="F52" s="1170" t="n">
        <v>0</v>
      </c>
      <c r="G52" s="1170" t="n">
        <v>0</v>
      </c>
      <c r="H52" s="1170" t="n">
        <v>0</v>
      </c>
      <c r="I52" s="1170" t="n">
        <v>0</v>
      </c>
      <c r="J52" s="1170" t="n">
        <v>0</v>
      </c>
      <c r="K52" s="1170" t="n">
        <v>0</v>
      </c>
      <c r="L52" s="1170" t="n">
        <v>0</v>
      </c>
      <c r="M52" s="1170" t="n">
        <v>0</v>
      </c>
      <c r="N52" s="1170" t="n">
        <v>0</v>
      </c>
      <c r="O52" s="1170" t="n">
        <v>0</v>
      </c>
      <c r="P52" s="1171">
        <f>O52</f>
        <v/>
      </c>
      <c r="Q52" s="323" t="n"/>
      <c r="R52" s="324" t="n"/>
      <c r="S52" s="905" t="n"/>
      <c r="T52" s="1206" t="n"/>
      <c r="U52" s="711" t="n"/>
      <c r="V52" s="711" t="n"/>
      <c r="W52" s="711" t="n"/>
      <c r="X52" s="711" t="n"/>
      <c r="Y52" s="711" t="n"/>
      <c r="Z52" s="711" t="n"/>
      <c r="AA52" s="1204" t="n"/>
    </row>
    <row r="53" ht="15" customHeight="1">
      <c r="B53" s="1169" t="n"/>
      <c r="C53" s="117" t="inlineStr">
        <is>
          <t>Total Sales</t>
        </is>
      </c>
      <c r="D53" s="194">
        <f>D52*$D$16</f>
        <v/>
      </c>
      <c r="E53" s="194">
        <f>E52*$D$16</f>
        <v/>
      </c>
      <c r="F53" s="194">
        <f>F52*$D$16</f>
        <v/>
      </c>
      <c r="G53" s="194">
        <f>G52*$D$16</f>
        <v/>
      </c>
      <c r="H53" s="194">
        <f>H52*$D$16</f>
        <v/>
      </c>
      <c r="I53" s="194">
        <f>I52*$D$16</f>
        <v/>
      </c>
      <c r="J53" s="194">
        <f>J52*$D$16</f>
        <v/>
      </c>
      <c r="K53" s="194">
        <f>K52*$D$16</f>
        <v/>
      </c>
      <c r="L53" s="194">
        <f>L52*$D$16</f>
        <v/>
      </c>
      <c r="M53" s="194">
        <f>M52*$D$16</f>
        <v/>
      </c>
      <c r="N53" s="194">
        <f>N52*$D$16</f>
        <v/>
      </c>
      <c r="O53" s="523">
        <f>O52*$D$16</f>
        <v/>
      </c>
      <c r="P53" s="319">
        <f>SUM(D53:O53)</f>
        <v/>
      </c>
      <c r="Q53" s="1175">
        <f>(Q54+Q55)</f>
        <v/>
      </c>
      <c r="R53" s="1176" t="inlineStr">
        <is>
          <t xml:space="preserve"> </t>
        </is>
      </c>
      <c r="S53" s="905" t="n"/>
    </row>
    <row r="54" ht="21" customHeight="1">
      <c r="B54" s="1169" t="n"/>
      <c r="C54" s="118" t="inlineStr">
        <is>
          <t>Total COGS</t>
        </is>
      </c>
      <c r="D54" s="193">
        <f>D52*$E$16</f>
        <v/>
      </c>
      <c r="E54" s="193">
        <f>E52*$E$16</f>
        <v/>
      </c>
      <c r="F54" s="193">
        <f>F52*$E$16</f>
        <v/>
      </c>
      <c r="G54" s="193">
        <f>G52*$E$16</f>
        <v/>
      </c>
      <c r="H54" s="193">
        <f>H52*$E$16</f>
        <v/>
      </c>
      <c r="I54" s="193">
        <f>I52*$E$16</f>
        <v/>
      </c>
      <c r="J54" s="193">
        <f>J52*$E$16</f>
        <v/>
      </c>
      <c r="K54" s="193">
        <f>K52*$E$16</f>
        <v/>
      </c>
      <c r="L54" s="193">
        <f>L52*$E$16</f>
        <v/>
      </c>
      <c r="M54" s="193">
        <f>M52*$E$16</f>
        <v/>
      </c>
      <c r="N54" s="193">
        <f>N52*$E$16</f>
        <v/>
      </c>
      <c r="O54" s="273">
        <f>O52*$E$16</f>
        <v/>
      </c>
      <c r="P54" s="320">
        <f>SUM(D54:O54)</f>
        <v/>
      </c>
      <c r="Q54" s="1178">
        <f>IF(P53=0,0,P54/P53)</f>
        <v/>
      </c>
      <c r="R54" s="1179" t="inlineStr">
        <is>
          <t xml:space="preserve"> </t>
        </is>
      </c>
      <c r="S54" s="905" t="n"/>
    </row>
    <row r="55" ht="22" customHeight="1" thickBot="1">
      <c r="B55" s="1169" t="n"/>
      <c r="C55" s="119" t="inlineStr">
        <is>
          <t>Total Margin</t>
        </is>
      </c>
      <c r="D55" s="68">
        <f>D53-D54</f>
        <v/>
      </c>
      <c r="E55" s="68">
        <f>E53-E54</f>
        <v/>
      </c>
      <c r="F55" s="68">
        <f>F53-F54</f>
        <v/>
      </c>
      <c r="G55" s="68">
        <f>G53-G54</f>
        <v/>
      </c>
      <c r="H55" s="68">
        <f>H53-H54</f>
        <v/>
      </c>
      <c r="I55" s="68">
        <f>I53-I54</f>
        <v/>
      </c>
      <c r="J55" s="68">
        <f>J53-J54</f>
        <v/>
      </c>
      <c r="K55" s="68">
        <f>K53-K54</f>
        <v/>
      </c>
      <c r="L55" s="68">
        <f>L53-L54</f>
        <v/>
      </c>
      <c r="M55" s="68">
        <f>M53-M54</f>
        <v/>
      </c>
      <c r="N55" s="68">
        <f>N53-N54</f>
        <v/>
      </c>
      <c r="O55" s="69">
        <f>O53-O54</f>
        <v/>
      </c>
      <c r="P55" s="321">
        <f>SUM(D55:O55)</f>
        <v/>
      </c>
      <c r="Q55" s="1181">
        <f>IF(P53=0,0,P55/P53)</f>
        <v/>
      </c>
      <c r="R55" s="1182" t="inlineStr">
        <is>
          <t xml:space="preserve"> </t>
        </is>
      </c>
      <c r="S55" s="905" t="n"/>
    </row>
    <row r="56" ht="15" customHeight="1">
      <c r="B56" s="1169" t="n"/>
      <c r="C56" s="1207" t="n"/>
      <c r="R56" s="1191" t="n"/>
      <c r="S56" s="905" t="n"/>
    </row>
    <row r="57" ht="15" customHeight="1" thickBot="1">
      <c r="B57" s="1169" t="n"/>
      <c r="C57" s="1185">
        <f>C17</f>
        <v/>
      </c>
      <c r="R57" s="707" t="n"/>
      <c r="S57" s="905" t="n"/>
    </row>
    <row r="58" ht="15" customHeight="1" thickBot="1">
      <c r="B58" s="1169" t="n"/>
      <c r="C58" s="116" t="inlineStr">
        <is>
          <t>Licences Sold</t>
        </is>
      </c>
      <c r="D58" s="1170" t="n">
        <v>0</v>
      </c>
      <c r="E58" s="1170" t="n">
        <v>0</v>
      </c>
      <c r="F58" s="1170" t="n">
        <v>0</v>
      </c>
      <c r="G58" s="1170" t="n">
        <v>0</v>
      </c>
      <c r="H58" s="1170" t="n">
        <v>0</v>
      </c>
      <c r="I58" s="1170" t="n">
        <v>0</v>
      </c>
      <c r="J58" s="1170" t="n">
        <v>0</v>
      </c>
      <c r="K58" s="1170" t="n">
        <v>0</v>
      </c>
      <c r="L58" s="1170" t="n">
        <v>0</v>
      </c>
      <c r="M58" s="1170" t="n">
        <v>0</v>
      </c>
      <c r="N58" s="1170" t="n">
        <v>0</v>
      </c>
      <c r="O58" s="1170" t="n">
        <v>0</v>
      </c>
      <c r="P58" s="1187">
        <f>O58</f>
        <v/>
      </c>
      <c r="Q58" s="72" t="n"/>
      <c r="R58" s="318" t="n"/>
      <c r="S58" s="905" t="n"/>
    </row>
    <row r="59" ht="15" customHeight="1">
      <c r="B59" s="1169" t="n"/>
      <c r="C59" s="117" t="inlineStr">
        <is>
          <t>Total Sales</t>
        </is>
      </c>
      <c r="D59" s="194">
        <f>D58*$D$17</f>
        <v/>
      </c>
      <c r="E59" s="194">
        <f>E58*$D$17</f>
        <v/>
      </c>
      <c r="F59" s="194">
        <f>F58*$D$17</f>
        <v/>
      </c>
      <c r="G59" s="194">
        <f>G58*$D$17</f>
        <v/>
      </c>
      <c r="H59" s="194">
        <f>H58*$D$17</f>
        <v/>
      </c>
      <c r="I59" s="194">
        <f>I58*$D$17</f>
        <v/>
      </c>
      <c r="J59" s="194">
        <f>J58*$D$17</f>
        <v/>
      </c>
      <c r="K59" s="194">
        <f>K58*$D$17</f>
        <v/>
      </c>
      <c r="L59" s="194">
        <f>L58*$D$17</f>
        <v/>
      </c>
      <c r="M59" s="194">
        <f>M58*$D$17</f>
        <v/>
      </c>
      <c r="N59" s="194">
        <f>N58*$D$17</f>
        <v/>
      </c>
      <c r="O59" s="523">
        <f>O58*$D$17</f>
        <v/>
      </c>
      <c r="P59" s="319">
        <f>SUM(D59:O59)</f>
        <v/>
      </c>
      <c r="Q59" s="1175">
        <f>(Q60+Q61)</f>
        <v/>
      </c>
      <c r="R59" s="1176" t="inlineStr">
        <is>
          <t xml:space="preserve"> </t>
        </is>
      </c>
      <c r="S59" s="905" t="n"/>
    </row>
    <row r="60" ht="23.25" customHeight="1">
      <c r="B60" s="1169" t="n"/>
      <c r="C60" s="118" t="inlineStr">
        <is>
          <t>Total COGS</t>
        </is>
      </c>
      <c r="D60" s="193">
        <f>D58*$E$17</f>
        <v/>
      </c>
      <c r="E60" s="193">
        <f>E58*$E$17</f>
        <v/>
      </c>
      <c r="F60" s="193">
        <f>F58*$E$17</f>
        <v/>
      </c>
      <c r="G60" s="193">
        <f>G58*$E$17</f>
        <v/>
      </c>
      <c r="H60" s="193">
        <f>H58*$E$17</f>
        <v/>
      </c>
      <c r="I60" s="193">
        <f>I58*$E$17</f>
        <v/>
      </c>
      <c r="J60" s="193">
        <f>J58*$E$17</f>
        <v/>
      </c>
      <c r="K60" s="193">
        <f>K58*$E$17</f>
        <v/>
      </c>
      <c r="L60" s="193">
        <f>L58*$E$17</f>
        <v/>
      </c>
      <c r="M60" s="193">
        <f>M58*$E$17</f>
        <v/>
      </c>
      <c r="N60" s="193">
        <f>N58*$E$17</f>
        <v/>
      </c>
      <c r="O60" s="273">
        <f>O58*$E$17</f>
        <v/>
      </c>
      <c r="P60" s="320">
        <f>SUM(D60:O60)</f>
        <v/>
      </c>
      <c r="Q60" s="1178">
        <f>IF(P59=0,0,P60/P59)</f>
        <v/>
      </c>
      <c r="R60" s="1179" t="inlineStr">
        <is>
          <t xml:space="preserve"> </t>
        </is>
      </c>
      <c r="S60" s="905" t="n"/>
    </row>
    <row r="61" ht="20" customHeight="1" thickBot="1">
      <c r="B61" s="1169" t="n"/>
      <c r="C61" s="119" t="inlineStr">
        <is>
          <t>Total Margin</t>
        </is>
      </c>
      <c r="D61" s="68">
        <f>D59-D60</f>
        <v/>
      </c>
      <c r="E61" s="68">
        <f>E59-E60</f>
        <v/>
      </c>
      <c r="F61" s="68">
        <f>F59-F60</f>
        <v/>
      </c>
      <c r="G61" s="68">
        <f>G59-G60</f>
        <v/>
      </c>
      <c r="H61" s="68">
        <f>H59-H60</f>
        <v/>
      </c>
      <c r="I61" s="68">
        <f>I59-I60</f>
        <v/>
      </c>
      <c r="J61" s="68">
        <f>J59-J60</f>
        <v/>
      </c>
      <c r="K61" s="68">
        <f>K59-K60</f>
        <v/>
      </c>
      <c r="L61" s="68">
        <f>L59-L60</f>
        <v/>
      </c>
      <c r="M61" s="68">
        <f>M59-M60</f>
        <v/>
      </c>
      <c r="N61" s="68">
        <f>N59-N60</f>
        <v/>
      </c>
      <c r="O61" s="69">
        <f>O59-O60</f>
        <v/>
      </c>
      <c r="P61" s="321">
        <f>SUM(D61:O61)</f>
        <v/>
      </c>
      <c r="Q61" s="1181">
        <f>IF(P59=0,0,P61/P59)</f>
        <v/>
      </c>
      <c r="R61" s="1182" t="inlineStr">
        <is>
          <t xml:space="preserve"> </t>
        </is>
      </c>
      <c r="S61" s="905" t="n"/>
    </row>
    <row r="62" ht="15" customHeight="1" thickBot="1">
      <c r="B62" s="1189" t="n"/>
      <c r="C62" s="101" t="n"/>
      <c r="D62" s="340" t="n"/>
      <c r="E62" s="340" t="n"/>
      <c r="F62" s="340" t="n"/>
      <c r="G62" s="340" t="n"/>
      <c r="H62" s="340" t="n"/>
      <c r="I62" s="340" t="n"/>
      <c r="J62" s="340" t="n"/>
      <c r="K62" s="340" t="n"/>
      <c r="L62" s="340" t="n"/>
      <c r="M62" s="340" t="n"/>
      <c r="N62" s="340" t="n"/>
      <c r="O62" s="340" t="n"/>
      <c r="P62" s="103" t="n"/>
      <c r="Q62" s="1208" t="n"/>
      <c r="R62" s="1209" t="inlineStr">
        <is>
          <t xml:space="preserve"> </t>
        </is>
      </c>
      <c r="S62" s="905" t="n"/>
    </row>
    <row r="63" ht="15" customHeight="1" thickBot="1">
      <c r="B63" s="1012" t="inlineStr">
        <is>
          <t>Start ups</t>
        </is>
      </c>
      <c r="C63" s="1193">
        <f>C18</f>
        <v/>
      </c>
      <c r="D63" s="1145" t="n"/>
      <c r="E63" s="1145" t="n"/>
      <c r="F63" s="1145" t="n"/>
      <c r="G63" s="1145" t="n"/>
      <c r="H63" s="1145" t="n"/>
      <c r="I63" s="1145" t="n"/>
      <c r="J63" s="1145" t="n"/>
      <c r="K63" s="1145" t="n"/>
      <c r="L63" s="1145" t="n"/>
      <c r="M63" s="1145" t="n"/>
      <c r="N63" s="1145" t="n"/>
      <c r="O63" s="1145" t="n"/>
      <c r="P63" s="1145" t="n"/>
      <c r="Q63" s="1145" t="n"/>
      <c r="R63" s="705" t="n"/>
      <c r="S63" s="905" t="n"/>
    </row>
    <row r="64" ht="15" customHeight="1" thickBot="1">
      <c r="B64" s="1194" t="n"/>
      <c r="C64" s="325" t="inlineStr">
        <is>
          <t>Licences Sold</t>
        </is>
      </c>
      <c r="D64" s="1170" t="n">
        <v>40</v>
      </c>
      <c r="E64" s="1170" t="n">
        <v>50</v>
      </c>
      <c r="F64" s="1170" t="n">
        <v>55</v>
      </c>
      <c r="G64" s="1170" t="n">
        <v>55</v>
      </c>
      <c r="H64" s="1170" t="n">
        <v>56</v>
      </c>
      <c r="I64" s="1170" t="n">
        <v>60</v>
      </c>
      <c r="J64" s="1170" t="n">
        <v>60</v>
      </c>
      <c r="K64" s="1170" t="n">
        <v>60</v>
      </c>
      <c r="L64" s="1170" t="n">
        <v>65</v>
      </c>
      <c r="M64" s="1210" t="n">
        <v>70</v>
      </c>
      <c r="N64" s="1170" t="n">
        <v>70</v>
      </c>
      <c r="O64" s="1170" t="n">
        <v>75</v>
      </c>
      <c r="P64" s="1187">
        <f>O64</f>
        <v/>
      </c>
      <c r="Q64" s="72" t="n"/>
      <c r="R64" s="318" t="n"/>
      <c r="S64" s="904" t="n">
        <v>0.05</v>
      </c>
    </row>
    <row r="65" hidden="1" ht="15" customHeight="1">
      <c r="B65" s="1194" t="n"/>
      <c r="C65" s="911" t="n"/>
      <c r="D65" s="1173">
        <f>D64*$S$64</f>
        <v/>
      </c>
      <c r="E65" s="1173">
        <f>E64*$S$64</f>
        <v/>
      </c>
      <c r="F65" s="1173">
        <f>F64*$S$64</f>
        <v/>
      </c>
      <c r="G65" s="1173">
        <f>G64*$S$64</f>
        <v/>
      </c>
      <c r="H65" s="1173">
        <f>H64*$S$64</f>
        <v/>
      </c>
      <c r="I65" s="1173">
        <f>I64*$S$64</f>
        <v/>
      </c>
      <c r="J65" s="1173">
        <f>J64*$S$64</f>
        <v/>
      </c>
      <c r="K65" s="1173">
        <f>K64*$S$64</f>
        <v/>
      </c>
      <c r="L65" s="1173">
        <f>L64*$S$64</f>
        <v/>
      </c>
      <c r="M65" s="1173">
        <f>M64*$S$64</f>
        <v/>
      </c>
      <c r="N65" s="1173">
        <f>N64*$S$64</f>
        <v/>
      </c>
      <c r="O65" s="1173">
        <f>O64*$S$64</f>
        <v/>
      </c>
      <c r="P65" s="1174" t="n"/>
      <c r="Q65" s="909" t="n"/>
      <c r="R65" s="910" t="n"/>
      <c r="S65" s="904" t="n"/>
    </row>
    <row r="66" ht="25" customHeight="1">
      <c r="B66" s="1194" t="n"/>
      <c r="C66" s="297" t="inlineStr">
        <is>
          <t>Total Sales</t>
        </is>
      </c>
      <c r="D66" s="194">
        <f>(D64-D65)*$D$18</f>
        <v/>
      </c>
      <c r="E66" s="194">
        <f>(E64-E65)*$D$18</f>
        <v/>
      </c>
      <c r="F66" s="194">
        <f>(F64-F65)*$D$18</f>
        <v/>
      </c>
      <c r="G66" s="194">
        <f>(G64-G65)*$D$18</f>
        <v/>
      </c>
      <c r="H66" s="194">
        <f>(H64-H65)*$D$18</f>
        <v/>
      </c>
      <c r="I66" s="194">
        <f>(I64-I65)*$D$18</f>
        <v/>
      </c>
      <c r="J66" s="194">
        <f>(J64-J65)*$D$18</f>
        <v/>
      </c>
      <c r="K66" s="194">
        <f>(K64-K65)*$D$18</f>
        <v/>
      </c>
      <c r="L66" s="194">
        <f>(L64-L65)*$D$18</f>
        <v/>
      </c>
      <c r="M66" s="194">
        <f>(M64-M65)*$D$18</f>
        <v/>
      </c>
      <c r="N66" s="194">
        <f>(N64-N65)*$D$18</f>
        <v/>
      </c>
      <c r="O66" s="194">
        <f>(O64-O65)*$D$18</f>
        <v/>
      </c>
      <c r="P66" s="319">
        <f>SUM(D66:O66)</f>
        <v/>
      </c>
      <c r="Q66" s="1175">
        <f>(Q67+Q68)</f>
        <v/>
      </c>
      <c r="R66" s="1176" t="inlineStr">
        <is>
          <t xml:space="preserve"> </t>
        </is>
      </c>
      <c r="S66" s="905" t="n"/>
    </row>
    <row r="67" ht="21" customHeight="1">
      <c r="B67" s="1194" t="n"/>
      <c r="C67" s="299" t="inlineStr">
        <is>
          <t>Total COGS</t>
        </is>
      </c>
      <c r="D67" s="193">
        <f>D64*$E$18</f>
        <v/>
      </c>
      <c r="E67" s="193">
        <f>E64*$E$18</f>
        <v/>
      </c>
      <c r="F67" s="193">
        <f>F64*$E$18</f>
        <v/>
      </c>
      <c r="G67" s="193">
        <f>G64*$E$18</f>
        <v/>
      </c>
      <c r="H67" s="193">
        <f>H64*$E$18</f>
        <v/>
      </c>
      <c r="I67" s="193">
        <f>I64*$E$18</f>
        <v/>
      </c>
      <c r="J67" s="193">
        <f>J64*$E$18</f>
        <v/>
      </c>
      <c r="K67" s="193">
        <f>K64*$E$18</f>
        <v/>
      </c>
      <c r="L67" s="193">
        <f>L64*$E$18</f>
        <v/>
      </c>
      <c r="M67" s="193">
        <f>M64*$E$18</f>
        <v/>
      </c>
      <c r="N67" s="193">
        <f>N64*$E$18</f>
        <v/>
      </c>
      <c r="O67" s="273">
        <f>O64*$E$18</f>
        <v/>
      </c>
      <c r="P67" s="320">
        <f>SUM(D67:O67)</f>
        <v/>
      </c>
      <c r="Q67" s="1178">
        <f>IF(P66=0,0,P67/P66)</f>
        <v/>
      </c>
      <c r="R67" s="1179" t="inlineStr">
        <is>
          <t xml:space="preserve"> </t>
        </is>
      </c>
      <c r="S67" s="905" t="n"/>
    </row>
    <row r="68" ht="22" customHeight="1" thickBot="1">
      <c r="B68" s="1194" t="n"/>
      <c r="C68" s="326" t="inlineStr">
        <is>
          <t>Total Margin</t>
        </is>
      </c>
      <c r="D68" s="68">
        <f>D66-D67</f>
        <v/>
      </c>
      <c r="E68" s="68">
        <f>E66-E67</f>
        <v/>
      </c>
      <c r="F68" s="68">
        <f>F66-F67</f>
        <v/>
      </c>
      <c r="G68" s="68">
        <f>G66-G67</f>
        <v/>
      </c>
      <c r="H68" s="68">
        <f>H66-H67</f>
        <v/>
      </c>
      <c r="I68" s="68">
        <f>I66-I67</f>
        <v/>
      </c>
      <c r="J68" s="68">
        <f>J66-J67</f>
        <v/>
      </c>
      <c r="K68" s="68">
        <f>K66-K67</f>
        <v/>
      </c>
      <c r="L68" s="68">
        <f>L66-L67</f>
        <v/>
      </c>
      <c r="M68" s="68">
        <f>M66-M67</f>
        <v/>
      </c>
      <c r="N68" s="68">
        <f>N66-N67</f>
        <v/>
      </c>
      <c r="O68" s="69">
        <f>O66-O67</f>
        <v/>
      </c>
      <c r="P68" s="321">
        <f>SUM(D68:O68)</f>
        <v/>
      </c>
      <c r="Q68" s="1181">
        <f>IF(P66=0,0,P68/P66)</f>
        <v/>
      </c>
      <c r="R68" s="1182" t="inlineStr">
        <is>
          <t xml:space="preserve"> </t>
        </is>
      </c>
      <c r="S68" s="905" t="n"/>
    </row>
    <row r="69" ht="15" customHeight="1">
      <c r="B69" s="1194" t="n"/>
      <c r="C69" s="1211" t="n"/>
      <c r="R69" s="707" t="n"/>
      <c r="S69" s="905" t="n"/>
    </row>
    <row r="70" ht="15" customHeight="1" thickBot="1">
      <c r="B70" s="1194" t="n"/>
      <c r="C70" s="1197">
        <f>C19</f>
        <v/>
      </c>
      <c r="R70" s="707" t="n"/>
      <c r="S70" s="905" t="n"/>
    </row>
    <row r="71" ht="15" customHeight="1" thickBot="1">
      <c r="B71" s="1194" t="n"/>
      <c r="C71" s="325" t="inlineStr">
        <is>
          <t>Licences Sold</t>
        </is>
      </c>
      <c r="D71" s="1170" t="n">
        <v>0</v>
      </c>
      <c r="E71" s="1170" t="n">
        <v>0</v>
      </c>
      <c r="F71" s="1170" t="n">
        <v>0</v>
      </c>
      <c r="G71" s="1170" t="n">
        <v>0</v>
      </c>
      <c r="H71" s="1170" t="n">
        <v>0</v>
      </c>
      <c r="I71" s="1170" t="n">
        <v>0</v>
      </c>
      <c r="J71" s="1170" t="n">
        <v>0</v>
      </c>
      <c r="K71" s="1170" t="n">
        <v>0</v>
      </c>
      <c r="L71" s="1170" t="n">
        <v>0</v>
      </c>
      <c r="M71" s="1170" t="n">
        <v>0</v>
      </c>
      <c r="N71" s="1170" t="n">
        <v>0</v>
      </c>
      <c r="O71" s="1170" t="n">
        <v>0</v>
      </c>
      <c r="P71" s="1187">
        <f>O71</f>
        <v/>
      </c>
      <c r="Q71" s="72" t="n"/>
      <c r="R71" s="318" t="n"/>
      <c r="S71" s="905" t="n"/>
    </row>
    <row r="72" ht="15" customHeight="1">
      <c r="B72" s="1194" t="n"/>
      <c r="C72" s="297" t="inlineStr">
        <is>
          <t>Total Sales</t>
        </is>
      </c>
      <c r="D72" s="194">
        <f>D71*$D$19</f>
        <v/>
      </c>
      <c r="E72" s="193">
        <f>E71*$D$19</f>
        <v/>
      </c>
      <c r="F72" s="193">
        <f>F71*$D$19</f>
        <v/>
      </c>
      <c r="G72" s="193">
        <f>G71*$D$19</f>
        <v/>
      </c>
      <c r="H72" s="193">
        <f>H71*$D$19</f>
        <v/>
      </c>
      <c r="I72" s="193">
        <f>I71*$D$19</f>
        <v/>
      </c>
      <c r="J72" s="193">
        <f>J71*$D$19</f>
        <v/>
      </c>
      <c r="K72" s="193">
        <f>K71*$D$19</f>
        <v/>
      </c>
      <c r="L72" s="193">
        <f>L71*$D$19</f>
        <v/>
      </c>
      <c r="M72" s="193">
        <f>M71*$D$19</f>
        <v/>
      </c>
      <c r="N72" s="193">
        <f>N71*$D$19</f>
        <v/>
      </c>
      <c r="O72" s="273">
        <f>O71*$D$19</f>
        <v/>
      </c>
      <c r="P72" s="319">
        <f>SUM(D72:O72)</f>
        <v/>
      </c>
      <c r="Q72" s="1175">
        <f>(Q73+Q74)</f>
        <v/>
      </c>
      <c r="R72" s="1176" t="inlineStr">
        <is>
          <t xml:space="preserve"> </t>
        </is>
      </c>
      <c r="S72" s="905" t="n"/>
    </row>
    <row r="73" ht="21" customHeight="1">
      <c r="B73" s="1194" t="n"/>
      <c r="C73" s="299" t="inlineStr">
        <is>
          <t>Total COGS</t>
        </is>
      </c>
      <c r="D73" s="193">
        <f>D71*$E$19</f>
        <v/>
      </c>
      <c r="E73" s="193">
        <f>E71*$E$19</f>
        <v/>
      </c>
      <c r="F73" s="193">
        <f>F71*$E$19</f>
        <v/>
      </c>
      <c r="G73" s="193">
        <f>G71*$E$19</f>
        <v/>
      </c>
      <c r="H73" s="193">
        <f>H71*$E$19</f>
        <v/>
      </c>
      <c r="I73" s="193">
        <f>I71*$E$19</f>
        <v/>
      </c>
      <c r="J73" s="193">
        <f>J71*$E$19</f>
        <v/>
      </c>
      <c r="K73" s="193">
        <f>K71*$E$19</f>
        <v/>
      </c>
      <c r="L73" s="193">
        <f>L71*$E$19</f>
        <v/>
      </c>
      <c r="M73" s="193">
        <f>M71*$E$19</f>
        <v/>
      </c>
      <c r="N73" s="193">
        <f>N71*$E$19</f>
        <v/>
      </c>
      <c r="O73" s="273">
        <f>O71*$E$19</f>
        <v/>
      </c>
      <c r="P73" s="320">
        <f>SUM(D73:O73)</f>
        <v/>
      </c>
      <c r="Q73" s="1178">
        <f>IF(P72=0,0,P73/P72)</f>
        <v/>
      </c>
      <c r="R73" s="1179" t="inlineStr">
        <is>
          <t xml:space="preserve"> </t>
        </is>
      </c>
      <c r="S73" s="905" t="n"/>
    </row>
    <row r="74" ht="23.25" customHeight="1" thickBot="1">
      <c r="B74" s="1194" t="n"/>
      <c r="C74" s="301" t="inlineStr">
        <is>
          <t>Total Margin</t>
        </is>
      </c>
      <c r="D74" s="308">
        <f>D72-D73</f>
        <v/>
      </c>
      <c r="E74" s="308">
        <f>E72-E73</f>
        <v/>
      </c>
      <c r="F74" s="308">
        <f>F72-F73</f>
        <v/>
      </c>
      <c r="G74" s="308">
        <f>G72-G73</f>
        <v/>
      </c>
      <c r="H74" s="308">
        <f>H72-H73</f>
        <v/>
      </c>
      <c r="I74" s="308">
        <f>I72-I73</f>
        <v/>
      </c>
      <c r="J74" s="308">
        <f>J72-J73</f>
        <v/>
      </c>
      <c r="K74" s="308">
        <f>K72-K73</f>
        <v/>
      </c>
      <c r="L74" s="308">
        <f>L72-L73</f>
        <v/>
      </c>
      <c r="M74" s="308">
        <f>M72-M73</f>
        <v/>
      </c>
      <c r="N74" s="308">
        <f>N72-N73</f>
        <v/>
      </c>
      <c r="O74" s="532">
        <f>O72-O73</f>
        <v/>
      </c>
      <c r="P74" s="321">
        <f>SUM(D74:O74)</f>
        <v/>
      </c>
      <c r="Q74" s="1181">
        <f>IF(P72=0,0,P74/P72)</f>
        <v/>
      </c>
      <c r="R74" s="1182" t="inlineStr">
        <is>
          <t xml:space="preserve"> </t>
        </is>
      </c>
      <c r="S74" s="905" t="n"/>
    </row>
    <row r="75" ht="20" customHeight="1">
      <c r="B75" s="1018" t="inlineStr">
        <is>
          <t xml:space="preserve"> </t>
        </is>
      </c>
    </row>
    <row r="76" ht="15" customHeight="1">
      <c r="B76" s="129" t="n"/>
      <c r="C76" s="207" t="n"/>
      <c r="D76" s="207" t="n"/>
      <c r="E76" s="207" t="n"/>
      <c r="F76" s="207" t="n"/>
      <c r="G76" s="207" t="inlineStr">
        <is>
          <t xml:space="preserve"> </t>
        </is>
      </c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</row>
    <row r="77" ht="15" customHeight="1" thickBot="1">
      <c r="B77" s="1005" t="inlineStr">
        <is>
          <t>Consultancy / Training</t>
        </is>
      </c>
      <c r="C77" s="1185">
        <f>C21</f>
        <v/>
      </c>
      <c r="R77" s="707" t="n"/>
    </row>
    <row r="78" ht="15" customHeight="1" thickBot="1">
      <c r="B78" s="1169" t="n"/>
      <c r="C78" s="116" t="inlineStr">
        <is>
          <t>Access Sold</t>
        </is>
      </c>
      <c r="D78" s="1170" t="n"/>
      <c r="E78" s="1170" t="n"/>
      <c r="F78" s="1170" t="n">
        <v>0</v>
      </c>
      <c r="G78" s="1170" t="n">
        <v>0</v>
      </c>
      <c r="H78" s="1170" t="n">
        <v>0</v>
      </c>
      <c r="I78" s="1170" t="n">
        <v>0</v>
      </c>
      <c r="J78" s="1170" t="n">
        <v>0</v>
      </c>
      <c r="K78" s="1170" t="n">
        <v>0</v>
      </c>
      <c r="L78" s="1170" t="n">
        <v>0</v>
      </c>
      <c r="M78" s="1170" t="n">
        <v>0</v>
      </c>
      <c r="N78" s="1170" t="n">
        <v>0</v>
      </c>
      <c r="O78" s="1212" t="n">
        <v>0</v>
      </c>
      <c r="P78" s="322" t="n"/>
      <c r="Q78" s="323" t="n"/>
      <c r="R78" s="324" t="n"/>
    </row>
    <row r="79" ht="15" customHeight="1">
      <c r="B79" s="1169" t="n"/>
      <c r="C79" s="117" t="inlineStr">
        <is>
          <t>Total Sales</t>
        </is>
      </c>
      <c r="D79" s="194">
        <f>D78*$D$21</f>
        <v/>
      </c>
      <c r="E79" s="194">
        <f>E78*$D$21</f>
        <v/>
      </c>
      <c r="F79" s="194">
        <f>F78*$D$21</f>
        <v/>
      </c>
      <c r="G79" s="194">
        <f>G78*$D$21</f>
        <v/>
      </c>
      <c r="H79" s="194">
        <f>H78*$D$21</f>
        <v/>
      </c>
      <c r="I79" s="194">
        <f>I78*$D$21</f>
        <v/>
      </c>
      <c r="J79" s="194">
        <f>J78*$D$21</f>
        <v/>
      </c>
      <c r="K79" s="194">
        <f>K78*$D$21</f>
        <v/>
      </c>
      <c r="L79" s="194">
        <f>L78*$D$21</f>
        <v/>
      </c>
      <c r="M79" s="194">
        <f>M78*$D$21</f>
        <v/>
      </c>
      <c r="N79" s="194">
        <f>N78*$D$21</f>
        <v/>
      </c>
      <c r="O79" s="523">
        <f>O78*$D$21</f>
        <v/>
      </c>
      <c r="P79" s="319">
        <f>SUM(D79:O79)</f>
        <v/>
      </c>
      <c r="Q79" s="1175">
        <f>(Q80+Q81)</f>
        <v/>
      </c>
      <c r="R79" s="1176" t="inlineStr">
        <is>
          <t xml:space="preserve"> </t>
        </is>
      </c>
    </row>
    <row r="80" ht="18" customHeight="1">
      <c r="B80" s="1169" t="n"/>
      <c r="C80" s="118" t="inlineStr">
        <is>
          <t>Total COGS</t>
        </is>
      </c>
      <c r="D80" s="107">
        <f>D78*$E$21</f>
        <v/>
      </c>
      <c r="E80" s="107">
        <f>E78*$E$21</f>
        <v/>
      </c>
      <c r="F80" s="107">
        <f>F78*$E$21</f>
        <v/>
      </c>
      <c r="G80" s="107">
        <f>G78*$E$21</f>
        <v/>
      </c>
      <c r="H80" s="107">
        <f>H78*$E$21</f>
        <v/>
      </c>
      <c r="I80" s="107">
        <f>I78*$E$21</f>
        <v/>
      </c>
      <c r="J80" s="107">
        <f>J78*$E$21</f>
        <v/>
      </c>
      <c r="K80" s="107">
        <f>K78*$E$21</f>
        <v/>
      </c>
      <c r="L80" s="107">
        <f>L78*$E$21</f>
        <v/>
      </c>
      <c r="M80" s="107">
        <f>M78*$E$21</f>
        <v/>
      </c>
      <c r="N80" s="107">
        <f>N78*$E$21</f>
        <v/>
      </c>
      <c r="O80" s="316">
        <f>O78*$E$21</f>
        <v/>
      </c>
      <c r="P80" s="320">
        <f>SUM(D80:O80)</f>
        <v/>
      </c>
      <c r="Q80" s="1178">
        <f>IF(P79=0,0,P80/P79)</f>
        <v/>
      </c>
      <c r="R80" s="1179" t="inlineStr">
        <is>
          <t xml:space="preserve"> </t>
        </is>
      </c>
    </row>
    <row r="81" ht="19" customHeight="1" thickBot="1">
      <c r="B81" s="1169" t="n"/>
      <c r="C81" s="119" t="inlineStr">
        <is>
          <t>Total Margin</t>
        </is>
      </c>
      <c r="D81" s="68">
        <f>D79-D80</f>
        <v/>
      </c>
      <c r="E81" s="68">
        <f>E79-E80</f>
        <v/>
      </c>
      <c r="F81" s="68">
        <f>F79-F80</f>
        <v/>
      </c>
      <c r="G81" s="68">
        <f>G79-G80</f>
        <v/>
      </c>
      <c r="H81" s="68">
        <f>H79-H80</f>
        <v/>
      </c>
      <c r="I81" s="68">
        <f>I79-I80</f>
        <v/>
      </c>
      <c r="J81" s="68">
        <f>J79-J80</f>
        <v/>
      </c>
      <c r="K81" s="68">
        <f>K79-K80</f>
        <v/>
      </c>
      <c r="L81" s="68">
        <f>L79-L80</f>
        <v/>
      </c>
      <c r="M81" s="68">
        <f>M79-M80</f>
        <v/>
      </c>
      <c r="N81" s="68">
        <f>N79-N80</f>
        <v/>
      </c>
      <c r="O81" s="69">
        <f>O79-O80</f>
        <v/>
      </c>
      <c r="P81" s="321">
        <f>SUM(D81:O81)</f>
        <v/>
      </c>
      <c r="Q81" s="1181">
        <f>IF(P79=0,0,P81/P79)</f>
        <v/>
      </c>
      <c r="R81" s="1182" t="inlineStr">
        <is>
          <t xml:space="preserve"> </t>
        </is>
      </c>
    </row>
    <row r="82" ht="15" customHeight="1">
      <c r="B82" s="1169" t="n"/>
      <c r="C82" s="1190" t="inlineStr">
        <is>
          <t xml:space="preserve"> </t>
        </is>
      </c>
      <c r="R82" s="1191" t="n"/>
    </row>
    <row r="83" ht="15" customHeight="1" thickBot="1">
      <c r="B83" s="1169" t="n"/>
      <c r="C83" s="1185">
        <f>C22</f>
        <v/>
      </c>
      <c r="R83" s="707" t="n"/>
    </row>
    <row r="84" ht="15" customHeight="1" thickBot="1">
      <c r="B84" s="1169" t="n"/>
      <c r="C84" s="116" t="inlineStr">
        <is>
          <t>Hours Sold</t>
        </is>
      </c>
      <c r="D84" s="1170" t="n"/>
      <c r="E84" s="1170" t="n"/>
      <c r="F84" s="1170" t="n">
        <v>0</v>
      </c>
      <c r="G84" s="1170" t="n">
        <v>0</v>
      </c>
      <c r="H84" s="1170" t="n">
        <v>0</v>
      </c>
      <c r="I84" s="1170" t="n">
        <v>0</v>
      </c>
      <c r="J84" s="1170" t="n">
        <v>0</v>
      </c>
      <c r="K84" s="1170" t="n">
        <v>0</v>
      </c>
      <c r="L84" s="1170" t="n">
        <v>0</v>
      </c>
      <c r="M84" s="1170" t="n">
        <v>0</v>
      </c>
      <c r="N84" s="1170" t="n">
        <v>0</v>
      </c>
      <c r="O84" s="1212" t="n">
        <v>0</v>
      </c>
      <c r="P84" s="317" t="n"/>
      <c r="Q84" s="72" t="n"/>
      <c r="R84" s="318" t="n"/>
    </row>
    <row r="85" ht="15" customHeight="1">
      <c r="B85" s="1169" t="n"/>
      <c r="C85" s="117" t="inlineStr">
        <is>
          <t>Total Sales</t>
        </is>
      </c>
      <c r="D85" s="194">
        <f>D84*$D$22</f>
        <v/>
      </c>
      <c r="E85" s="194">
        <f>E84*$D$22</f>
        <v/>
      </c>
      <c r="F85" s="194">
        <f>F84*$D$22</f>
        <v/>
      </c>
      <c r="G85" s="194">
        <f>G84*$D$22</f>
        <v/>
      </c>
      <c r="H85" s="194">
        <f>H84*$D$22</f>
        <v/>
      </c>
      <c r="I85" s="194">
        <f>I84*$D$22</f>
        <v/>
      </c>
      <c r="J85" s="194">
        <f>J84*$D$22</f>
        <v/>
      </c>
      <c r="K85" s="194">
        <f>K84*$D$22</f>
        <v/>
      </c>
      <c r="L85" s="194">
        <f>L84*$D$22</f>
        <v/>
      </c>
      <c r="M85" s="194">
        <f>M84*$D$22</f>
        <v/>
      </c>
      <c r="N85" s="194">
        <f>N84*$D$22</f>
        <v/>
      </c>
      <c r="O85" s="523">
        <f>O84*$D$22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1169" t="n"/>
      <c r="C86" s="118" t="inlineStr">
        <is>
          <t>Total COGS</t>
        </is>
      </c>
      <c r="D86" s="107">
        <f>D84*$E$22</f>
        <v/>
      </c>
      <c r="E86" s="107">
        <f>E84*$E$22</f>
        <v/>
      </c>
      <c r="F86" s="107">
        <f>F84*$E$22</f>
        <v/>
      </c>
      <c r="G86" s="107">
        <f>G84*$E$22</f>
        <v/>
      </c>
      <c r="H86" s="107">
        <f>H84*$E$22</f>
        <v/>
      </c>
      <c r="I86" s="107">
        <f>I84*$E$22</f>
        <v/>
      </c>
      <c r="J86" s="107">
        <f>J84*$E$22</f>
        <v/>
      </c>
      <c r="K86" s="107">
        <f>K84*$E$22</f>
        <v/>
      </c>
      <c r="L86" s="107">
        <f>L84*$E$22</f>
        <v/>
      </c>
      <c r="M86" s="107">
        <f>M84*$E$22</f>
        <v/>
      </c>
      <c r="N86" s="107">
        <f>N84*$E$22</f>
        <v/>
      </c>
      <c r="O86" s="316">
        <f>O84*$E$22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5" customHeight="1" thickBot="1">
      <c r="B87" s="116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15" customHeight="1">
      <c r="B88" s="1169" t="n"/>
      <c r="C88" s="1190" t="inlineStr">
        <is>
          <t xml:space="preserve"> </t>
        </is>
      </c>
      <c r="R88" s="1191" t="n"/>
    </row>
    <row r="89" ht="15" customHeight="1">
      <c r="B89" s="1169" t="n"/>
      <c r="C89" s="1185" t="inlineStr">
        <is>
          <t>Total Training Consultancy</t>
        </is>
      </c>
      <c r="R89" s="707" t="n"/>
    </row>
    <row r="90" ht="18" customHeight="1">
      <c r="B90" s="1169" t="n"/>
      <c r="C90" s="117" t="inlineStr">
        <is>
          <t>Total Sales</t>
        </is>
      </c>
      <c r="D90" s="194">
        <f>D85+D79</f>
        <v/>
      </c>
      <c r="E90" s="194">
        <f>E85+E79</f>
        <v/>
      </c>
      <c r="F90" s="194">
        <f>F85+F79</f>
        <v/>
      </c>
      <c r="G90" s="194">
        <f>G85+G79</f>
        <v/>
      </c>
      <c r="H90" s="194">
        <f>H85+H79</f>
        <v/>
      </c>
      <c r="I90" s="194">
        <f>I85+I79</f>
        <v/>
      </c>
      <c r="J90" s="194">
        <f>J85+J79</f>
        <v/>
      </c>
      <c r="K90" s="194">
        <f>K85+K79</f>
        <v/>
      </c>
      <c r="L90" s="194">
        <f>L85+L79</f>
        <v/>
      </c>
      <c r="M90" s="194">
        <f>M85+M79</f>
        <v/>
      </c>
      <c r="N90" s="194">
        <f>N85+N79</f>
        <v/>
      </c>
      <c r="O90" s="523">
        <f>O85+O79</f>
        <v/>
      </c>
      <c r="P90" s="319">
        <f>SUM(D90:O90)</f>
        <v/>
      </c>
      <c r="Q90" s="1175">
        <f>(Q91+Q92)</f>
        <v/>
      </c>
      <c r="R90" s="1176" t="inlineStr">
        <is>
          <t xml:space="preserve"> </t>
        </is>
      </c>
    </row>
    <row r="91" ht="23.25" customHeight="1">
      <c r="B91" s="1169" t="n"/>
      <c r="C91" s="118" t="inlineStr">
        <is>
          <t>Total COGS</t>
        </is>
      </c>
      <c r="D91" s="193">
        <f>D86+D80</f>
        <v/>
      </c>
      <c r="E91" s="193">
        <f>E86+E80</f>
        <v/>
      </c>
      <c r="F91" s="193">
        <f>F86+F80</f>
        <v/>
      </c>
      <c r="G91" s="193">
        <f>G86+G80</f>
        <v/>
      </c>
      <c r="H91" s="193">
        <f>H86+H80</f>
        <v/>
      </c>
      <c r="I91" s="193">
        <f>I86+I80</f>
        <v/>
      </c>
      <c r="J91" s="193">
        <f>J86+J80</f>
        <v/>
      </c>
      <c r="K91" s="193">
        <f>K86+K80</f>
        <v/>
      </c>
      <c r="L91" s="193">
        <f>L86+L80</f>
        <v/>
      </c>
      <c r="M91" s="193">
        <f>M86+M80</f>
        <v/>
      </c>
      <c r="N91" s="193">
        <f>N86+N80</f>
        <v/>
      </c>
      <c r="O91" s="273">
        <f>O86+O80</f>
        <v/>
      </c>
      <c r="P91" s="320">
        <f>SUM(D91:O91)</f>
        <v/>
      </c>
      <c r="Q91" s="1178">
        <f>IF(P90=0,0,P91/P90)</f>
        <v/>
      </c>
      <c r="R91" s="1179" t="inlineStr">
        <is>
          <t xml:space="preserve"> </t>
        </is>
      </c>
    </row>
    <row r="92" ht="20" customHeight="1" thickBot="1">
      <c r="B92" s="1169" t="n"/>
      <c r="C92" s="119" t="inlineStr">
        <is>
          <t>Total Margin</t>
        </is>
      </c>
      <c r="D92" s="68">
        <f>D90-D91</f>
        <v/>
      </c>
      <c r="E92" s="68">
        <f>E90-E91</f>
        <v/>
      </c>
      <c r="F92" s="68">
        <f>F90-F91</f>
        <v/>
      </c>
      <c r="G92" s="68">
        <f>G90-G91</f>
        <v/>
      </c>
      <c r="H92" s="68">
        <f>H90-H91</f>
        <v/>
      </c>
      <c r="I92" s="68">
        <f>I90-I91</f>
        <v/>
      </c>
      <c r="J92" s="68">
        <f>J90-J91</f>
        <v/>
      </c>
      <c r="K92" s="68">
        <f>K90-K91</f>
        <v/>
      </c>
      <c r="L92" s="68">
        <f>L90-L91</f>
        <v/>
      </c>
      <c r="M92" s="68">
        <f>M90-M91</f>
        <v/>
      </c>
      <c r="N92" s="68">
        <f>N90-N91</f>
        <v/>
      </c>
      <c r="O92" s="69">
        <f>O90-O91</f>
        <v/>
      </c>
      <c r="P92" s="321">
        <f>SUM(D92:O92)</f>
        <v/>
      </c>
      <c r="Q92" s="1181">
        <f>IF(P90=0,0,P92/P90)</f>
        <v/>
      </c>
      <c r="R92" s="1182" t="inlineStr">
        <is>
          <t xml:space="preserve"> </t>
        </is>
      </c>
    </row>
    <row r="93" ht="19" customHeight="1" thickBot="1">
      <c r="B93" s="272" t="n"/>
      <c r="C93" s="289" t="n"/>
      <c r="D93" s="290">
        <f>D71+D64+D58+D52+D46+D40+D34+D27</f>
        <v/>
      </c>
      <c r="E93" s="290">
        <f>E71+E64+E58+E52+E46+E40+E34+E27</f>
        <v/>
      </c>
      <c r="F93" s="290">
        <f>F71+F64+F58+F52+F46+F40+F34+F27</f>
        <v/>
      </c>
      <c r="G93" s="290">
        <f>G71+G64+G58+G52+G46+G40+G34+G27</f>
        <v/>
      </c>
      <c r="H93" s="290">
        <f>H71+H64+H58+H52+H46+H40+H34+H27</f>
        <v/>
      </c>
      <c r="I93" s="290">
        <f>I71+I64+I58+I52+I46+I40+I34+I27</f>
        <v/>
      </c>
      <c r="J93" s="290">
        <f>J71+J64+J58+J52+J46+J40+J34+J27</f>
        <v/>
      </c>
      <c r="K93" s="290">
        <f>K71+K64+K58+K52+K46+K40+K34+K27</f>
        <v/>
      </c>
      <c r="L93" s="290">
        <f>L71+L64+L58+L52+L46+L40+L34+L27</f>
        <v/>
      </c>
      <c r="M93" s="290">
        <f>M71+M64+M58+M52+M46+M40+M34+M27</f>
        <v/>
      </c>
      <c r="N93" s="290">
        <f>N71+N64+N58+N52+N46+N40+N34+N27</f>
        <v/>
      </c>
      <c r="O93" s="290">
        <f>O71+O64+O58+O52+O46+O40+O34+O27</f>
        <v/>
      </c>
      <c r="P93" s="185" t="n"/>
      <c r="Q93" s="1213" t="n"/>
      <c r="R93" s="1214" t="n"/>
      <c r="T93" s="682" t="inlineStr">
        <is>
          <t xml:space="preserve">Assumptions </t>
        </is>
      </c>
    </row>
    <row r="94" ht="15" customHeight="1" thickBot="1">
      <c r="B94" s="288" t="n"/>
      <c r="C94" s="287" t="inlineStr">
        <is>
          <t>Net New</t>
        </is>
      </c>
      <c r="D94" s="283">
        <f>D71+D64+D58+D52+D46+D40+D34+D27</f>
        <v/>
      </c>
      <c r="E94" s="283">
        <f>E93-D93</f>
        <v/>
      </c>
      <c r="F94" s="283">
        <f>F93-E93</f>
        <v/>
      </c>
      <c r="G94" s="283">
        <f>G93-F93</f>
        <v/>
      </c>
      <c r="H94" s="283">
        <f>H93-G93</f>
        <v/>
      </c>
      <c r="I94" s="283">
        <f>I93-H93</f>
        <v/>
      </c>
      <c r="J94" s="283">
        <f>J93-I93</f>
        <v/>
      </c>
      <c r="K94" s="283">
        <f>K93-J93</f>
        <v/>
      </c>
      <c r="L94" s="283">
        <f>L93-K93</f>
        <v/>
      </c>
      <c r="M94" s="283">
        <f>M93-L93</f>
        <v/>
      </c>
      <c r="N94" s="283">
        <f>N93-M93</f>
        <v/>
      </c>
      <c r="O94" s="283">
        <f>O93-N93</f>
        <v/>
      </c>
      <c r="P94" s="284" t="n"/>
      <c r="Q94" s="1215" t="n"/>
      <c r="R94" s="1216" t="n"/>
      <c r="T94" s="682" t="inlineStr">
        <is>
          <t xml:space="preserve">work hours </t>
        </is>
      </c>
    </row>
    <row r="95" ht="15" customHeight="1" thickBot="1">
      <c r="B95" s="1039" t="inlineStr">
        <is>
          <t>Administrative</t>
        </is>
      </c>
      <c r="C95" s="1217">
        <f>C6</f>
        <v/>
      </c>
      <c r="D95" s="1218" t="n"/>
      <c r="E95" s="1218" t="n"/>
      <c r="F95" s="1218" t="n"/>
      <c r="G95" s="1218" t="n"/>
      <c r="H95" s="1218" t="n"/>
      <c r="I95" s="1218" t="n"/>
      <c r="J95" s="1218" t="n"/>
      <c r="K95" s="1218" t="n"/>
      <c r="L95" s="1218" t="n"/>
      <c r="M95" s="1218" t="n"/>
      <c r="N95" s="1218" t="n"/>
      <c r="O95" s="1218" t="n"/>
      <c r="P95" s="1218" t="n"/>
      <c r="Q95" s="1218" t="n"/>
      <c r="R95" s="1219" t="n"/>
      <c r="T95" s="682" t="inlineStr">
        <is>
          <t>per new acct</t>
        </is>
      </c>
    </row>
    <row r="96" ht="19" customHeight="1" thickBot="1">
      <c r="B96" s="1220" t="n"/>
      <c r="C96" s="56" t="inlineStr">
        <is>
          <t>Net New Licences Sold</t>
        </is>
      </c>
      <c r="D96" s="1170">
        <f>D94*$T$96</f>
        <v/>
      </c>
      <c r="E96" s="1170">
        <f>E94*$T$96</f>
        <v/>
      </c>
      <c r="F96" s="1170">
        <f>F94*$T$96</f>
        <v/>
      </c>
      <c r="G96" s="1170">
        <f>G94*$T$96</f>
        <v/>
      </c>
      <c r="H96" s="1170">
        <f>H94*$T$96</f>
        <v/>
      </c>
      <c r="I96" s="1170">
        <f>I94*$T$96</f>
        <v/>
      </c>
      <c r="J96" s="1170">
        <f>J94*$T$96</f>
        <v/>
      </c>
      <c r="K96" s="1170">
        <f>K94*$T$96</f>
        <v/>
      </c>
      <c r="L96" s="1170">
        <f>L94*$T$96</f>
        <v/>
      </c>
      <c r="M96" s="1170">
        <f>M94*$T$96</f>
        <v/>
      </c>
      <c r="N96" s="1170">
        <f>N94*$T$96</f>
        <v/>
      </c>
      <c r="O96" s="1170">
        <f>O94*$T$96</f>
        <v/>
      </c>
      <c r="P96" s="71" t="n"/>
      <c r="Q96" s="72" t="n"/>
      <c r="R96" s="73" t="n"/>
      <c r="T96" s="314" t="n">
        <v>3</v>
      </c>
    </row>
    <row r="97" ht="18" customHeight="1">
      <c r="B97" s="1220" t="n"/>
      <c r="C97" s="57" t="inlineStr">
        <is>
          <t>Total Sales</t>
        </is>
      </c>
      <c r="D97" s="194">
        <f>D96*$D$6</f>
        <v/>
      </c>
      <c r="E97" s="194">
        <f>E96*$D$6</f>
        <v/>
      </c>
      <c r="F97" s="194">
        <f>F96*$D$6</f>
        <v/>
      </c>
      <c r="G97" s="194">
        <f>G96*$D$6</f>
        <v/>
      </c>
      <c r="H97" s="194">
        <f>H96*$D$6</f>
        <v/>
      </c>
      <c r="I97" s="194">
        <f>I96*$D$6</f>
        <v/>
      </c>
      <c r="J97" s="194">
        <f>J96*$D$6</f>
        <v/>
      </c>
      <c r="K97" s="194">
        <f>K96*$D$6</f>
        <v/>
      </c>
      <c r="L97" s="194">
        <f>L96*$D$6</f>
        <v/>
      </c>
      <c r="M97" s="194">
        <f>M96*$D$6</f>
        <v/>
      </c>
      <c r="N97" s="194">
        <f>N96*$D$6</f>
        <v/>
      </c>
      <c r="O97" s="194">
        <f>O96*$D$6</f>
        <v/>
      </c>
      <c r="P97" s="59">
        <f>SUM(D97:O97)</f>
        <v/>
      </c>
      <c r="Q97" s="1175">
        <f>(Q98+Q99)</f>
        <v/>
      </c>
      <c r="R97" s="1221" t="inlineStr">
        <is>
          <t xml:space="preserve"> </t>
        </is>
      </c>
      <c r="T97" s="315" t="n"/>
    </row>
    <row r="98" ht="18" customHeight="1">
      <c r="B98" s="1220" t="n"/>
      <c r="C98" s="62" t="inlineStr">
        <is>
          <t>Total COGS</t>
        </is>
      </c>
      <c r="D98" s="193">
        <f>D96*$E$6</f>
        <v/>
      </c>
      <c r="E98" s="193">
        <f>E96*$E$6</f>
        <v/>
      </c>
      <c r="F98" s="193">
        <f>F96*$E$6</f>
        <v/>
      </c>
      <c r="G98" s="193">
        <f>G96*$E$6</f>
        <v/>
      </c>
      <c r="H98" s="193">
        <f>H96*$E$6</f>
        <v/>
      </c>
      <c r="I98" s="193">
        <f>I96*$E$6</f>
        <v/>
      </c>
      <c r="J98" s="193">
        <f>J96*$E$6</f>
        <v/>
      </c>
      <c r="K98" s="193">
        <f>K96*$E$6</f>
        <v/>
      </c>
      <c r="L98" s="193">
        <f>L96*$E$6</f>
        <v/>
      </c>
      <c r="M98" s="193">
        <f>M96*$E$6</f>
        <v/>
      </c>
      <c r="N98" s="193">
        <f>N96*$E$6</f>
        <v/>
      </c>
      <c r="O98" s="193">
        <f>O96*$E$6</f>
        <v/>
      </c>
      <c r="P98" s="64">
        <f>SUM(D98:O98)</f>
        <v/>
      </c>
      <c r="Q98" s="1178">
        <f>IF(P97=0,0,P98/P97)</f>
        <v/>
      </c>
      <c r="R98" s="1222" t="inlineStr">
        <is>
          <t xml:space="preserve"> </t>
        </is>
      </c>
      <c r="T98" s="315" t="n"/>
    </row>
    <row r="99" ht="18" customHeight="1">
      <c r="B99" s="1220" t="n"/>
      <c r="C99" s="67" t="inlineStr">
        <is>
          <t>Total Margin</t>
        </is>
      </c>
      <c r="D99" s="68">
        <f>D97-D98</f>
        <v/>
      </c>
      <c r="E99" s="68">
        <f>E97-E98</f>
        <v/>
      </c>
      <c r="F99" s="68">
        <f>F97-F98</f>
        <v/>
      </c>
      <c r="G99" s="68">
        <f>G97-G98</f>
        <v/>
      </c>
      <c r="H99" s="68">
        <f>H97-H98</f>
        <v/>
      </c>
      <c r="I99" s="68">
        <f>I97-I98</f>
        <v/>
      </c>
      <c r="J99" s="68">
        <f>J97-J98</f>
        <v/>
      </c>
      <c r="K99" s="68">
        <f>K97-K98</f>
        <v/>
      </c>
      <c r="L99" s="68">
        <f>L97-L98</f>
        <v/>
      </c>
      <c r="M99" s="68">
        <f>M97-M98</f>
        <v/>
      </c>
      <c r="N99" s="68">
        <f>N97-N98</f>
        <v/>
      </c>
      <c r="O99" s="69">
        <f>O97-O98</f>
        <v/>
      </c>
      <c r="P99" s="64">
        <f>SUM(D99:O99)</f>
        <v/>
      </c>
      <c r="Q99" s="1178">
        <f>IF(P97=0,0,P99/P97)</f>
        <v/>
      </c>
      <c r="R99" s="1222" t="inlineStr">
        <is>
          <t xml:space="preserve"> </t>
        </is>
      </c>
      <c r="T99" s="315" t="n"/>
    </row>
    <row r="100" ht="15" customHeight="1">
      <c r="B100" s="1220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517" t="n"/>
      <c r="Q100" s="46" t="n"/>
      <c r="R100" s="1223" t="inlineStr">
        <is>
          <t xml:space="preserve"> </t>
        </is>
      </c>
      <c r="T100" s="315" t="n"/>
    </row>
    <row r="101" ht="15" customHeight="1" thickBot="1">
      <c r="B101" s="1220" t="n"/>
      <c r="C101" s="1224">
        <f>C7</f>
        <v/>
      </c>
      <c r="R101" s="1191" t="n"/>
      <c r="T101" s="315" t="n"/>
    </row>
    <row r="102" ht="19" customHeight="1" thickBot="1">
      <c r="B102" s="1220" t="n"/>
      <c r="C102" s="56" t="inlineStr">
        <is>
          <t>Net New Licences Sold</t>
        </is>
      </c>
      <c r="D102" s="1170">
        <f>D94*$T$102</f>
        <v/>
      </c>
      <c r="E102" s="1170">
        <f>E94*$T$102</f>
        <v/>
      </c>
      <c r="F102" s="1170">
        <f>F94*$T$102</f>
        <v/>
      </c>
      <c r="G102" s="1170">
        <f>G94*$T$102</f>
        <v/>
      </c>
      <c r="H102" s="1170">
        <f>H94*$T$102</f>
        <v/>
      </c>
      <c r="I102" s="1170">
        <f>I94*$T$102</f>
        <v/>
      </c>
      <c r="J102" s="1170">
        <f>J94*$T$102</f>
        <v/>
      </c>
      <c r="K102" s="1170">
        <f>K94*$T$102</f>
        <v/>
      </c>
      <c r="L102" s="1170">
        <f>L94*$T$102</f>
        <v/>
      </c>
      <c r="M102" s="1170">
        <f>M94*$T$102</f>
        <v/>
      </c>
      <c r="N102" s="1170">
        <f>N94*$T$102</f>
        <v/>
      </c>
      <c r="O102" s="1170">
        <f>O94*$T$102</f>
        <v/>
      </c>
      <c r="P102" s="71" t="n"/>
      <c r="Q102" s="72" t="n"/>
      <c r="R102" s="73" t="n"/>
      <c r="T102" s="315" t="n">
        <v>1</v>
      </c>
    </row>
    <row r="103" ht="18" customHeight="1">
      <c r="B103" s="1220" t="n"/>
      <c r="C103" s="57" t="inlineStr">
        <is>
          <t>Total Sales</t>
        </is>
      </c>
      <c r="D103" s="194">
        <f>D102*$D$7</f>
        <v/>
      </c>
      <c r="E103" s="194">
        <f>E102*$D$7</f>
        <v/>
      </c>
      <c r="F103" s="194">
        <f>F102*$D$7</f>
        <v/>
      </c>
      <c r="G103" s="194">
        <f>G102*$D$7</f>
        <v/>
      </c>
      <c r="H103" s="194">
        <f>H102*$D$7</f>
        <v/>
      </c>
      <c r="I103" s="194">
        <f>I102*$D$7</f>
        <v/>
      </c>
      <c r="J103" s="194">
        <f>J102*$D$7</f>
        <v/>
      </c>
      <c r="K103" s="194">
        <f>K102*$D$7</f>
        <v/>
      </c>
      <c r="L103" s="194">
        <f>L102*$D$7</f>
        <v/>
      </c>
      <c r="M103" s="194">
        <f>M102*$D$7</f>
        <v/>
      </c>
      <c r="N103" s="194">
        <f>N102*$D$7</f>
        <v/>
      </c>
      <c r="O103" s="194">
        <f>O102*$D$7</f>
        <v/>
      </c>
      <c r="P103" s="59">
        <f>SUM(D103:O103)</f>
        <v/>
      </c>
      <c r="Q103" s="1175">
        <f>(Q104+Q105)</f>
        <v/>
      </c>
      <c r="R103" s="1221" t="inlineStr">
        <is>
          <t xml:space="preserve"> </t>
        </is>
      </c>
      <c r="T103" s="315" t="n"/>
    </row>
    <row r="104" ht="18" customHeight="1">
      <c r="B104" s="1220" t="n"/>
      <c r="C104" s="62" t="inlineStr">
        <is>
          <t>Total COGS</t>
        </is>
      </c>
      <c r="D104" s="193">
        <f>D102*$E$7</f>
        <v/>
      </c>
      <c r="E104" s="193">
        <f>E102*$E$7</f>
        <v/>
      </c>
      <c r="F104" s="193">
        <f>F102*$E$7</f>
        <v/>
      </c>
      <c r="G104" s="193">
        <f>G102*$E$7</f>
        <v/>
      </c>
      <c r="H104" s="193">
        <f>H102*$E$7</f>
        <v/>
      </c>
      <c r="I104" s="193">
        <f>I102*$E$7</f>
        <v/>
      </c>
      <c r="J104" s="193">
        <f>J102*$E$7</f>
        <v/>
      </c>
      <c r="K104" s="193">
        <f>K102*$E$7</f>
        <v/>
      </c>
      <c r="L104" s="193">
        <f>L102*$E$7</f>
        <v/>
      </c>
      <c r="M104" s="193">
        <f>M102*$E$7</f>
        <v/>
      </c>
      <c r="N104" s="193">
        <f>N102*$E$7</f>
        <v/>
      </c>
      <c r="O104" s="193">
        <f>O102*$E$7</f>
        <v/>
      </c>
      <c r="P104" s="64">
        <f>SUM(D104:O104)</f>
        <v/>
      </c>
      <c r="Q104" s="1178">
        <f>IF(P103=0,0,P104/P103)</f>
        <v/>
      </c>
      <c r="R104" s="1222" t="inlineStr">
        <is>
          <t xml:space="preserve"> </t>
        </is>
      </c>
      <c r="T104" s="315" t="n"/>
    </row>
    <row r="105" ht="18" customHeight="1">
      <c r="B105" s="1220" t="n"/>
      <c r="C105" s="67" t="inlineStr">
        <is>
          <t>Total Margin</t>
        </is>
      </c>
      <c r="D105" s="68">
        <f>D103-D104</f>
        <v/>
      </c>
      <c r="E105" s="68">
        <f>E103-E104</f>
        <v/>
      </c>
      <c r="F105" s="68">
        <f>F103-F104</f>
        <v/>
      </c>
      <c r="G105" s="68">
        <f>G103-G104</f>
        <v/>
      </c>
      <c r="H105" s="68">
        <f>H103-H104</f>
        <v/>
      </c>
      <c r="I105" s="68">
        <f>I103-I104</f>
        <v/>
      </c>
      <c r="J105" s="68">
        <f>J103-J104</f>
        <v/>
      </c>
      <c r="K105" s="68">
        <f>K103-K104</f>
        <v/>
      </c>
      <c r="L105" s="68">
        <f>L103-L104</f>
        <v/>
      </c>
      <c r="M105" s="68">
        <f>M103-M104</f>
        <v/>
      </c>
      <c r="N105" s="68">
        <f>N103-N104</f>
        <v/>
      </c>
      <c r="O105" s="68">
        <f>O103-O104</f>
        <v/>
      </c>
      <c r="P105" s="518">
        <f>SUM(D105:O105)</f>
        <v/>
      </c>
      <c r="Q105" s="1178">
        <f>IF(P103=0,0,P105/P103)</f>
        <v/>
      </c>
      <c r="R105" s="1222" t="inlineStr">
        <is>
          <t xml:space="preserve"> </t>
        </is>
      </c>
      <c r="T105" s="315" t="n"/>
    </row>
    <row r="106" ht="15" customHeight="1">
      <c r="B106" s="1220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1223" t="inlineStr">
        <is>
          <t xml:space="preserve"> </t>
        </is>
      </c>
      <c r="T106" s="315" t="n"/>
    </row>
    <row r="107" ht="15" customHeight="1" thickBot="1">
      <c r="B107" s="1220" t="n"/>
      <c r="C107" s="1224">
        <f>C8</f>
        <v/>
      </c>
      <c r="R107" s="1191" t="n"/>
      <c r="T107" s="315" t="n"/>
    </row>
    <row r="108" ht="19" customHeight="1" thickBot="1">
      <c r="B108" s="1220" t="n"/>
      <c r="C108" s="56" t="inlineStr">
        <is>
          <t>Net New Licences Sold</t>
        </is>
      </c>
      <c r="D108" s="1170">
        <f>D94*$T$108</f>
        <v/>
      </c>
      <c r="E108" s="1170">
        <f>E94*$T$108</f>
        <v/>
      </c>
      <c r="F108" s="1170">
        <f>F94*$T$108</f>
        <v/>
      </c>
      <c r="G108" s="1170">
        <f>G94*$T$108</f>
        <v/>
      </c>
      <c r="H108" s="1170">
        <f>H94*$T$108</f>
        <v/>
      </c>
      <c r="I108" s="1170">
        <f>I94*$T$108</f>
        <v/>
      </c>
      <c r="J108" s="1170">
        <f>J94*$T$108</f>
        <v/>
      </c>
      <c r="K108" s="1170">
        <f>K94*$T$108</f>
        <v/>
      </c>
      <c r="L108" s="1170">
        <f>L94*$T$108</f>
        <v/>
      </c>
      <c r="M108" s="1170">
        <f>M94*$T$108</f>
        <v/>
      </c>
      <c r="N108" s="1170">
        <f>N94*$T$108</f>
        <v/>
      </c>
      <c r="O108" s="1170">
        <f>O94*$T$108</f>
        <v/>
      </c>
      <c r="P108" s="71" t="n"/>
      <c r="Q108" s="72" t="n"/>
      <c r="R108" s="73" t="n"/>
      <c r="T108" s="315" t="n">
        <v>2</v>
      </c>
    </row>
    <row r="109" ht="18" customHeight="1">
      <c r="B109" s="1220" t="n"/>
      <c r="C109" s="57" t="inlineStr">
        <is>
          <t>Total Sales</t>
        </is>
      </c>
      <c r="D109" s="194">
        <f>D108*$D$8</f>
        <v/>
      </c>
      <c r="E109" s="194">
        <f>E108*$D$8</f>
        <v/>
      </c>
      <c r="F109" s="194">
        <f>F108*$D$8</f>
        <v/>
      </c>
      <c r="G109" s="194">
        <f>G108*$D$8</f>
        <v/>
      </c>
      <c r="H109" s="194">
        <f>H108*$D$8</f>
        <v/>
      </c>
      <c r="I109" s="194">
        <f>I108*$D$8</f>
        <v/>
      </c>
      <c r="J109" s="194">
        <f>J108*$D$8</f>
        <v/>
      </c>
      <c r="K109" s="194">
        <f>K108*$D$8</f>
        <v/>
      </c>
      <c r="L109" s="194">
        <f>L108*$D$8</f>
        <v/>
      </c>
      <c r="M109" s="194">
        <f>M108*$D$8</f>
        <v/>
      </c>
      <c r="N109" s="194">
        <f>N108*$D$8</f>
        <v/>
      </c>
      <c r="O109" s="194">
        <f>O108*$D$8</f>
        <v/>
      </c>
      <c r="P109" s="59">
        <f>SUM(D109:O109)</f>
        <v/>
      </c>
      <c r="Q109" s="1175">
        <f>(Q110+Q111)</f>
        <v/>
      </c>
      <c r="R109" s="1221" t="inlineStr">
        <is>
          <t xml:space="preserve"> </t>
        </is>
      </c>
      <c r="T109" s="315" t="n"/>
    </row>
    <row r="110" ht="18" customHeight="1">
      <c r="B110" s="1220" t="n"/>
      <c r="C110" s="62" t="inlineStr">
        <is>
          <t>Total COGS</t>
        </is>
      </c>
      <c r="D110" s="193">
        <f>D108*$E$8</f>
        <v/>
      </c>
      <c r="E110" s="193">
        <f>E108*$E$8</f>
        <v/>
      </c>
      <c r="F110" s="193">
        <f>F108*$E$8</f>
        <v/>
      </c>
      <c r="G110" s="193">
        <f>G108*$E$8</f>
        <v/>
      </c>
      <c r="H110" s="193">
        <f>H108*$E$8</f>
        <v/>
      </c>
      <c r="I110" s="193">
        <f>I108*$E$8</f>
        <v/>
      </c>
      <c r="J110" s="193">
        <f>J108*$E$8</f>
        <v/>
      </c>
      <c r="K110" s="193">
        <f>K108*$E$8</f>
        <v/>
      </c>
      <c r="L110" s="193">
        <f>L108*$E$8</f>
        <v/>
      </c>
      <c r="M110" s="193">
        <f>M108*$E$8</f>
        <v/>
      </c>
      <c r="N110" s="193">
        <f>N108*$E$8</f>
        <v/>
      </c>
      <c r="O110" s="193">
        <f>O108*$E$8</f>
        <v/>
      </c>
      <c r="P110" s="64">
        <f>SUM(D110:O110)</f>
        <v/>
      </c>
      <c r="Q110" s="1178">
        <f>IF(P109=0,0,P110/P109)</f>
        <v/>
      </c>
      <c r="R110" s="1222" t="inlineStr">
        <is>
          <t xml:space="preserve"> </t>
        </is>
      </c>
      <c r="T110" s="315" t="n"/>
    </row>
    <row r="111" ht="18" customHeight="1">
      <c r="B111" s="1220" t="n"/>
      <c r="C111" s="67" t="inlineStr">
        <is>
          <t>Total Margin</t>
        </is>
      </c>
      <c r="D111" s="68">
        <f>D109-D110</f>
        <v/>
      </c>
      <c r="E111" s="68">
        <f>E109-E110</f>
        <v/>
      </c>
      <c r="F111" s="68">
        <f>F109-F110</f>
        <v/>
      </c>
      <c r="G111" s="68">
        <f>G109-G110</f>
        <v/>
      </c>
      <c r="H111" s="68">
        <f>H109-H110</f>
        <v/>
      </c>
      <c r="I111" s="68">
        <f>I109-I110</f>
        <v/>
      </c>
      <c r="J111" s="68">
        <f>J109-J110</f>
        <v/>
      </c>
      <c r="K111" s="68">
        <f>K109-K110</f>
        <v/>
      </c>
      <c r="L111" s="68">
        <f>L109-L110</f>
        <v/>
      </c>
      <c r="M111" s="68">
        <f>M109-M110</f>
        <v/>
      </c>
      <c r="N111" s="68">
        <f>N109-N110</f>
        <v/>
      </c>
      <c r="O111" s="68">
        <f>O109-O110</f>
        <v/>
      </c>
      <c r="P111" s="64">
        <f>SUM(D111:O111)</f>
        <v/>
      </c>
      <c r="Q111" s="1178">
        <f>IF(P109=0,0,P111/P109)</f>
        <v/>
      </c>
      <c r="R111" s="1222" t="inlineStr">
        <is>
          <t xml:space="preserve"> </t>
        </is>
      </c>
      <c r="T111" s="315" t="n"/>
    </row>
    <row r="112" ht="18" customHeight="1">
      <c r="B112" s="1220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517" t="n"/>
      <c r="Q112" s="46" t="n"/>
      <c r="R112" s="1223" t="inlineStr">
        <is>
          <t xml:space="preserve"> </t>
        </is>
      </c>
      <c r="T112" s="315" t="n"/>
    </row>
    <row r="113" ht="19" customHeight="1" thickBot="1">
      <c r="B113" s="1220" t="n"/>
      <c r="C113" s="1224">
        <f>C9</f>
        <v/>
      </c>
      <c r="R113" s="1191" t="n"/>
      <c r="T113" s="315" t="n"/>
    </row>
    <row r="114" ht="15.75" customHeight="1" thickBot="1">
      <c r="B114" s="1220" t="n"/>
      <c r="C114" s="56" t="inlineStr">
        <is>
          <t>Net New Licences Sold</t>
        </is>
      </c>
      <c r="D114" s="1170">
        <f>D94*$T$114</f>
        <v/>
      </c>
      <c r="E114" s="1170">
        <f>E94*$T$114</f>
        <v/>
      </c>
      <c r="F114" s="1170">
        <f>F94*$T$114</f>
        <v/>
      </c>
      <c r="G114" s="1170">
        <f>G94*$T$114</f>
        <v/>
      </c>
      <c r="H114" s="1170">
        <f>H94*$T$114</f>
        <v/>
      </c>
      <c r="I114" s="1170">
        <f>I94*$T$114</f>
        <v/>
      </c>
      <c r="J114" s="1170">
        <f>J94*$T$114</f>
        <v/>
      </c>
      <c r="K114" s="1170">
        <f>K94*$T$114</f>
        <v/>
      </c>
      <c r="L114" s="1170">
        <f>L94*$T$114</f>
        <v/>
      </c>
      <c r="M114" s="1170">
        <f>M94*$T$114</f>
        <v/>
      </c>
      <c r="N114" s="1170">
        <f>N94*$T$114</f>
        <v/>
      </c>
      <c r="O114" s="1170">
        <f>O94*$T$114</f>
        <v/>
      </c>
      <c r="P114" s="71" t="n"/>
      <c r="Q114" s="72" t="n"/>
      <c r="R114" s="73" t="n"/>
      <c r="T114" s="315" t="n">
        <v>1</v>
      </c>
    </row>
    <row r="115" ht="18" customHeight="1">
      <c r="B115" s="1220" t="n"/>
      <c r="C115" s="57" t="inlineStr">
        <is>
          <t>Total Sales</t>
        </is>
      </c>
      <c r="D115" s="194">
        <f>D114*$D$9</f>
        <v/>
      </c>
      <c r="E115" s="194">
        <f>E114*$D$9</f>
        <v/>
      </c>
      <c r="F115" s="194">
        <f>F114*$D$9</f>
        <v/>
      </c>
      <c r="G115" s="194">
        <f>G114*$D$9</f>
        <v/>
      </c>
      <c r="H115" s="194">
        <f>H114*$D$9</f>
        <v/>
      </c>
      <c r="I115" s="194">
        <f>I114*$D$9</f>
        <v/>
      </c>
      <c r="J115" s="194">
        <f>J114*$D$9</f>
        <v/>
      </c>
      <c r="K115" s="194">
        <f>K114*$D$9</f>
        <v/>
      </c>
      <c r="L115" s="194">
        <f>L114*$D$9</f>
        <v/>
      </c>
      <c r="M115" s="194">
        <f>M114*$D$9</f>
        <v/>
      </c>
      <c r="N115" s="194">
        <f>N114*$D$9</f>
        <v/>
      </c>
      <c r="O115" s="194">
        <f>O114*$D$9</f>
        <v/>
      </c>
      <c r="P115" s="59">
        <f>SUM(D115:O115)</f>
        <v/>
      </c>
      <c r="Q115" s="1175">
        <f>(Q116+Q117)</f>
        <v/>
      </c>
      <c r="R115" s="1221" t="inlineStr">
        <is>
          <t xml:space="preserve"> </t>
        </is>
      </c>
      <c r="T115" s="315" t="n"/>
    </row>
    <row r="116" ht="19" customHeight="1">
      <c r="B116" s="1220" t="n"/>
      <c r="C116" s="62" t="inlineStr">
        <is>
          <t>Total COGS</t>
        </is>
      </c>
      <c r="D116" s="193">
        <f>D114*$E$9</f>
        <v/>
      </c>
      <c r="E116" s="193">
        <f>E114*$E$9</f>
        <v/>
      </c>
      <c r="F116" s="193">
        <f>F114*$E$9</f>
        <v/>
      </c>
      <c r="G116" s="193">
        <f>G114*$E$9</f>
        <v/>
      </c>
      <c r="H116" s="193">
        <f>H114*$E$9</f>
        <v/>
      </c>
      <c r="I116" s="193">
        <f>I114*$E$9</f>
        <v/>
      </c>
      <c r="J116" s="193">
        <f>J114*$E$9</f>
        <v/>
      </c>
      <c r="K116" s="193">
        <f>K114*$E$9</f>
        <v/>
      </c>
      <c r="L116" s="193">
        <f>L114*$E$9</f>
        <v/>
      </c>
      <c r="M116" s="193">
        <f>M114*$E$9</f>
        <v/>
      </c>
      <c r="N116" s="193">
        <f>N114*$E$9</f>
        <v/>
      </c>
      <c r="O116" s="193">
        <f>O114*$E$9</f>
        <v/>
      </c>
      <c r="P116" s="64">
        <f>SUM(D116:O116)</f>
        <v/>
      </c>
      <c r="Q116" s="1178">
        <f>IF(P115=0,0,P116/P115)</f>
        <v/>
      </c>
      <c r="R116" s="1222" t="inlineStr">
        <is>
          <t xml:space="preserve"> </t>
        </is>
      </c>
      <c r="T116" s="315" t="n"/>
    </row>
    <row r="117" ht="18" customHeight="1">
      <c r="B117" s="1220" t="n"/>
      <c r="C117" s="67" t="inlineStr">
        <is>
          <t>Total Margin</t>
        </is>
      </c>
      <c r="D117" s="68">
        <f>D115-D116</f>
        <v/>
      </c>
      <c r="E117" s="68">
        <f>E115-E116</f>
        <v/>
      </c>
      <c r="F117" s="68">
        <f>F115-F116</f>
        <v/>
      </c>
      <c r="G117" s="68">
        <f>G115-G116</f>
        <v/>
      </c>
      <c r="H117" s="68">
        <f>H115-H116</f>
        <v/>
      </c>
      <c r="I117" s="68">
        <f>I115-I116</f>
        <v/>
      </c>
      <c r="J117" s="68">
        <f>J115-J116</f>
        <v/>
      </c>
      <c r="K117" s="68">
        <f>K115-K116</f>
        <v/>
      </c>
      <c r="L117" s="68">
        <f>L115-L116</f>
        <v/>
      </c>
      <c r="M117" s="68">
        <f>M115-M116</f>
        <v/>
      </c>
      <c r="N117" s="68">
        <f>N115-N116</f>
        <v/>
      </c>
      <c r="O117" s="68">
        <f>O115-O116</f>
        <v/>
      </c>
      <c r="P117" s="518">
        <f>SUM(D117:O117)</f>
        <v/>
      </c>
      <c r="Q117" s="1178">
        <f>IF(P115=0,0,P117/P115)</f>
        <v/>
      </c>
      <c r="R117" s="1222" t="inlineStr">
        <is>
          <t xml:space="preserve"> </t>
        </is>
      </c>
      <c r="T117" s="315" t="n"/>
    </row>
    <row r="118" ht="18" customHeight="1">
      <c r="B118" s="1220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1223" t="inlineStr">
        <is>
          <t xml:space="preserve"> </t>
        </is>
      </c>
    </row>
    <row r="119" ht="16" customHeight="1" thickBot="1"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</row>
    <row r="120" ht="18" customHeight="1">
      <c r="B120" s="1225" t="inlineStr">
        <is>
          <t>Total Distribution</t>
        </is>
      </c>
      <c r="C120" s="1193" t="inlineStr">
        <is>
          <t>Total Distribution / Reseller</t>
        </is>
      </c>
      <c r="D120" s="1145" t="n"/>
      <c r="E120" s="1145" t="n"/>
      <c r="F120" s="1145" t="n"/>
      <c r="G120" s="1145" t="n"/>
      <c r="H120" s="1145" t="n"/>
      <c r="I120" s="1145" t="n"/>
      <c r="J120" s="1145" t="n"/>
      <c r="K120" s="1145" t="n"/>
      <c r="L120" s="1145" t="n"/>
      <c r="M120" s="1145" t="n"/>
      <c r="N120" s="1145" t="n"/>
      <c r="O120" s="1145" t="n"/>
      <c r="P120" s="1145" t="n"/>
      <c r="Q120" s="1145" t="n"/>
      <c r="R120" s="705" t="n"/>
    </row>
    <row r="121" ht="18" customHeight="1">
      <c r="B121" s="1180" t="n"/>
      <c r="C121" s="295" t="n"/>
      <c r="D121" s="183" t="n"/>
      <c r="E121" s="183" t="n"/>
      <c r="F121" s="183" t="n"/>
      <c r="G121" s="183" t="n"/>
      <c r="H121" s="183" t="n"/>
      <c r="I121" s="183" t="n"/>
      <c r="J121" s="183" t="n"/>
      <c r="K121" s="183" t="n"/>
      <c r="L121" s="183" t="n"/>
      <c r="M121" s="183" t="n"/>
      <c r="N121" s="183" t="n"/>
      <c r="O121" s="199" t="n"/>
      <c r="P121" s="519" t="n"/>
      <c r="Q121" s="520" t="n"/>
      <c r="R121" s="296" t="n"/>
    </row>
    <row r="122" ht="18" customHeight="1">
      <c r="B122" s="1180" t="n"/>
      <c r="C122" s="297" t="inlineStr">
        <is>
          <t>Total Sales</t>
        </is>
      </c>
      <c r="D122" s="194">
        <f>D35+D47+D59+D72</f>
        <v/>
      </c>
      <c r="E122" s="194">
        <f>E35+E47+E59+E72</f>
        <v/>
      </c>
      <c r="F122" s="194">
        <f>F35+F47+F59+F72</f>
        <v/>
      </c>
      <c r="G122" s="194">
        <f>G35+G47+G59+G72</f>
        <v/>
      </c>
      <c r="H122" s="194">
        <f>H35+H47+H59+H72</f>
        <v/>
      </c>
      <c r="I122" s="194">
        <f>I35+I47+I59+I72</f>
        <v/>
      </c>
      <c r="J122" s="194">
        <f>J35+J47+J59+J72</f>
        <v/>
      </c>
      <c r="K122" s="194">
        <f>K35+K47+K59+K72</f>
        <v/>
      </c>
      <c r="L122" s="194">
        <f>L35+L47+L59+L72</f>
        <v/>
      </c>
      <c r="M122" s="194">
        <f>M35+M47+M59+M72</f>
        <v/>
      </c>
      <c r="N122" s="194">
        <f>N35+N47+N59+N72</f>
        <v/>
      </c>
      <c r="O122" s="217">
        <f>O35+O47+O59+O72</f>
        <v/>
      </c>
      <c r="P122" s="59">
        <f>SUM(D122:O122)</f>
        <v/>
      </c>
      <c r="Q122" s="1175">
        <f>(Q123+Q124)</f>
        <v/>
      </c>
      <c r="R122" s="1176" t="inlineStr">
        <is>
          <t xml:space="preserve"> </t>
        </is>
      </c>
    </row>
    <row r="123" ht="18" customHeight="1">
      <c r="B123" s="1180" t="n"/>
      <c r="C123" s="299" t="inlineStr">
        <is>
          <t>Total COGS</t>
        </is>
      </c>
      <c r="D123" s="108">
        <f>D36+D42+D48+D73</f>
        <v/>
      </c>
      <c r="E123" s="108">
        <f>E36+E42+E48+E73</f>
        <v/>
      </c>
      <c r="F123" s="108">
        <f>F36+F42+F48+F73</f>
        <v/>
      </c>
      <c r="G123" s="108">
        <f>G36+G42+G48+G73</f>
        <v/>
      </c>
      <c r="H123" s="108">
        <f>H36+H42+H48+H73</f>
        <v/>
      </c>
      <c r="I123" s="108">
        <f>I36+I42+I48+I73</f>
        <v/>
      </c>
      <c r="J123" s="108">
        <f>J36+J42+J48+J73</f>
        <v/>
      </c>
      <c r="K123" s="108">
        <f>K36+K42+K48+K73</f>
        <v/>
      </c>
      <c r="L123" s="108">
        <f>L36+L42+L48+L73</f>
        <v/>
      </c>
      <c r="M123" s="108">
        <f>M36+M42+M48+M73</f>
        <v/>
      </c>
      <c r="N123" s="108">
        <f>N36+N42+N48+N73</f>
        <v/>
      </c>
      <c r="O123" s="221">
        <f>O36+O42+O48+O73</f>
        <v/>
      </c>
      <c r="P123" s="64">
        <f>SUM(D123:O123)</f>
        <v/>
      </c>
      <c r="Q123" s="1178">
        <f>IF(P122=0,0,P123/P122)</f>
        <v/>
      </c>
      <c r="R123" s="1179" t="inlineStr">
        <is>
          <t xml:space="preserve"> </t>
        </is>
      </c>
    </row>
    <row r="124" ht="19" customHeight="1" thickBot="1">
      <c r="B124" s="712" t="n"/>
      <c r="C124" s="301" t="inlineStr">
        <is>
          <t>Total Margin</t>
        </is>
      </c>
      <c r="D124" s="308">
        <f>D122-D123</f>
        <v/>
      </c>
      <c r="E124" s="308">
        <f>E122-E123</f>
        <v/>
      </c>
      <c r="F124" s="308">
        <f>F122-F123</f>
        <v/>
      </c>
      <c r="G124" s="308">
        <f>G122-G123</f>
        <v/>
      </c>
      <c r="H124" s="308">
        <f>H122-H123</f>
        <v/>
      </c>
      <c r="I124" s="308">
        <f>I122-I123</f>
        <v/>
      </c>
      <c r="J124" s="308">
        <f>J122-J123</f>
        <v/>
      </c>
      <c r="K124" s="308">
        <f>K122-K123</f>
        <v/>
      </c>
      <c r="L124" s="308">
        <f>L122-L123</f>
        <v/>
      </c>
      <c r="M124" s="308">
        <f>M122-M123</f>
        <v/>
      </c>
      <c r="N124" s="308">
        <f>N122-N123</f>
        <v/>
      </c>
      <c r="O124" s="309">
        <f>O122-O123</f>
        <v/>
      </c>
      <c r="P124" s="303">
        <f>SUM(D124:O124)</f>
        <v/>
      </c>
      <c r="Q124" s="1181">
        <f>IF(P122=0,0,P124/P122)</f>
        <v/>
      </c>
      <c r="R124" s="1182" t="inlineStr">
        <is>
          <t xml:space="preserve"> </t>
        </is>
      </c>
    </row>
    <row r="125" ht="16" customHeight="1" thickBot="1">
      <c r="B125" s="252" t="inlineStr">
        <is>
          <t xml:space="preserve"> </t>
        </is>
      </c>
      <c r="C125" s="252" t="n"/>
      <c r="D125" s="252" t="n"/>
      <c r="E125" s="252" t="n"/>
      <c r="F125" s="252" t="n"/>
      <c r="G125" s="252" t="n"/>
      <c r="H125" s="252" t="n"/>
      <c r="I125" s="252" t="n"/>
      <c r="J125" s="252" t="n"/>
      <c r="K125" s="252" t="n"/>
      <c r="L125" s="252" t="n"/>
      <c r="M125" s="252" t="n"/>
      <c r="N125" s="252" t="n"/>
      <c r="O125" s="252" t="n"/>
      <c r="P125" s="252" t="n"/>
      <c r="Q125" s="252" t="n"/>
      <c r="R125" s="252" t="n"/>
    </row>
    <row r="126" ht="18" customHeight="1">
      <c r="B126" s="1226" t="inlineStr">
        <is>
          <t>Total Hospitality</t>
        </is>
      </c>
      <c r="C126" s="1193" t="inlineStr">
        <is>
          <t>Total Hospitality</t>
        </is>
      </c>
      <c r="D126" s="1145" t="n"/>
      <c r="E126" s="1145" t="n"/>
      <c r="F126" s="1145" t="n"/>
      <c r="G126" s="1145" t="n"/>
      <c r="H126" s="1145" t="n"/>
      <c r="I126" s="1145" t="n"/>
      <c r="J126" s="1145" t="n"/>
      <c r="K126" s="1145" t="n"/>
      <c r="L126" s="1145" t="n"/>
      <c r="M126" s="1145" t="n"/>
      <c r="N126" s="1145" t="n"/>
      <c r="O126" s="1145" t="n"/>
      <c r="P126" s="1145" t="n"/>
      <c r="Q126" s="1145" t="n"/>
      <c r="R126" s="705" t="n"/>
    </row>
    <row r="127" ht="18" customHeight="1">
      <c r="B127" s="1180" t="n"/>
      <c r="C127" s="1017" t="n"/>
      <c r="D127" s="997" t="n"/>
      <c r="E127" s="997" t="n"/>
      <c r="F127" s="997" t="n"/>
      <c r="G127" s="997" t="n"/>
      <c r="H127" s="997" t="n"/>
      <c r="I127" s="997" t="n"/>
      <c r="J127" s="997" t="n"/>
      <c r="K127" s="997" t="n"/>
      <c r="L127" s="997" t="n"/>
      <c r="M127" s="997" t="n"/>
      <c r="N127" s="997" t="n"/>
      <c r="O127" s="222" t="n"/>
      <c r="P127" s="519" t="n"/>
      <c r="Q127" s="520" t="n"/>
      <c r="R127" s="296" t="n"/>
    </row>
    <row r="128" ht="18" customHeight="1">
      <c r="B128" s="1180" t="n"/>
      <c r="C128" s="297" t="inlineStr">
        <is>
          <t>Total Sales</t>
        </is>
      </c>
      <c r="D128" s="194">
        <f>D29+D35</f>
        <v/>
      </c>
      <c r="E128" s="194">
        <f>E29+E35</f>
        <v/>
      </c>
      <c r="F128" s="194">
        <f>F29+F35</f>
        <v/>
      </c>
      <c r="G128" s="194">
        <f>G29+G35</f>
        <v/>
      </c>
      <c r="H128" s="194">
        <f>H29+H35</f>
        <v/>
      </c>
      <c r="I128" s="194">
        <f>I29+I35</f>
        <v/>
      </c>
      <c r="J128" s="194">
        <f>J29+J35</f>
        <v/>
      </c>
      <c r="K128" s="194">
        <f>K29+K35</f>
        <v/>
      </c>
      <c r="L128" s="194">
        <f>L29+L35</f>
        <v/>
      </c>
      <c r="M128" s="194">
        <f>M29+M35</f>
        <v/>
      </c>
      <c r="N128" s="194">
        <f>N29+N35</f>
        <v/>
      </c>
      <c r="O128" s="217">
        <f>O29+O35</f>
        <v/>
      </c>
      <c r="P128" s="59">
        <f>SUM(D128:O128)</f>
        <v/>
      </c>
      <c r="Q128" s="1175">
        <f>(Q129+Q130)</f>
        <v/>
      </c>
      <c r="R128" s="1176" t="inlineStr">
        <is>
          <t xml:space="preserve"> </t>
        </is>
      </c>
    </row>
    <row r="129" ht="18" customHeight="1">
      <c r="B129" s="1180" t="n"/>
      <c r="C129" s="299" t="inlineStr">
        <is>
          <t>Total COGS</t>
        </is>
      </c>
      <c r="D129" s="193">
        <f>D30+D36</f>
        <v/>
      </c>
      <c r="E129" s="193">
        <f>E30+E36</f>
        <v/>
      </c>
      <c r="F129" s="193">
        <f>F30+F36</f>
        <v/>
      </c>
      <c r="G129" s="193">
        <f>G30+G36</f>
        <v/>
      </c>
      <c r="H129" s="193">
        <f>H30+H36</f>
        <v/>
      </c>
      <c r="I129" s="193">
        <f>I30+I36</f>
        <v/>
      </c>
      <c r="J129" s="193">
        <f>J30+J36</f>
        <v/>
      </c>
      <c r="K129" s="193">
        <f>K30+K36</f>
        <v/>
      </c>
      <c r="L129" s="193">
        <f>L30+L36</f>
        <v/>
      </c>
      <c r="M129" s="193">
        <f>M30+M36</f>
        <v/>
      </c>
      <c r="N129" s="193">
        <f>N30+N36</f>
        <v/>
      </c>
      <c r="O129" s="218">
        <f>O30+O36</f>
        <v/>
      </c>
      <c r="P129" s="64">
        <f>SUM(D129:O129)</f>
        <v/>
      </c>
      <c r="Q129" s="1178">
        <f>IF(P128=0,0,P129/P128)</f>
        <v/>
      </c>
      <c r="R129" s="1179" t="inlineStr">
        <is>
          <t xml:space="preserve"> </t>
        </is>
      </c>
    </row>
    <row r="130" ht="19" customHeight="1" thickBot="1">
      <c r="B130" s="712" t="n"/>
      <c r="C130" s="301" t="inlineStr">
        <is>
          <t>Total Margin</t>
        </is>
      </c>
      <c r="D130" s="308">
        <f>D128-D129</f>
        <v/>
      </c>
      <c r="E130" s="308">
        <f>E128-E129</f>
        <v/>
      </c>
      <c r="F130" s="308">
        <f>F128-F129</f>
        <v/>
      </c>
      <c r="G130" s="308">
        <f>G128-G129</f>
        <v/>
      </c>
      <c r="H130" s="308">
        <f>H128-H129</f>
        <v/>
      </c>
      <c r="I130" s="308">
        <f>I128-I129</f>
        <v/>
      </c>
      <c r="J130" s="308">
        <f>J128-J129</f>
        <v/>
      </c>
      <c r="K130" s="308">
        <f>K128-K129</f>
        <v/>
      </c>
      <c r="L130" s="308">
        <f>L128-L129</f>
        <v/>
      </c>
      <c r="M130" s="308">
        <f>M128-M129</f>
        <v/>
      </c>
      <c r="N130" s="308">
        <f>N128-N129</f>
        <v/>
      </c>
      <c r="O130" s="309">
        <f>O128-O129</f>
        <v/>
      </c>
      <c r="P130" s="303">
        <f>SUM(D130:O130)</f>
        <v/>
      </c>
      <c r="Q130" s="1181">
        <f>IF(P128=0,0,P130/P128)</f>
        <v/>
      </c>
      <c r="R130" s="1182" t="inlineStr">
        <is>
          <t xml:space="preserve"> </t>
        </is>
      </c>
    </row>
    <row r="131" ht="19" customHeight="1" thickBot="1">
      <c r="B131" s="128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1227" t="inlineStr">
        <is>
          <t xml:space="preserve"> </t>
        </is>
      </c>
    </row>
    <row r="132" ht="18" customHeight="1">
      <c r="B132" s="1226" t="inlineStr">
        <is>
          <t>Total Real Estate</t>
        </is>
      </c>
      <c r="C132" s="1193" t="inlineStr">
        <is>
          <t>Total Real Estate Development</t>
        </is>
      </c>
      <c r="D132" s="1145" t="n"/>
      <c r="E132" s="1145" t="n"/>
      <c r="F132" s="1145" t="n"/>
      <c r="G132" s="1145" t="n"/>
      <c r="H132" s="1145" t="n"/>
      <c r="I132" s="1145" t="n"/>
      <c r="J132" s="1145" t="n"/>
      <c r="K132" s="1145" t="n"/>
      <c r="L132" s="1145" t="n"/>
      <c r="M132" s="1145" t="n"/>
      <c r="N132" s="1145" t="n"/>
      <c r="O132" s="1145" t="n"/>
      <c r="P132" s="1145" t="n"/>
      <c r="Q132" s="1145" t="n"/>
      <c r="R132" s="705" t="n"/>
    </row>
    <row r="133" ht="18" customHeight="1">
      <c r="B133" s="1180" t="n"/>
      <c r="C133" s="310" t="n"/>
      <c r="D133" s="183" t="n"/>
      <c r="E133" s="183" t="n"/>
      <c r="F133" s="183" t="n"/>
      <c r="G133" s="183" t="n"/>
      <c r="H133" s="183" t="n"/>
      <c r="I133" s="183" t="n"/>
      <c r="J133" s="183" t="n"/>
      <c r="K133" s="183" t="n"/>
      <c r="L133" s="183" t="n"/>
      <c r="M133" s="183" t="n"/>
      <c r="N133" s="183" t="n"/>
      <c r="O133" s="199" t="n"/>
      <c r="P133" s="519" t="n"/>
      <c r="Q133" s="520" t="n"/>
      <c r="R133" s="296" t="n"/>
    </row>
    <row r="134" ht="18" customHeight="1">
      <c r="B134" s="1180" t="n"/>
      <c r="C134" s="299" t="inlineStr">
        <is>
          <t>Total Sales</t>
        </is>
      </c>
      <c r="D134" s="195">
        <f>D41+D47</f>
        <v/>
      </c>
      <c r="E134" s="194">
        <f>E41+E47</f>
        <v/>
      </c>
      <c r="F134" s="194">
        <f>F41+F47</f>
        <v/>
      </c>
      <c r="G134" s="194">
        <f>G41+G47</f>
        <v/>
      </c>
      <c r="H134" s="194">
        <f>H41+H47</f>
        <v/>
      </c>
      <c r="I134" s="194">
        <f>I41+I47</f>
        <v/>
      </c>
      <c r="J134" s="194">
        <f>J41+J47</f>
        <v/>
      </c>
      <c r="K134" s="194">
        <f>K41+K47</f>
        <v/>
      </c>
      <c r="L134" s="194">
        <f>L41+L47</f>
        <v/>
      </c>
      <c r="M134" s="194">
        <f>M41+M47</f>
        <v/>
      </c>
      <c r="N134" s="194">
        <f>N41+N47</f>
        <v/>
      </c>
      <c r="O134" s="217">
        <f>O41+O47</f>
        <v/>
      </c>
      <c r="P134" s="59">
        <f>SUM(D134:O134)</f>
        <v/>
      </c>
      <c r="Q134" s="1175">
        <f>(Q135+Q136)</f>
        <v/>
      </c>
      <c r="R134" s="1176" t="inlineStr">
        <is>
          <t xml:space="preserve"> </t>
        </is>
      </c>
    </row>
    <row r="135" ht="18" customHeight="1">
      <c r="B135" s="1180" t="n"/>
      <c r="C135" s="299" t="inlineStr">
        <is>
          <t>Total COGS</t>
        </is>
      </c>
      <c r="D135" s="196">
        <f>D42+D48</f>
        <v/>
      </c>
      <c r="E135" s="193">
        <f>E42+E48</f>
        <v/>
      </c>
      <c r="F135" s="193">
        <f>F42+F48</f>
        <v/>
      </c>
      <c r="G135" s="193">
        <f>G42+G48</f>
        <v/>
      </c>
      <c r="H135" s="193">
        <f>H42+H48</f>
        <v/>
      </c>
      <c r="I135" s="193">
        <f>I42+I48</f>
        <v/>
      </c>
      <c r="J135" s="193">
        <f>J42+J48</f>
        <v/>
      </c>
      <c r="K135" s="193">
        <f>K42+K48</f>
        <v/>
      </c>
      <c r="L135" s="193">
        <f>L42+L48</f>
        <v/>
      </c>
      <c r="M135" s="193">
        <f>M42+M48</f>
        <v/>
      </c>
      <c r="N135" s="193">
        <f>N42+N48</f>
        <v/>
      </c>
      <c r="O135" s="218">
        <f>O42+O48</f>
        <v/>
      </c>
      <c r="P135" s="64">
        <f>SUM(D135:O135)</f>
        <v/>
      </c>
      <c r="Q135" s="1178">
        <f>IF(P134=0,0,P135/P134)</f>
        <v/>
      </c>
      <c r="R135" s="1179" t="inlineStr">
        <is>
          <t xml:space="preserve"> </t>
        </is>
      </c>
    </row>
    <row r="136" ht="19" customHeight="1" thickBot="1">
      <c r="B136" s="712" t="n"/>
      <c r="C136" s="301" t="inlineStr">
        <is>
          <t>Total Margin</t>
        </is>
      </c>
      <c r="D136" s="311">
        <f>D134-D135</f>
        <v/>
      </c>
      <c r="E136" s="308">
        <f>E134-E135</f>
        <v/>
      </c>
      <c r="F136" s="308">
        <f>F134-F135</f>
        <v/>
      </c>
      <c r="G136" s="308">
        <f>G134-G135</f>
        <v/>
      </c>
      <c r="H136" s="308">
        <f>H134-H135</f>
        <v/>
      </c>
      <c r="I136" s="308">
        <f>I134-I135</f>
        <v/>
      </c>
      <c r="J136" s="308">
        <f>J134-J135</f>
        <v/>
      </c>
      <c r="K136" s="308">
        <f>K134-K135</f>
        <v/>
      </c>
      <c r="L136" s="308">
        <f>L134-L135</f>
        <v/>
      </c>
      <c r="M136" s="308">
        <f>M134-M135</f>
        <v/>
      </c>
      <c r="N136" s="308">
        <f>N134-N135</f>
        <v/>
      </c>
      <c r="O136" s="309">
        <f>O134-O135</f>
        <v/>
      </c>
      <c r="P136" s="303">
        <f>SUM(D136:O136)</f>
        <v/>
      </c>
      <c r="Q136" s="1181">
        <f>IF(P134=0,0,P136/P134)</f>
        <v/>
      </c>
      <c r="R136" s="1182" t="inlineStr">
        <is>
          <t xml:space="preserve"> </t>
        </is>
      </c>
    </row>
    <row r="137" ht="16" customHeight="1" thickBot="1">
      <c r="B137" s="128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</row>
    <row r="138" ht="18" customHeight="1">
      <c r="B138" s="1226" t="inlineStr">
        <is>
          <t>Total Pharma</t>
        </is>
      </c>
      <c r="C138" s="1193" t="inlineStr">
        <is>
          <t>Total Pharma</t>
        </is>
      </c>
      <c r="D138" s="1145" t="n"/>
      <c r="E138" s="1145" t="n"/>
      <c r="F138" s="1145" t="n"/>
      <c r="G138" s="1145" t="n"/>
      <c r="H138" s="1145" t="n"/>
      <c r="I138" s="1145" t="n"/>
      <c r="J138" s="1145" t="n"/>
      <c r="K138" s="1145" t="n"/>
      <c r="L138" s="1145" t="n"/>
      <c r="M138" s="1145" t="n"/>
      <c r="N138" s="1145" t="n"/>
      <c r="O138" s="1145" t="n"/>
      <c r="P138" s="1145" t="n"/>
      <c r="Q138" s="1145" t="n"/>
      <c r="R138" s="705" t="n"/>
    </row>
    <row r="139" ht="18" customHeight="1">
      <c r="B139" s="1180" t="n"/>
      <c r="C139" s="295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535" t="n"/>
      <c r="P139" s="534" t="n"/>
      <c r="Q139" s="520" t="n"/>
      <c r="R139" s="296" t="n"/>
    </row>
    <row r="140" ht="18" customHeight="1">
      <c r="B140" s="1180" t="n"/>
      <c r="C140" s="297" t="inlineStr">
        <is>
          <t>Total Sales</t>
        </is>
      </c>
      <c r="D140" s="194">
        <f>D53+D59</f>
        <v/>
      </c>
      <c r="E140" s="194">
        <f>E53+E59</f>
        <v/>
      </c>
      <c r="F140" s="194">
        <f>F53+F59</f>
        <v/>
      </c>
      <c r="G140" s="194">
        <f>G53+G59</f>
        <v/>
      </c>
      <c r="H140" s="194">
        <f>H53+H59</f>
        <v/>
      </c>
      <c r="I140" s="194">
        <f>I53+I59</f>
        <v/>
      </c>
      <c r="J140" s="194">
        <f>J53+J59</f>
        <v/>
      </c>
      <c r="K140" s="194">
        <f>K53+K59</f>
        <v/>
      </c>
      <c r="L140" s="194">
        <f>L53+L59</f>
        <v/>
      </c>
      <c r="M140" s="194">
        <f>M53+M59</f>
        <v/>
      </c>
      <c r="N140" s="194">
        <f>N53+N59</f>
        <v/>
      </c>
      <c r="O140" s="539">
        <f>O53+O59</f>
        <v/>
      </c>
      <c r="P140" s="197">
        <f>SUM(D140:O140)</f>
        <v/>
      </c>
      <c r="Q140" s="1175">
        <f>(Q141+Q142)</f>
        <v/>
      </c>
      <c r="R140" s="1176" t="inlineStr">
        <is>
          <t xml:space="preserve"> </t>
        </is>
      </c>
    </row>
    <row r="141" ht="18" customHeight="1">
      <c r="B141" s="1180" t="n"/>
      <c r="C141" s="299" t="inlineStr">
        <is>
          <t>Total COGS</t>
        </is>
      </c>
      <c r="D141" s="193">
        <f>D54+D60</f>
        <v/>
      </c>
      <c r="E141" s="193">
        <f>E54+E60</f>
        <v/>
      </c>
      <c r="F141" s="193">
        <f>F54+F60</f>
        <v/>
      </c>
      <c r="G141" s="193">
        <f>G54+G60</f>
        <v/>
      </c>
      <c r="H141" s="193">
        <f>H54+H60</f>
        <v/>
      </c>
      <c r="I141" s="193">
        <f>I54+I60</f>
        <v/>
      </c>
      <c r="J141" s="193">
        <f>J54+J60</f>
        <v/>
      </c>
      <c r="K141" s="193">
        <f>K54+K60</f>
        <v/>
      </c>
      <c r="L141" s="193">
        <f>L54+L60</f>
        <v/>
      </c>
      <c r="M141" s="193">
        <f>M54+M60</f>
        <v/>
      </c>
      <c r="N141" s="193">
        <f>N54+N60</f>
        <v/>
      </c>
      <c r="O141" s="540">
        <f>O54+O60</f>
        <v/>
      </c>
      <c r="P141" s="198">
        <f>SUM(D141:O141)</f>
        <v/>
      </c>
      <c r="Q141" s="1178">
        <f>IF(P140=0,0,P141/P140)</f>
        <v/>
      </c>
      <c r="R141" s="1179" t="inlineStr">
        <is>
          <t xml:space="preserve"> </t>
        </is>
      </c>
    </row>
    <row r="142" ht="19" customHeight="1" thickBot="1">
      <c r="B142" s="712" t="n"/>
      <c r="C142" s="301" t="inlineStr">
        <is>
          <t>Total Margin</t>
        </is>
      </c>
      <c r="D142" s="308">
        <f>D140-D141</f>
        <v/>
      </c>
      <c r="E142" s="308">
        <f>E140-E141</f>
        <v/>
      </c>
      <c r="F142" s="308">
        <f>F140-F141</f>
        <v/>
      </c>
      <c r="G142" s="308">
        <f>G140-G141</f>
        <v/>
      </c>
      <c r="H142" s="308">
        <f>H140-H141</f>
        <v/>
      </c>
      <c r="I142" s="308">
        <f>I140-I141</f>
        <v/>
      </c>
      <c r="J142" s="308">
        <f>J140-J141</f>
        <v/>
      </c>
      <c r="K142" s="308">
        <f>K140-K141</f>
        <v/>
      </c>
      <c r="L142" s="308">
        <f>L140-L141</f>
        <v/>
      </c>
      <c r="M142" s="308">
        <f>M140-M141</f>
        <v/>
      </c>
      <c r="N142" s="308">
        <f>N140-N141</f>
        <v/>
      </c>
      <c r="O142" s="541">
        <f>O140-O141</f>
        <v/>
      </c>
      <c r="P142" s="348">
        <f>SUM(D142:O142)</f>
        <v/>
      </c>
      <c r="Q142" s="1181">
        <f>IF(P140=0,0,P142/P140)</f>
        <v/>
      </c>
      <c r="R142" s="1182" t="inlineStr">
        <is>
          <t xml:space="preserve"> </t>
        </is>
      </c>
    </row>
    <row r="143" ht="16" customHeight="1" thickBot="1">
      <c r="B143" s="202" t="n"/>
      <c r="C143" s="209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215" t="n"/>
      <c r="P143" s="46" t="n"/>
      <c r="Q143" s="46" t="n"/>
      <c r="R143" s="46" t="n"/>
    </row>
    <row r="144" ht="18" customHeight="1">
      <c r="B144" s="1226" t="inlineStr">
        <is>
          <t>Total Start UP</t>
        </is>
      </c>
      <c r="C144" s="1193" t="inlineStr">
        <is>
          <t>Total Start UP</t>
        </is>
      </c>
      <c r="D144" s="1145" t="n"/>
      <c r="E144" s="1145" t="n"/>
      <c r="F144" s="1145" t="n"/>
      <c r="G144" s="1145" t="n"/>
      <c r="H144" s="1145" t="n"/>
      <c r="I144" s="1145" t="n"/>
      <c r="J144" s="1145" t="n"/>
      <c r="K144" s="1145" t="n"/>
      <c r="L144" s="1145" t="n"/>
      <c r="M144" s="1145" t="n"/>
      <c r="N144" s="1145" t="n"/>
      <c r="O144" s="1145" t="n"/>
      <c r="P144" s="1145" t="n"/>
      <c r="Q144" s="1145" t="n"/>
      <c r="R144" s="705" t="n"/>
    </row>
    <row r="145" ht="18" customHeight="1">
      <c r="B145" s="1180" t="n"/>
      <c r="C145" s="306" t="n"/>
      <c r="D145" s="183" t="n"/>
      <c r="E145" s="183" t="n"/>
      <c r="F145" s="183" t="n"/>
      <c r="G145" s="183" t="n"/>
      <c r="H145" s="183" t="n"/>
      <c r="I145" s="183" t="n"/>
      <c r="J145" s="183" t="n"/>
      <c r="K145" s="183" t="n"/>
      <c r="L145" s="183" t="n"/>
      <c r="M145" s="183" t="n"/>
      <c r="N145" s="183" t="n"/>
      <c r="O145" s="535" t="n"/>
      <c r="P145" s="534" t="n"/>
      <c r="Q145" s="520" t="n"/>
      <c r="R145" s="296" t="n"/>
    </row>
    <row r="146" ht="18" customHeight="1">
      <c r="B146" s="1180" t="n"/>
      <c r="C146" s="297" t="inlineStr">
        <is>
          <t>Total Sales</t>
        </is>
      </c>
      <c r="D146" s="194">
        <f>D66+D72</f>
        <v/>
      </c>
      <c r="E146" s="194">
        <f>E66+E72</f>
        <v/>
      </c>
      <c r="F146" s="194">
        <f>F66+F72</f>
        <v/>
      </c>
      <c r="G146" s="194">
        <f>G66+G72</f>
        <v/>
      </c>
      <c r="H146" s="194">
        <f>H66+H72</f>
        <v/>
      </c>
      <c r="I146" s="194">
        <f>I66+I72</f>
        <v/>
      </c>
      <c r="J146" s="194">
        <f>J66+J72</f>
        <v/>
      </c>
      <c r="K146" s="194">
        <f>K66+K72</f>
        <v/>
      </c>
      <c r="L146" s="194">
        <f>L66+L72</f>
        <v/>
      </c>
      <c r="M146" s="194">
        <f>M66+M72</f>
        <v/>
      </c>
      <c r="N146" s="194">
        <f>N66+N72</f>
        <v/>
      </c>
      <c r="O146" s="539">
        <f>O66+O72</f>
        <v/>
      </c>
      <c r="P146" s="197">
        <f>SUM(D146:O146)</f>
        <v/>
      </c>
      <c r="Q146" s="1175">
        <f>(Q147+Q148)</f>
        <v/>
      </c>
      <c r="R146" s="1176" t="inlineStr">
        <is>
          <t xml:space="preserve"> </t>
        </is>
      </c>
    </row>
    <row r="147" ht="18" customHeight="1">
      <c r="B147" s="1180" t="n"/>
      <c r="C147" s="299" t="inlineStr">
        <is>
          <t>Total COGS</t>
        </is>
      </c>
      <c r="D147" s="193">
        <f>D67+D73</f>
        <v/>
      </c>
      <c r="E147" s="193">
        <f>E67+E73</f>
        <v/>
      </c>
      <c r="F147" s="193">
        <f>F67+F73</f>
        <v/>
      </c>
      <c r="G147" s="193">
        <f>G67+G73</f>
        <v/>
      </c>
      <c r="H147" s="193">
        <f>H67+H73</f>
        <v/>
      </c>
      <c r="I147" s="193">
        <f>I67+I73</f>
        <v/>
      </c>
      <c r="J147" s="193">
        <f>J67+J73</f>
        <v/>
      </c>
      <c r="K147" s="193">
        <f>K67+K73</f>
        <v/>
      </c>
      <c r="L147" s="193">
        <f>L67+L73</f>
        <v/>
      </c>
      <c r="M147" s="193">
        <f>M67+M73</f>
        <v/>
      </c>
      <c r="N147" s="193">
        <f>N67+N73</f>
        <v/>
      </c>
      <c r="O147" s="540">
        <f>O67+O73</f>
        <v/>
      </c>
      <c r="P147" s="198">
        <f>SUM(D147:O147)</f>
        <v/>
      </c>
      <c r="Q147" s="1178">
        <f>IF(P146=0,0,P147/P146)</f>
        <v/>
      </c>
      <c r="R147" s="1179" t="inlineStr">
        <is>
          <t xml:space="preserve"> </t>
        </is>
      </c>
    </row>
    <row r="148" ht="19" customHeight="1" thickBot="1">
      <c r="B148" s="712" t="n"/>
      <c r="C148" s="301" t="inlineStr">
        <is>
          <t>Total Margin</t>
        </is>
      </c>
      <c r="D148" s="308">
        <f>D146-D147</f>
        <v/>
      </c>
      <c r="E148" s="308">
        <f>E146-E147</f>
        <v/>
      </c>
      <c r="F148" s="308">
        <f>F146-F147</f>
        <v/>
      </c>
      <c r="G148" s="308">
        <f>G146-G147</f>
        <v/>
      </c>
      <c r="H148" s="308">
        <f>H146-H147</f>
        <v/>
      </c>
      <c r="I148" s="308">
        <f>I146-I147</f>
        <v/>
      </c>
      <c r="J148" s="308">
        <f>J146-J147</f>
        <v/>
      </c>
      <c r="K148" s="308">
        <f>K146-K147</f>
        <v/>
      </c>
      <c r="L148" s="308">
        <f>L146-L147</f>
        <v/>
      </c>
      <c r="M148" s="308">
        <f>M146-M147</f>
        <v/>
      </c>
      <c r="N148" s="308">
        <f>N146-N147</f>
        <v/>
      </c>
      <c r="O148" s="541">
        <f>O146-O147</f>
        <v/>
      </c>
      <c r="P148" s="348">
        <f>SUM(D148:O148)</f>
        <v/>
      </c>
      <c r="Q148" s="1181">
        <f>IF(P146=0,0,P148/P146)</f>
        <v/>
      </c>
      <c r="R148" s="1182" t="inlineStr">
        <is>
          <t xml:space="preserve"> </t>
        </is>
      </c>
    </row>
    <row r="149" ht="16" customHeight="1" thickBot="1">
      <c r="B149" s="128" t="n"/>
      <c r="C149" s="209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</row>
    <row r="150" ht="18" customHeight="1">
      <c r="B150" s="1228" t="inlineStr">
        <is>
          <t>Consultancy</t>
        </is>
      </c>
      <c r="C150" s="1004" t="inlineStr">
        <is>
          <t>Consultancy</t>
        </is>
      </c>
      <c r="D150" s="1229" t="n"/>
      <c r="E150" s="1229" t="n"/>
      <c r="F150" s="1229" t="n"/>
      <c r="G150" s="1229" t="n"/>
      <c r="H150" s="1229" t="n"/>
      <c r="I150" s="1229" t="n"/>
      <c r="J150" s="1229" t="n"/>
      <c r="K150" s="1229" t="n"/>
      <c r="L150" s="1229" t="n"/>
      <c r="M150" s="1229" t="n"/>
      <c r="N150" s="1229" t="n"/>
      <c r="O150" s="1229" t="n"/>
      <c r="P150" s="1229" t="n"/>
      <c r="Q150" s="1229" t="n"/>
      <c r="R150" s="1230" t="n"/>
    </row>
    <row r="151" ht="18" customHeight="1">
      <c r="B151" s="1231" t="n"/>
      <c r="C151" s="342" t="n"/>
      <c r="D151" s="200" t="n"/>
      <c r="E151" s="200" t="n"/>
      <c r="F151" s="200" t="n"/>
      <c r="G151" s="200" t="n"/>
      <c r="H151" s="200" t="n"/>
      <c r="I151" s="200" t="n"/>
      <c r="J151" s="200" t="n"/>
      <c r="K151" s="200" t="n"/>
      <c r="L151" s="200" t="n"/>
      <c r="M151" s="200" t="n"/>
      <c r="N151" s="200" t="n"/>
      <c r="O151" s="530" t="n"/>
      <c r="P151" s="529" t="n"/>
      <c r="Q151" s="521" t="n"/>
      <c r="R151" s="346" t="n"/>
    </row>
    <row r="152" ht="18" customHeight="1">
      <c r="B152" s="1231" t="n"/>
      <c r="C152" s="117" t="inlineStr">
        <is>
          <t>Total Sales</t>
        </is>
      </c>
      <c r="D152" s="194">
        <f>D85+D79</f>
        <v/>
      </c>
      <c r="E152" s="194">
        <f>E85+E79</f>
        <v/>
      </c>
      <c r="F152" s="194">
        <f>F85+F79</f>
        <v/>
      </c>
      <c r="G152" s="194">
        <f>G85+G79</f>
        <v/>
      </c>
      <c r="H152" s="194">
        <f>H85+H79</f>
        <v/>
      </c>
      <c r="I152" s="194">
        <f>I85+I79</f>
        <v/>
      </c>
      <c r="J152" s="194">
        <f>J85+J79</f>
        <v/>
      </c>
      <c r="K152" s="194">
        <f>K85+K79</f>
        <v/>
      </c>
      <c r="L152" s="194">
        <f>L85+L79</f>
        <v/>
      </c>
      <c r="M152" s="194">
        <f>M85+M79</f>
        <v/>
      </c>
      <c r="N152" s="194">
        <f>N85+N79</f>
        <v/>
      </c>
      <c r="O152" s="523">
        <f>O85+O79</f>
        <v/>
      </c>
      <c r="P152" s="531">
        <f>SUM(D152:O152)</f>
        <v/>
      </c>
      <c r="Q152" s="1175">
        <f>(Q153+Q154)</f>
        <v/>
      </c>
      <c r="R152" s="1176" t="inlineStr">
        <is>
          <t xml:space="preserve"> </t>
        </is>
      </c>
    </row>
    <row r="153" ht="18" customHeight="1">
      <c r="B153" s="1231" t="n"/>
      <c r="C153" s="118" t="inlineStr">
        <is>
          <t>Total COGS</t>
        </is>
      </c>
      <c r="D153" s="193">
        <f>D80+D86</f>
        <v/>
      </c>
      <c r="E153" s="193">
        <f>E80+E86</f>
        <v/>
      </c>
      <c r="F153" s="193">
        <f>F80+F86</f>
        <v/>
      </c>
      <c r="G153" s="193">
        <f>G80+G86</f>
        <v/>
      </c>
      <c r="H153" s="193">
        <f>H80+H86</f>
        <v/>
      </c>
      <c r="I153" s="193">
        <f>I80+I86</f>
        <v/>
      </c>
      <c r="J153" s="193">
        <f>J80+J86</f>
        <v/>
      </c>
      <c r="K153" s="193">
        <f>K80+K86</f>
        <v/>
      </c>
      <c r="L153" s="193">
        <f>L80+L86</f>
        <v/>
      </c>
      <c r="M153" s="193">
        <f>M80+M86</f>
        <v/>
      </c>
      <c r="N153" s="193">
        <f>N80+N86</f>
        <v/>
      </c>
      <c r="O153" s="193">
        <f>O80+O86</f>
        <v/>
      </c>
      <c r="P153" s="198">
        <f>SUM(D152:O152)</f>
        <v/>
      </c>
      <c r="Q153" s="1178">
        <f>IF(P152=0,0,P153/P152)</f>
        <v/>
      </c>
      <c r="R153" s="1179" t="inlineStr">
        <is>
          <t xml:space="preserve"> </t>
        </is>
      </c>
    </row>
    <row r="154" ht="19" customHeight="1" thickBot="1">
      <c r="B154" s="1232" t="n"/>
      <c r="C154" s="347" t="inlineStr">
        <is>
          <t>Total Margin</t>
        </is>
      </c>
      <c r="D154" s="308">
        <f>D152-D153</f>
        <v/>
      </c>
      <c r="E154" s="308">
        <f>E152-E153</f>
        <v/>
      </c>
      <c r="F154" s="308">
        <f>F152-F153</f>
        <v/>
      </c>
      <c r="G154" s="308">
        <f>G152-G153</f>
        <v/>
      </c>
      <c r="H154" s="308">
        <f>H152-H153</f>
        <v/>
      </c>
      <c r="I154" s="308">
        <f>I152-I153</f>
        <v/>
      </c>
      <c r="J154" s="308">
        <f>J152-J153</f>
        <v/>
      </c>
      <c r="K154" s="308">
        <f>K152-K153</f>
        <v/>
      </c>
      <c r="L154" s="308">
        <f>L152-L153</f>
        <v/>
      </c>
      <c r="M154" s="308">
        <f>M152-M153</f>
        <v/>
      </c>
      <c r="N154" s="308">
        <f>N152-N153</f>
        <v/>
      </c>
      <c r="O154" s="532">
        <f>O152-O153</f>
        <v/>
      </c>
      <c r="P154" s="533">
        <f>SUM(D153:O153)</f>
        <v/>
      </c>
      <c r="Q154" s="1181">
        <f>IF(P152=0,0,P154/P152)</f>
        <v/>
      </c>
      <c r="R154" s="1182" t="inlineStr">
        <is>
          <t xml:space="preserve"> </t>
        </is>
      </c>
    </row>
    <row r="155" ht="16" customHeight="1" thickBot="1">
      <c r="B155" s="128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</row>
    <row r="156" ht="18" customHeight="1">
      <c r="B156" s="1233" t="inlineStr">
        <is>
          <t>Total Support</t>
        </is>
      </c>
      <c r="C156" s="986" t="inlineStr">
        <is>
          <t>Total Support</t>
        </is>
      </c>
      <c r="D156" s="1234" t="n"/>
      <c r="E156" s="1234" t="n"/>
      <c r="F156" s="1234" t="n"/>
      <c r="G156" s="1234" t="n"/>
      <c r="H156" s="1234" t="n"/>
      <c r="I156" s="1234" t="n"/>
      <c r="J156" s="1234" t="n"/>
      <c r="K156" s="1234" t="n"/>
      <c r="L156" s="1234" t="n"/>
      <c r="M156" s="1234" t="n"/>
      <c r="N156" s="1234" t="n"/>
      <c r="O156" s="1234" t="n"/>
      <c r="P156" s="1234" t="n"/>
      <c r="Q156" s="1234" t="n"/>
      <c r="R156" s="1235" t="n"/>
    </row>
    <row r="157" ht="18" customHeight="1">
      <c r="B157" s="359" t="n"/>
      <c r="C157" s="997" t="n"/>
      <c r="D157" s="997" t="n"/>
      <c r="E157" s="997" t="n"/>
      <c r="F157" s="997" t="n"/>
      <c r="G157" s="997" t="n"/>
      <c r="H157" s="997" t="n"/>
      <c r="I157" s="997" t="n"/>
      <c r="J157" s="997" t="n"/>
      <c r="K157" s="997" t="n"/>
      <c r="L157" s="997" t="n"/>
      <c r="M157" s="997" t="n"/>
      <c r="N157" s="997" t="n"/>
      <c r="O157" s="997" t="n"/>
      <c r="P157" s="522" t="n"/>
      <c r="Q157" s="522" t="n"/>
      <c r="R157" s="222" t="n"/>
    </row>
    <row r="158" ht="18" customHeight="1">
      <c r="B158" s="359" t="n"/>
      <c r="C158" s="349" t="inlineStr">
        <is>
          <t>Total Sales</t>
        </is>
      </c>
      <c r="D158" s="350">
        <f>(D71+D64+D58+D52+D46+D40+D34+D27)*$D$10</f>
        <v/>
      </c>
      <c r="E158" s="350">
        <f>(E71+E64+E58+E52+E46+E40+E34+E27)*$D$10</f>
        <v/>
      </c>
      <c r="F158" s="350">
        <f>(F71+F64+F58+F52+F46+F40+F34+F27)*$D$10</f>
        <v/>
      </c>
      <c r="G158" s="350">
        <f>(G71+G64+G58+G52+G46+G40+G34+G27)*$D$10</f>
        <v/>
      </c>
      <c r="H158" s="350">
        <f>(H71+H64+H58+H52+H46+H40+H34+H27)*$D$10</f>
        <v/>
      </c>
      <c r="I158" s="350">
        <f>(I71+I64+I58+I52+I46+I40+I34+I27)*$D$10</f>
        <v/>
      </c>
      <c r="J158" s="350">
        <f>(J71+J64+J58+J52+J46+J40+J34+J27)*$D$10</f>
        <v/>
      </c>
      <c r="K158" s="350">
        <f>(K71+K64+K58+K52+K46+K40+K34+K27)*$D$10</f>
        <v/>
      </c>
      <c r="L158" s="350">
        <f>(L71+L64+L58+L52+L46+L40+L34+L27)*$D$10</f>
        <v/>
      </c>
      <c r="M158" s="350">
        <f>(M71+M64+M58+M52+M46+M40+M34+M27)*$D$10</f>
        <v/>
      </c>
      <c r="N158" s="350">
        <f>(N71+N64+N58+N52+N46+N40+N34+N27)*$D$10</f>
        <v/>
      </c>
      <c r="O158" s="351">
        <f>(O71+O64+O58+O52+O46+O40+O34+O27)*$D$10</f>
        <v/>
      </c>
      <c r="P158" s="59">
        <f>SUM(D158:O158)</f>
        <v/>
      </c>
      <c r="Q158" s="1175">
        <f>(Q159+Q160)</f>
        <v/>
      </c>
      <c r="R158" s="1236" t="inlineStr">
        <is>
          <t xml:space="preserve"> </t>
        </is>
      </c>
    </row>
    <row r="159" ht="18" customHeight="1">
      <c r="B159" s="359" t="n"/>
      <c r="C159" s="118" t="inlineStr">
        <is>
          <t>Total COGS</t>
        </is>
      </c>
      <c r="D159" s="193">
        <f>(D71+D64+D58+D52+D46+D40+D34+D27)*$E$10</f>
        <v/>
      </c>
      <c r="E159" s="193">
        <f>(E71+E64+E58+E52+E46+E40+E34+E27)*$E$10</f>
        <v/>
      </c>
      <c r="F159" s="193">
        <f>(F71+F64+F58+F52+F46+F40+F34+F27)*$E$10</f>
        <v/>
      </c>
      <c r="G159" s="193">
        <f>(G71+G64+G58+G52+G46+G40+G34+G27)*$E$10</f>
        <v/>
      </c>
      <c r="H159" s="193">
        <f>(H71+H64+H58+H52+H46+H40+H34+H27)*$E$10</f>
        <v/>
      </c>
      <c r="I159" s="193">
        <f>(I71+I64+I58+I52+I46+I40+I34+I27)*$E$10</f>
        <v/>
      </c>
      <c r="J159" s="193">
        <f>(J71+J64+J58+J52+J46+J40+J34+J27)*$E$10</f>
        <v/>
      </c>
      <c r="K159" s="193">
        <f>(K71+K64+K58+K52+K46+K40+K34+K27)*$E$10</f>
        <v/>
      </c>
      <c r="L159" s="193">
        <f>(L71+L64+L58+L52+L46+L40+L34+L27)*$E$10</f>
        <v/>
      </c>
      <c r="M159" s="193">
        <f>(M71+M64+M58+M52+M46+M40+M34+M27)*$E$10</f>
        <v/>
      </c>
      <c r="N159" s="193">
        <f>(N71+N64+N58+N52+N46+N40+N34+N27)*$E$10</f>
        <v/>
      </c>
      <c r="O159" s="193">
        <f>(O71+O64+O58+O52+O46+O40+O34+O27)*$E$10</f>
        <v/>
      </c>
      <c r="P159" s="345">
        <f>SUM(D159:O159)</f>
        <v/>
      </c>
      <c r="Q159" s="1178">
        <f>IF(P158=0,0,P159/P158)</f>
        <v/>
      </c>
      <c r="R159" s="1237" t="inlineStr">
        <is>
          <t xml:space="preserve"> </t>
        </is>
      </c>
    </row>
    <row r="160" ht="19" customHeight="1" thickBot="1">
      <c r="B160" s="1114" t="n"/>
      <c r="C160" s="343" t="inlineStr">
        <is>
          <t>Total Margin</t>
        </is>
      </c>
      <c r="D160" s="111">
        <f>D158-D159</f>
        <v/>
      </c>
      <c r="E160" s="111">
        <f>E158-E159</f>
        <v/>
      </c>
      <c r="F160" s="111">
        <f>F158-F159</f>
        <v/>
      </c>
      <c r="G160" s="111">
        <f>G158-G159</f>
        <v/>
      </c>
      <c r="H160" s="111">
        <f>H158-H159</f>
        <v/>
      </c>
      <c r="I160" s="111">
        <f>I158-I159</f>
        <v/>
      </c>
      <c r="J160" s="111">
        <f>J158-J159</f>
        <v/>
      </c>
      <c r="K160" s="111">
        <f>K158-K159</f>
        <v/>
      </c>
      <c r="L160" s="111">
        <f>L158-L159</f>
        <v/>
      </c>
      <c r="M160" s="111">
        <f>M158-M159</f>
        <v/>
      </c>
      <c r="N160" s="111">
        <f>N158-N159</f>
        <v/>
      </c>
      <c r="O160" s="111">
        <f>O158-O159</f>
        <v/>
      </c>
      <c r="P160" s="344">
        <f>SUM(D160:O160)</f>
        <v/>
      </c>
      <c r="Q160" s="1238">
        <f>IF(P158=0,0,P160/P158)</f>
        <v/>
      </c>
      <c r="R160" s="1239" t="inlineStr">
        <is>
          <t xml:space="preserve"> </t>
        </is>
      </c>
    </row>
    <row r="161" ht="19" customHeight="1" thickBot="1">
      <c r="B161" s="989" t="n"/>
      <c r="C161" s="711" t="n"/>
      <c r="D161" s="711" t="n"/>
      <c r="E161" s="711" t="n"/>
      <c r="F161" s="711" t="n"/>
      <c r="G161" s="711" t="n"/>
      <c r="H161" s="711" t="n"/>
      <c r="I161" s="711" t="n"/>
      <c r="J161" s="711" t="n"/>
      <c r="K161" s="711" t="n"/>
      <c r="L161" s="711" t="n"/>
      <c r="M161" s="340" t="n"/>
      <c r="N161" s="340" t="n"/>
      <c r="O161" s="340" t="n"/>
      <c r="P161" s="103" t="n"/>
      <c r="Q161" s="1208" t="n"/>
      <c r="R161" s="1240" t="n"/>
    </row>
    <row r="162" ht="18" customHeight="1">
      <c r="B162" s="1226" t="inlineStr">
        <is>
          <t>Total Admin</t>
        </is>
      </c>
      <c r="C162" s="1193" t="inlineStr">
        <is>
          <t>Administrative and On-Boarding</t>
        </is>
      </c>
      <c r="D162" s="1145" t="n"/>
      <c r="E162" s="1145" t="n"/>
      <c r="F162" s="1145" t="n"/>
      <c r="G162" s="1145" t="n"/>
      <c r="H162" s="1145" t="n"/>
      <c r="I162" s="1145" t="n"/>
      <c r="J162" s="1145" t="n"/>
      <c r="K162" s="1145" t="n"/>
      <c r="L162" s="1145" t="n"/>
      <c r="M162" s="1145" t="n"/>
      <c r="N162" s="1145" t="n"/>
      <c r="O162" s="1145" t="n"/>
      <c r="P162" s="1145" t="n"/>
      <c r="Q162" s="1145" t="n"/>
      <c r="R162" s="705" t="n"/>
    </row>
    <row r="163" ht="18" customHeight="1">
      <c r="B163" s="1180" t="n"/>
      <c r="C163" s="295" t="n"/>
      <c r="D163" s="200" t="n"/>
      <c r="E163" s="200" t="n"/>
      <c r="F163" s="200" t="n"/>
      <c r="G163" s="200" t="n"/>
      <c r="H163" s="200" t="n"/>
      <c r="I163" s="200" t="n"/>
      <c r="J163" s="200" t="n"/>
      <c r="K163" s="200" t="n"/>
      <c r="L163" s="200" t="n"/>
      <c r="M163" s="200" t="n"/>
      <c r="N163" s="200" t="n"/>
      <c r="O163" s="526" t="n"/>
      <c r="P163" s="182" t="n"/>
      <c r="Q163" s="180" t="n"/>
      <c r="R163" s="296" t="n"/>
    </row>
    <row r="164" ht="18" customHeight="1">
      <c r="B164" s="1180" t="n"/>
      <c r="C164" s="297" t="inlineStr">
        <is>
          <t>Total Sales</t>
        </is>
      </c>
      <c r="D164" s="194">
        <f>D114+D109+D103+D97</f>
        <v/>
      </c>
      <c r="E164" s="194">
        <f>E114+E109+E103+E97</f>
        <v/>
      </c>
      <c r="F164" s="194">
        <f>F115+F109+F103+F97</f>
        <v/>
      </c>
      <c r="G164" s="194">
        <f>G115+G109+G103+G97</f>
        <v/>
      </c>
      <c r="H164" s="194">
        <f>H115+H109+H103+H97</f>
        <v/>
      </c>
      <c r="I164" s="194">
        <f>I115+I109+I103+I97</f>
        <v/>
      </c>
      <c r="J164" s="194">
        <f>J115+J109+J103+J97</f>
        <v/>
      </c>
      <c r="K164" s="194">
        <f>K115+K109+K103+K97</f>
        <v/>
      </c>
      <c r="L164" s="194">
        <f>L115+L109+L103+L97</f>
        <v/>
      </c>
      <c r="M164" s="194">
        <f>M115+M109+M103+M97</f>
        <v/>
      </c>
      <c r="N164" s="194">
        <f>N115+N109+N103+N97</f>
        <v/>
      </c>
      <c r="O164" s="523">
        <f>O115+O109+O103+O97</f>
        <v/>
      </c>
      <c r="P164" s="513">
        <f>SUM(D164:O164)</f>
        <v/>
      </c>
      <c r="Q164" s="1241">
        <f>(Q165+Q166)</f>
        <v/>
      </c>
      <c r="R164" s="1242" t="inlineStr">
        <is>
          <t xml:space="preserve"> </t>
        </is>
      </c>
    </row>
    <row r="165" ht="18" customHeight="1">
      <c r="B165" s="1180" t="n"/>
      <c r="C165" s="299" t="inlineStr">
        <is>
          <t>Total COGS</t>
        </is>
      </c>
      <c r="D165" s="193">
        <f>D116+D110+D104+D98</f>
        <v/>
      </c>
      <c r="E165" s="193">
        <f>E116+E110+E104+E98</f>
        <v/>
      </c>
      <c r="F165" s="193">
        <f>F116+F110+F104+F98</f>
        <v/>
      </c>
      <c r="G165" s="193">
        <f>G116+G110+G104+G98</f>
        <v/>
      </c>
      <c r="H165" s="193">
        <f>H116+H110+H104+H98</f>
        <v/>
      </c>
      <c r="I165" s="193">
        <f>I116+I110+I104+I98</f>
        <v/>
      </c>
      <c r="J165" s="193">
        <f>J116+J110+J104+J98</f>
        <v/>
      </c>
      <c r="K165" s="193">
        <f>K116+K110+K104+K98</f>
        <v/>
      </c>
      <c r="L165" s="193">
        <f>L116+L110+L104+L98</f>
        <v/>
      </c>
      <c r="M165" s="193">
        <f>M116+M110+M104+M98</f>
        <v/>
      </c>
      <c r="N165" s="193">
        <f>N116+N110+N104+N98</f>
        <v/>
      </c>
      <c r="O165" s="193">
        <f>O116+O110+O104+O98</f>
        <v/>
      </c>
      <c r="P165" s="59">
        <f>SUM(D165:O165)</f>
        <v/>
      </c>
      <c r="Q165" s="1175">
        <f>IF(P164=0,0,P165/P164)</f>
        <v/>
      </c>
      <c r="R165" s="1179" t="inlineStr">
        <is>
          <t xml:space="preserve"> </t>
        </is>
      </c>
    </row>
    <row r="166" ht="19" customHeight="1" thickBot="1">
      <c r="B166" s="712" t="n"/>
      <c r="C166" s="301" t="inlineStr">
        <is>
          <t>Total Margin</t>
        </is>
      </c>
      <c r="D166" s="308">
        <f>D164-D165</f>
        <v/>
      </c>
      <c r="E166" s="308">
        <f>E164-E165</f>
        <v/>
      </c>
      <c r="F166" s="308">
        <f>F164-F165</f>
        <v/>
      </c>
      <c r="G166" s="308">
        <f>G164-G165</f>
        <v/>
      </c>
      <c r="H166" s="308">
        <f>H164-H165</f>
        <v/>
      </c>
      <c r="I166" s="308">
        <f>I164-I165</f>
        <v/>
      </c>
      <c r="J166" s="308">
        <f>J164-J165</f>
        <v/>
      </c>
      <c r="K166" s="308">
        <f>K164-K165</f>
        <v/>
      </c>
      <c r="L166" s="308">
        <f>L164-L165</f>
        <v/>
      </c>
      <c r="M166" s="308">
        <f>M164-M165</f>
        <v/>
      </c>
      <c r="N166" s="308">
        <f>N164-N165</f>
        <v/>
      </c>
      <c r="O166" s="308">
        <f>O164-O165</f>
        <v/>
      </c>
      <c r="P166" s="303">
        <f>SUM(D166:O166)</f>
        <v/>
      </c>
      <c r="Q166" s="1181">
        <f>IF(P164=0,0,P166/P164)</f>
        <v/>
      </c>
      <c r="R166" s="1182" t="inlineStr">
        <is>
          <t xml:space="preserve"> </t>
        </is>
      </c>
    </row>
    <row r="167" ht="16" customHeight="1" thickBot="1">
      <c r="B167" s="203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</row>
    <row r="168" ht="18" customHeight="1">
      <c r="B168" s="1243" t="inlineStr">
        <is>
          <t>Grand Total</t>
        </is>
      </c>
      <c r="C168" s="1244" t="inlineStr">
        <is>
          <t>Grand Totals</t>
        </is>
      </c>
      <c r="R168" s="1245" t="n"/>
    </row>
    <row r="169" ht="18" customHeight="1">
      <c r="B169" s="1246" t="n"/>
      <c r="C169" s="640" t="inlineStr">
        <is>
          <t>Total Users</t>
        </is>
      </c>
      <c r="D169" s="1247">
        <f>SUM(D27,D34,D40,D46,D52,D58,D64,D71)</f>
        <v/>
      </c>
      <c r="E169" s="1247">
        <f>SUM(E27,E34,E40,E46,E52,E58,E64,E71)</f>
        <v/>
      </c>
      <c r="F169" s="1247">
        <f>SUM(F27,F34,F40,F46,F52,F58,F64,F71)</f>
        <v/>
      </c>
      <c r="G169" s="1247">
        <f>SUM(G27,G34,G40,G46,G52,G58,G64,G71)</f>
        <v/>
      </c>
      <c r="H169" s="1247">
        <f>SUM(H27,H34,H40,H46,H52,H58,H64,H71)</f>
        <v/>
      </c>
      <c r="I169" s="1247">
        <f>SUM(I27,I34,I40,I46,I52,I58,I64,I71)</f>
        <v/>
      </c>
      <c r="J169" s="1247">
        <f>SUM(J27,J34,J40,J46,J52,J58,J64,J71)</f>
        <v/>
      </c>
      <c r="K169" s="1247">
        <f>SUM(K27,K34,K40,K46,K52,K58,K64,K71)</f>
        <v/>
      </c>
      <c r="L169" s="1247">
        <f>SUM(L27,L34,L40,L46,L52,L58,L64,L71)</f>
        <v/>
      </c>
      <c r="M169" s="1247">
        <f>SUM(M27,M34,M40,M46,M52,M58,M64,M71)</f>
        <v/>
      </c>
      <c r="N169" s="1247">
        <f>SUM(N27,N34,N40,N46,N52,N58,N64,N71)</f>
        <v/>
      </c>
      <c r="O169" s="1247">
        <f>SUM(O27,O34,O40,O46,O52,O58,O64,O71)</f>
        <v/>
      </c>
      <c r="P169" s="1247">
        <f>SUM(P27,P34,P40,P46,P52,P58,P64,P71)</f>
        <v/>
      </c>
      <c r="Q169" s="520" t="n"/>
      <c r="R169" s="181" t="n"/>
      <c r="T169" s="641" t="inlineStr">
        <is>
          <t xml:space="preserve"> </t>
        </is>
      </c>
    </row>
    <row r="170" ht="18" customHeight="1">
      <c r="B170" s="1246" t="n"/>
      <c r="C170" s="210" t="inlineStr">
        <is>
          <t>Total Sales</t>
        </is>
      </c>
      <c r="D170" s="194">
        <f>D164+D152+D140+D134+D128+D146+D158+D122</f>
        <v/>
      </c>
      <c r="E170" s="194">
        <f>E164+E152+E140+E134+E128+E146+E158+E122</f>
        <v/>
      </c>
      <c r="F170" s="194">
        <f>F164+F152+F140+F134+F128+F146+F158+F122</f>
        <v/>
      </c>
      <c r="G170" s="194">
        <f>G164+G152+G140+G134+G128+G146+G158+G122</f>
        <v/>
      </c>
      <c r="H170" s="194">
        <f>H164+H152+H140+H134+H128+H146+H158+H122</f>
        <v/>
      </c>
      <c r="I170" s="194">
        <f>I164+I152+I140+I134+I128+I146+I158+I122</f>
        <v/>
      </c>
      <c r="J170" s="194">
        <f>J164+J152+J140+J134+J128+J146+J158+J122</f>
        <v/>
      </c>
      <c r="K170" s="194">
        <f>K164+K152+K140+K134+K128+K146+K158+K122</f>
        <v/>
      </c>
      <c r="L170" s="194">
        <f>L164+L152+L140+L134+L128+L146+L158+L122</f>
        <v/>
      </c>
      <c r="M170" s="194">
        <f>M164+M152+M140+M134+M128+M146+M158+M122</f>
        <v/>
      </c>
      <c r="N170" s="194">
        <f>N164+N152+N140+N134+N128+N146+N158+N122</f>
        <v/>
      </c>
      <c r="O170" s="194">
        <f>O164+O152+O140+O134+O128+O146+O158+O122</f>
        <v/>
      </c>
      <c r="P170" s="197">
        <f>SUM(D170:O170)</f>
        <v/>
      </c>
      <c r="Q170" s="1175">
        <f>(Q171+Q172)</f>
        <v/>
      </c>
      <c r="R170" s="1248" t="inlineStr">
        <is>
          <t xml:space="preserve"> </t>
        </is>
      </c>
      <c r="T170" s="1249" t="inlineStr">
        <is>
          <t xml:space="preserve"> </t>
        </is>
      </c>
    </row>
    <row r="171" ht="18" customHeight="1">
      <c r="B171" s="1246" t="n"/>
      <c r="C171" s="212" t="inlineStr">
        <is>
          <t>Total COGS</t>
        </is>
      </c>
      <c r="D171" s="193">
        <f>D165+D153+D147+D141+D135+D129+D123</f>
        <v/>
      </c>
      <c r="E171" s="193">
        <f>E165+E153+E147+E141+E135+E129+E123</f>
        <v/>
      </c>
      <c r="F171" s="193">
        <f>F165+F153+F147+F141+F135+F129+F123</f>
        <v/>
      </c>
      <c r="G171" s="193">
        <f>G165+G153+G147+G141+G135+G129+G123</f>
        <v/>
      </c>
      <c r="H171" s="193">
        <f>H165+H153+H147+H141+H135+H129+H123</f>
        <v/>
      </c>
      <c r="I171" s="193">
        <f>I165+I153+I147+I141+I135+I129+I123</f>
        <v/>
      </c>
      <c r="J171" s="193">
        <f>J165+J153+J147+J141+J135+J129+J123</f>
        <v/>
      </c>
      <c r="K171" s="193">
        <f>K165+K153+K147+K141+K135+K129+K123</f>
        <v/>
      </c>
      <c r="L171" s="193">
        <f>L165+L153+L147+L141+L135+L129+L123</f>
        <v/>
      </c>
      <c r="M171" s="193">
        <f>M165+M153+M147+M141+M135+M129+M123</f>
        <v/>
      </c>
      <c r="N171" s="193">
        <f>N165+N153+N147+N141+N135+N129+N123</f>
        <v/>
      </c>
      <c r="O171" s="193">
        <f>O165+O153+O147+O141+O135+O129+O123</f>
        <v/>
      </c>
      <c r="P171" s="198">
        <f>SUM(D171:O171)</f>
        <v/>
      </c>
      <c r="Q171" s="1178">
        <f>IF(P170=0,0,P171/P170)</f>
        <v/>
      </c>
      <c r="R171" s="1250" t="inlineStr">
        <is>
          <t xml:space="preserve"> </t>
        </is>
      </c>
    </row>
    <row r="172" ht="19" customHeight="1" thickBot="1">
      <c r="B172" s="1251" t="n"/>
      <c r="C172" s="214" t="inlineStr">
        <is>
          <t>Total Margin</t>
        </is>
      </c>
      <c r="D172" s="111">
        <f>D170-D171</f>
        <v/>
      </c>
      <c r="E172" s="111">
        <f>E170-E171</f>
        <v/>
      </c>
      <c r="F172" s="111">
        <f>F170-F171</f>
        <v/>
      </c>
      <c r="G172" s="111">
        <f>G170-G171</f>
        <v/>
      </c>
      <c r="H172" s="111">
        <f>H170-H171</f>
        <v/>
      </c>
      <c r="I172" s="111">
        <f>I170-I171</f>
        <v/>
      </c>
      <c r="J172" s="111">
        <f>J170-J171</f>
        <v/>
      </c>
      <c r="K172" s="111">
        <f>K170-K171</f>
        <v/>
      </c>
      <c r="L172" s="111">
        <f>L170-L171</f>
        <v/>
      </c>
      <c r="M172" s="111">
        <f>M170-M171</f>
        <v/>
      </c>
      <c r="N172" s="111">
        <f>N170-N171</f>
        <v/>
      </c>
      <c r="O172" s="527">
        <f>O170-O171</f>
        <v/>
      </c>
      <c r="P172" s="528">
        <f>SUM(D172:O172)</f>
        <v/>
      </c>
      <c r="Q172" s="1252">
        <f>IF(P170=0,0,P172/P170)</f>
        <v/>
      </c>
      <c r="R172" s="1253" t="inlineStr">
        <is>
          <t xml:space="preserve"> </t>
        </is>
      </c>
    </row>
    <row r="173"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</row>
  </sheetData>
  <mergeCells count="76">
    <mergeCell ref="D2:F2"/>
    <mergeCell ref="C120:R120"/>
    <mergeCell ref="T48:AA48"/>
    <mergeCell ref="C138:R138"/>
    <mergeCell ref="B162:B166"/>
    <mergeCell ref="C132:R132"/>
    <mergeCell ref="T39:AA39"/>
    <mergeCell ref="C70:R70"/>
    <mergeCell ref="B75:R75"/>
    <mergeCell ref="T33:AA33"/>
    <mergeCell ref="C150:R150"/>
    <mergeCell ref="C39:R39"/>
    <mergeCell ref="C144:R144"/>
    <mergeCell ref="T32:AA32"/>
    <mergeCell ref="B168:B172"/>
    <mergeCell ref="T38:AA38"/>
    <mergeCell ref="T49:AA49"/>
    <mergeCell ref="C82:R82"/>
    <mergeCell ref="C38:R38"/>
    <mergeCell ref="T45:AA45"/>
    <mergeCell ref="B63:B74"/>
    <mergeCell ref="T35:AA35"/>
    <mergeCell ref="C32:R32"/>
    <mergeCell ref="T42:AA42"/>
    <mergeCell ref="C57:R57"/>
    <mergeCell ref="B51:B62"/>
    <mergeCell ref="T47:AA47"/>
    <mergeCell ref="B161:L161"/>
    <mergeCell ref="B126:B130"/>
    <mergeCell ref="C69:R69"/>
    <mergeCell ref="T50:AA50"/>
    <mergeCell ref="D3:F3"/>
    <mergeCell ref="C77:R77"/>
    <mergeCell ref="C101:R101"/>
    <mergeCell ref="C83:R83"/>
    <mergeCell ref="T44:AA44"/>
    <mergeCell ref="C33:R33"/>
    <mergeCell ref="C156:R156"/>
    <mergeCell ref="C107:R107"/>
    <mergeCell ref="C95:R95"/>
    <mergeCell ref="C89:R89"/>
    <mergeCell ref="B138:B142"/>
    <mergeCell ref="B144:B148"/>
    <mergeCell ref="T26:AA26"/>
    <mergeCell ref="C126:R126"/>
    <mergeCell ref="C45:R45"/>
    <mergeCell ref="C26:R26"/>
    <mergeCell ref="C88:R88"/>
    <mergeCell ref="B156:B160"/>
    <mergeCell ref="T40:AA40"/>
    <mergeCell ref="C162:R162"/>
    <mergeCell ref="T51:AA51"/>
    <mergeCell ref="C113:R113"/>
    <mergeCell ref="B150:B154"/>
    <mergeCell ref="B77:B92"/>
    <mergeCell ref="T41:AA41"/>
    <mergeCell ref="B120:B124"/>
    <mergeCell ref="C63:R63"/>
    <mergeCell ref="B39:B50"/>
    <mergeCell ref="C168:R168"/>
    <mergeCell ref="C50:R50"/>
    <mergeCell ref="T31:AA31"/>
    <mergeCell ref="C44:R44"/>
    <mergeCell ref="B95:B118"/>
    <mergeCell ref="B26:B38"/>
    <mergeCell ref="T29:AA30"/>
    <mergeCell ref="B132:B136"/>
    <mergeCell ref="T43:AA43"/>
    <mergeCell ref="C56:R56"/>
    <mergeCell ref="T34:AA34"/>
    <mergeCell ref="T46:AA46"/>
    <mergeCell ref="T52:AA52"/>
    <mergeCell ref="T37:AA37"/>
    <mergeCell ref="T27:AA27"/>
    <mergeCell ref="T36:AA36"/>
    <mergeCell ref="C51:R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A179"/>
  <sheetViews>
    <sheetView tabSelected="1" zoomScale="90" zoomScaleNormal="90" workbookViewId="0">
      <selection activeCell="T40" sqref="T40:AA40"/>
    </sheetView>
  </sheetViews>
  <sheetFormatPr baseColWidth="10" defaultColWidth="8.83203125" defaultRowHeight="15"/>
  <cols>
    <col width="10.5" customWidth="1" min="2" max="2"/>
    <col width="40.6640625" customWidth="1" min="3" max="3"/>
    <col width="20.83203125" customWidth="1" min="4" max="15"/>
    <col width="24.33203125" customWidth="1" min="16" max="16"/>
    <col width="20.83203125" customWidth="1" min="17" max="18"/>
    <col width="20.33203125" customWidth="1" min="19" max="19"/>
    <col width="29.33203125" customWidth="1" min="20" max="20"/>
    <col width="35.33203125" customWidth="1" min="25" max="25"/>
  </cols>
  <sheetData>
    <row r="2" ht="22" customHeight="1" thickBot="1">
      <c r="C2" s="205" t="inlineStr">
        <is>
          <t xml:space="preserve"> </t>
        </is>
      </c>
      <c r="D2" s="1030" t="inlineStr">
        <is>
          <t xml:space="preserve"> </t>
        </is>
      </c>
      <c r="J2" s="46" t="n"/>
      <c r="K2" s="46" t="n"/>
      <c r="L2" s="46" t="n"/>
      <c r="M2" s="46" t="n"/>
      <c r="N2" s="46" t="n"/>
      <c r="O2" s="47" t="n"/>
      <c r="P2" s="47" t="n"/>
      <c r="Q2" s="47" t="n"/>
      <c r="R2" s="47" t="n"/>
    </row>
    <row r="3" ht="76" customHeight="1" thickBot="1">
      <c r="B3" s="46" t="n"/>
      <c r="C3" s="120" t="n">
        <v>2026</v>
      </c>
      <c r="D3" s="1148" t="inlineStr">
        <is>
          <t>Pricing</t>
        </is>
      </c>
      <c r="E3" s="1149" t="n"/>
      <c r="F3" s="1150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39" customHeight="1" thickBot="1">
      <c r="B4" s="46" t="n"/>
      <c r="C4" s="97" t="inlineStr">
        <is>
          <t>Offerings and Distribution</t>
        </is>
      </c>
      <c r="D4" s="91" t="inlineStr">
        <is>
          <t>Price</t>
        </is>
      </c>
      <c r="E4" s="93" t="inlineStr">
        <is>
          <t>COGS</t>
        </is>
      </c>
      <c r="F4" s="99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27" customHeight="1" thickBot="1">
      <c r="B5" s="46" t="n"/>
      <c r="C5" s="188" t="inlineStr">
        <is>
          <t>Administrative</t>
        </is>
      </c>
      <c r="D5" s="189" t="n"/>
      <c r="E5" s="190" t="n"/>
      <c r="F5" s="191" t="n"/>
      <c r="G5" s="46" t="n"/>
      <c r="H5" s="251" t="inlineStr">
        <is>
          <t xml:space="preserve"> </t>
        </is>
      </c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31" customHeight="1">
      <c r="B6" s="46" t="n"/>
      <c r="C6" s="279" t="inlineStr">
        <is>
          <t>Configuration</t>
        </is>
      </c>
      <c r="D6" s="820" t="n">
        <v>250</v>
      </c>
      <c r="E6" s="827" t="n">
        <v>50</v>
      </c>
      <c r="F6" s="1254">
        <f>D6-E6</f>
        <v/>
      </c>
      <c r="G6" s="46" t="n"/>
      <c r="H6" s="223" t="inlineStr">
        <is>
          <t xml:space="preserve"> </t>
        </is>
      </c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33" customHeight="1">
      <c r="B7" s="46" t="n"/>
      <c r="C7" s="277" t="inlineStr">
        <is>
          <t>On-Boarding- Administrator</t>
        </is>
      </c>
      <c r="D7" s="821" t="n">
        <v>500</v>
      </c>
      <c r="E7" s="828" t="n">
        <v>100</v>
      </c>
      <c r="F7" s="1255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19" customHeight="1">
      <c r="B8" s="46" t="n"/>
      <c r="C8" s="277" t="inlineStr">
        <is>
          <t>On-Boarding Users</t>
        </is>
      </c>
      <c r="D8" s="821" t="n">
        <v>500</v>
      </c>
      <c r="E8" s="828" t="n">
        <v>100</v>
      </c>
      <c r="F8" s="1255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19" customHeight="1">
      <c r="B9" s="46" t="n"/>
      <c r="C9" s="274" t="inlineStr">
        <is>
          <t>Import</t>
        </is>
      </c>
      <c r="D9" s="860">
        <f>'Pricing Calcuator'!D86</f>
        <v/>
      </c>
      <c r="E9" s="829" t="n">
        <v>600</v>
      </c>
      <c r="F9" s="1256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20" customHeight="1" thickBot="1">
      <c r="B10" s="46" t="n"/>
      <c r="C10" s="275" t="inlineStr">
        <is>
          <t>Support</t>
        </is>
      </c>
      <c r="D10" s="822" t="n">
        <v>100</v>
      </c>
      <c r="E10" s="830" t="n">
        <v>50</v>
      </c>
      <c r="F10" s="1257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19" customHeight="1" thickBot="1">
      <c r="B11" s="46" t="n"/>
      <c r="C11" s="192" t="inlineStr">
        <is>
          <t>Industry Break Down</t>
        </is>
      </c>
      <c r="D11" s="121" t="inlineStr">
        <is>
          <t xml:space="preserve"> </t>
        </is>
      </c>
      <c r="E11" s="826">
        <f>'COGS Analysis'!D18</f>
        <v/>
      </c>
      <c r="F11" s="1258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18" customHeight="1">
      <c r="B12" s="46" t="n"/>
      <c r="C12" s="806" t="inlineStr">
        <is>
          <t>Hospitality</t>
        </is>
      </c>
      <c r="D12" s="816" t="n">
        <v>250</v>
      </c>
      <c r="E12" s="818">
        <f>'Revenue 2030'!$Q$210</f>
        <v/>
      </c>
      <c r="F12" s="1259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18" customHeight="1">
      <c r="B13" s="46" t="n"/>
      <c r="C13" s="809" t="inlineStr">
        <is>
          <t>Hospitality- Reseller</t>
        </is>
      </c>
      <c r="D13" s="797" t="n">
        <v>150</v>
      </c>
      <c r="E13" s="819">
        <f>'Revenue 2030'!$Q$210</f>
        <v/>
      </c>
      <c r="F13" s="1157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18" customHeight="1">
      <c r="B14" s="46" t="n"/>
      <c r="C14" s="811" t="inlineStr">
        <is>
          <t>Real Estate Development</t>
        </is>
      </c>
      <c r="D14" s="798" t="n">
        <v>400</v>
      </c>
      <c r="E14" s="803">
        <f>'Revenue 2030'!$Q$210</f>
        <v/>
      </c>
      <c r="F14" s="1158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18" customHeight="1">
      <c r="B15" s="46" t="n"/>
      <c r="C15" s="811" t="inlineStr">
        <is>
          <t>Real Estate Development- Reseller</t>
        </is>
      </c>
      <c r="D15" s="798" t="n">
        <v>250</v>
      </c>
      <c r="E15" s="803">
        <f>'Revenue 2030'!$Q$210</f>
        <v/>
      </c>
      <c r="F15" s="1158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18" customHeight="1">
      <c r="B16" s="46" t="n"/>
      <c r="C16" s="809" t="inlineStr">
        <is>
          <t>Pharma</t>
        </is>
      </c>
      <c r="D16" s="797" t="n">
        <v>400</v>
      </c>
      <c r="E16" s="819">
        <f>'Revenue 2030'!$Q$210</f>
        <v/>
      </c>
      <c r="F16" s="1157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18" customHeight="1">
      <c r="B17" s="46" t="n"/>
      <c r="C17" s="809" t="inlineStr">
        <is>
          <t>Pharma- Reseller</t>
        </is>
      </c>
      <c r="D17" s="797" t="n">
        <v>250</v>
      </c>
      <c r="E17" s="819">
        <f>'Revenue 2030'!$Q$210</f>
        <v/>
      </c>
      <c r="F17" s="1157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18" customHeight="1">
      <c r="B18" s="46" t="n"/>
      <c r="C18" s="811" t="inlineStr">
        <is>
          <t>Start up - Small Firms</t>
        </is>
      </c>
      <c r="D18" s="798" t="n">
        <v>200</v>
      </c>
      <c r="E18" s="803">
        <f>'Revenue 2030'!$Q$210</f>
        <v/>
      </c>
      <c r="F18" s="1158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19" customHeight="1" thickBot="1">
      <c r="B19" s="46" t="n"/>
      <c r="C19" s="813" t="inlineStr">
        <is>
          <t>Start up Reseller</t>
        </is>
      </c>
      <c r="D19" s="814" t="n">
        <v>100</v>
      </c>
      <c r="E19" s="802">
        <f>'Revenue 2030'!$Q$210</f>
        <v/>
      </c>
      <c r="F19" s="1159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19" customHeight="1" thickBot="1">
      <c r="B20" s="46" t="n"/>
      <c r="C20" s="461" t="inlineStr">
        <is>
          <t>Training / Consultancy Training as a Service</t>
        </is>
      </c>
      <c r="D20" s="490" t="n"/>
      <c r="E20" s="462" t="n"/>
      <c r="F20" s="1160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24" customHeight="1">
      <c r="B21" s="46" t="n"/>
      <c r="C21" s="464" t="inlineStr">
        <is>
          <t>Thought Library</t>
        </is>
      </c>
      <c r="D21" s="493" t="n">
        <v>50</v>
      </c>
      <c r="E21" s="465" t="n">
        <v>25</v>
      </c>
      <c r="F21" s="1161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31" customHeight="1" thickBot="1">
      <c r="B22" s="46" t="n"/>
      <c r="C22" s="98" t="inlineStr">
        <is>
          <t>Consultancy Services</t>
        </is>
      </c>
      <c r="D22" s="100" t="n">
        <v>225</v>
      </c>
      <c r="E22" s="95" t="n">
        <v>125</v>
      </c>
      <c r="F22" s="1162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23.25" customHeight="1" thickBot="1">
      <c r="B23" s="46" t="n"/>
      <c r="C23" s="106" t="n"/>
      <c r="D23" s="253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37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55" t="inlineStr">
        <is>
          <t>Profit margin comparison</t>
        </is>
      </c>
      <c r="S24" s="901" t="inlineStr">
        <is>
          <t>Churn</t>
        </is>
      </c>
    </row>
    <row r="25" ht="15" customHeigh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</row>
    <row r="26" ht="19" customHeight="1" thickBot="1">
      <c r="B26" s="1163" t="inlineStr">
        <is>
          <t>Hospitality</t>
        </is>
      </c>
      <c r="C26" s="1164">
        <f>C12</f>
        <v/>
      </c>
      <c r="R26" s="1165" t="n"/>
    </row>
    <row r="27" ht="19" customHeight="1" thickBot="1">
      <c r="B27" s="1169" t="n"/>
      <c r="C27" s="116" t="inlineStr">
        <is>
          <t>Licences Sold</t>
        </is>
      </c>
      <c r="D27" s="1170" t="n">
        <v>340</v>
      </c>
      <c r="E27" s="1170" t="n">
        <v>350</v>
      </c>
      <c r="F27" s="1170" t="n">
        <v>360</v>
      </c>
      <c r="G27" s="1170" t="n">
        <v>380</v>
      </c>
      <c r="H27" s="1170" t="n">
        <v>390</v>
      </c>
      <c r="I27" s="1170" t="n">
        <v>400</v>
      </c>
      <c r="J27" s="1170" t="n">
        <v>425</v>
      </c>
      <c r="K27" s="1170" t="n">
        <v>425</v>
      </c>
      <c r="L27" s="1170" t="n">
        <v>475</v>
      </c>
      <c r="M27" s="1170" t="n">
        <v>490</v>
      </c>
      <c r="N27" s="1170" t="n">
        <v>490</v>
      </c>
      <c r="O27" s="1170" t="n">
        <v>490</v>
      </c>
      <c r="P27" s="1171">
        <f>O27</f>
        <v/>
      </c>
      <c r="Q27" s="323" t="n"/>
      <c r="R27" s="324" t="n"/>
      <c r="S27" s="912" t="n">
        <v>0.03</v>
      </c>
      <c r="T27" s="1260" t="inlineStr">
        <is>
          <t>Assumptions</t>
        </is>
      </c>
      <c r="U27" s="1167" t="n"/>
      <c r="V27" s="1167" t="n"/>
      <c r="W27" s="1167" t="n"/>
      <c r="X27" s="1167" t="n"/>
      <c r="Y27" s="1167" t="n"/>
      <c r="Z27" s="1167" t="n"/>
      <c r="AA27" s="1168" t="n"/>
    </row>
    <row r="28" hidden="1" ht="19" customHeight="1" thickBo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174" t="n"/>
      <c r="Q28" s="909" t="n"/>
      <c r="R28" s="910" t="n"/>
      <c r="S28" s="912" t="n"/>
      <c r="T28" s="914" t="n"/>
      <c r="U28" s="915" t="n"/>
      <c r="V28" s="915" t="n"/>
      <c r="W28" s="915" t="n"/>
      <c r="X28" s="915" t="n"/>
      <c r="Y28" s="915" t="n"/>
      <c r="Z28" s="915" t="n"/>
      <c r="AA28" s="916" t="n"/>
    </row>
    <row r="29" ht="19" customHeight="1">
      <c r="B29" s="1169" t="n"/>
      <c r="C29" s="117" t="inlineStr">
        <is>
          <t>Total Sales</t>
        </is>
      </c>
      <c r="D29" s="194">
        <f>(D27-D28)*$D$12</f>
        <v/>
      </c>
      <c r="E29" s="194">
        <f>(E27-E28)*$D$12</f>
        <v/>
      </c>
      <c r="F29" s="194">
        <f>(F27-F28)*$D$12</f>
        <v/>
      </c>
      <c r="G29" s="194">
        <f>(G27-G28)*$D$12</f>
        <v/>
      </c>
      <c r="H29" s="194">
        <f>(H27-H28)*$D$12</f>
        <v/>
      </c>
      <c r="I29" s="194">
        <f>(I27-I28)*$D$12</f>
        <v/>
      </c>
      <c r="J29" s="194">
        <f>(J27-J28)*$D$12</f>
        <v/>
      </c>
      <c r="K29" s="194">
        <f>(K27-K28)*$D$12</f>
        <v/>
      </c>
      <c r="L29" s="194">
        <f>(L27-L28)*$D$12</f>
        <v/>
      </c>
      <c r="M29" s="194">
        <f>(M27-M28)*$D$12</f>
        <v/>
      </c>
      <c r="N29" s="194">
        <f>(N27-N28)*$D$12</f>
        <v/>
      </c>
      <c r="O29" s="194">
        <f>(O27-O28)*$D$12</f>
        <v/>
      </c>
      <c r="P29" s="917">
        <f>SUM(D29:O29)</f>
        <v/>
      </c>
      <c r="Q29" s="1175">
        <f>(Q30+Q31)</f>
        <v/>
      </c>
      <c r="R29" s="1176" t="inlineStr">
        <is>
          <t xml:space="preserve"> </t>
        </is>
      </c>
      <c r="S29" s="913" t="n"/>
      <c r="T29" s="1172" t="n"/>
      <c r="U29" s="1145" t="n"/>
      <c r="V29" s="1145" t="n"/>
      <c r="W29" s="1145" t="n"/>
      <c r="X29" s="1145" t="n"/>
      <c r="Y29" s="1145" t="n"/>
      <c r="Z29" s="1145" t="n"/>
      <c r="AA29" s="705" t="n"/>
    </row>
    <row r="30" ht="19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918">
        <f>SUM(D30:O30)</f>
        <v/>
      </c>
      <c r="Q30" s="1178">
        <f>IF(P29=0,0,P30/P29)</f>
        <v/>
      </c>
      <c r="R30" s="1179" t="inlineStr">
        <is>
          <t xml:space="preserve"> </t>
        </is>
      </c>
      <c r="S30" s="913" t="n"/>
      <c r="T30" s="1184" t="inlineStr">
        <is>
          <t xml:space="preserve"> </t>
        </is>
      </c>
      <c r="AA30" s="707" t="n"/>
    </row>
    <row r="31" ht="19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919">
        <f>SUM(D31:O31)</f>
        <v/>
      </c>
      <c r="Q31" s="1181">
        <f>IF(P29=0,0,P31/P29)</f>
        <v/>
      </c>
      <c r="R31" s="1182" t="inlineStr">
        <is>
          <t xml:space="preserve"> </t>
        </is>
      </c>
      <c r="S31" s="913" t="n"/>
      <c r="T31" s="1184" t="inlineStr">
        <is>
          <t>t Additional sales person added to focus on Hospitality  - Real Estate both B2B and Reseller</t>
        </is>
      </c>
      <c r="AA31" s="707" t="n"/>
    </row>
    <row r="32" ht="19" customHeight="1">
      <c r="B32" s="1169" t="n"/>
      <c r="C32" s="1183" t="inlineStr">
        <is>
          <t xml:space="preserve"> </t>
        </is>
      </c>
      <c r="S32" s="913" t="n"/>
      <c r="T32" s="1184" t="n"/>
      <c r="AA32" s="707" t="n"/>
    </row>
    <row r="33" ht="19" customHeight="1" thickBot="1">
      <c r="B33" s="1169" t="n"/>
      <c r="C33" s="1185">
        <f>C13</f>
        <v/>
      </c>
      <c r="R33" s="707" t="n"/>
      <c r="S33" s="913" t="n"/>
      <c r="T33" s="1184" t="inlineStr">
        <is>
          <t>t Growth within partners ships with Development companies, i.e. CBRE or smaller entrants</t>
        </is>
      </c>
      <c r="AA33" s="707" t="n"/>
    </row>
    <row r="34" ht="19" customHeight="1" thickBot="1">
      <c r="B34" s="1169" t="n"/>
      <c r="C34" s="116" t="inlineStr">
        <is>
          <t>Licences Sold</t>
        </is>
      </c>
      <c r="D34" s="1170" t="n">
        <v>10</v>
      </c>
      <c r="E34" s="1170" t="n">
        <v>20</v>
      </c>
      <c r="F34" s="1170" t="n">
        <v>40</v>
      </c>
      <c r="G34" s="1170" t="n">
        <v>50</v>
      </c>
      <c r="H34" s="1170" t="n">
        <v>90</v>
      </c>
      <c r="I34" s="1170" t="n">
        <v>100</v>
      </c>
      <c r="J34" s="1170" t="n">
        <v>125</v>
      </c>
      <c r="K34" s="1170" t="n">
        <v>135</v>
      </c>
      <c r="L34" s="1170" t="n">
        <v>150</v>
      </c>
      <c r="M34" s="1170" t="n">
        <v>160</v>
      </c>
      <c r="N34" s="1170" t="n">
        <v>200</v>
      </c>
      <c r="O34" s="1170" t="n">
        <v>200</v>
      </c>
      <c r="P34" s="1187">
        <f>O34</f>
        <v/>
      </c>
      <c r="Q34" s="72" t="n"/>
      <c r="R34" s="318" t="n"/>
      <c r="S34" s="912" t="n">
        <v>0.03</v>
      </c>
      <c r="T34" s="1184" t="n"/>
      <c r="AA34" s="707" t="n"/>
    </row>
    <row r="35" hidden="1" ht="19" customHeight="1">
      <c r="B35" s="1169" t="n"/>
      <c r="C35" s="906" t="n"/>
      <c r="D35" s="1173">
        <f>D34*S34</f>
        <v/>
      </c>
      <c r="E35" s="1173" t="n"/>
      <c r="F35" s="1173" t="n"/>
      <c r="G35" s="1173" t="n"/>
      <c r="H35" s="1173" t="n"/>
      <c r="I35" s="1173" t="n"/>
      <c r="J35" s="1173" t="n"/>
      <c r="K35" s="1173" t="n"/>
      <c r="L35" s="1173" t="n"/>
      <c r="M35" s="1173" t="n"/>
      <c r="N35" s="1173" t="n"/>
      <c r="O35" s="1173" t="n"/>
      <c r="P35" s="1174" t="n"/>
      <c r="Q35" s="909" t="n"/>
      <c r="R35" s="910" t="n"/>
      <c r="S35" s="912" t="n"/>
      <c r="T35" s="978" t="n"/>
      <c r="U35" s="974" t="n"/>
      <c r="V35" s="974" t="n"/>
      <c r="W35" s="974" t="n"/>
      <c r="X35" s="974" t="n"/>
      <c r="Y35" s="974" t="n"/>
      <c r="Z35" s="974" t="n"/>
      <c r="AA35" s="975" t="n"/>
    </row>
    <row r="36" ht="19" customHeight="1">
      <c r="B36" s="1169" t="n"/>
      <c r="C36" s="117" t="inlineStr">
        <is>
          <t>Total Sales</t>
        </is>
      </c>
      <c r="D36" s="194">
        <f>(D34-D35)*$D$13</f>
        <v/>
      </c>
      <c r="E36" s="194">
        <f>E34*$D$13</f>
        <v/>
      </c>
      <c r="F36" s="194">
        <f>F34*$D$13</f>
        <v/>
      </c>
      <c r="G36" s="194">
        <f>G34*$D$13</f>
        <v/>
      </c>
      <c r="H36" s="194">
        <f>H34*$D$13</f>
        <v/>
      </c>
      <c r="I36" s="194">
        <f>I34*$D$13</f>
        <v/>
      </c>
      <c r="J36" s="194">
        <f>J34*$D$13</f>
        <v/>
      </c>
      <c r="K36" s="194">
        <f>K34*$D$13</f>
        <v/>
      </c>
      <c r="L36" s="194">
        <f>L34*$D$13</f>
        <v/>
      </c>
      <c r="M36" s="194">
        <f>M34*$D$13</f>
        <v/>
      </c>
      <c r="N36" s="194">
        <f>N34*$D$13</f>
        <v/>
      </c>
      <c r="O36" s="523">
        <f>O34*$D$13</f>
        <v/>
      </c>
      <c r="P36" s="319">
        <f>SUM(D36:O36)</f>
        <v/>
      </c>
      <c r="Q36" s="1175">
        <f>(Q37+Q38)</f>
        <v/>
      </c>
      <c r="R36" s="1176" t="inlineStr">
        <is>
          <t xml:space="preserve"> </t>
        </is>
      </c>
      <c r="S36" s="913" t="n"/>
      <c r="T36" s="1184" t="inlineStr">
        <is>
          <t>t Thought library usage is based on 35% of new users purhasing the thought library access</t>
        </is>
      </c>
      <c r="AA36" s="707" t="n"/>
    </row>
    <row r="37" ht="19" customHeight="1">
      <c r="B37" s="1169" t="n"/>
      <c r="C37" s="118" t="inlineStr">
        <is>
          <t>Total COGS</t>
        </is>
      </c>
      <c r="D37" s="193">
        <f>D34*$E$13</f>
        <v/>
      </c>
      <c r="E37" s="193">
        <f>E34*$E$13</f>
        <v/>
      </c>
      <c r="F37" s="193">
        <f>F34*$E$13</f>
        <v/>
      </c>
      <c r="G37" s="193">
        <f>G34*$E$13</f>
        <v/>
      </c>
      <c r="H37" s="193">
        <f>H34*$E$13</f>
        <v/>
      </c>
      <c r="I37" s="193">
        <f>I34*$E$13</f>
        <v/>
      </c>
      <c r="J37" s="193">
        <f>J34*$E$13</f>
        <v/>
      </c>
      <c r="K37" s="193">
        <f>K34*$E$13</f>
        <v/>
      </c>
      <c r="L37" s="193">
        <f>L34*$E$13</f>
        <v/>
      </c>
      <c r="M37" s="193">
        <f>M34*$E$13</f>
        <v/>
      </c>
      <c r="N37" s="193">
        <f>N34*$E$13</f>
        <v/>
      </c>
      <c r="O37" s="273">
        <f>O34*$E$13</f>
        <v/>
      </c>
      <c r="P37" s="320">
        <f>SUM(D37:O37)</f>
        <v/>
      </c>
      <c r="Q37" s="1178">
        <f>IF(P36=0,0,P37/P36)</f>
        <v/>
      </c>
      <c r="R37" s="1179" t="inlineStr">
        <is>
          <t xml:space="preserve"> </t>
        </is>
      </c>
      <c r="S37" s="913" t="n"/>
      <c r="T37" s="1184" t="n"/>
      <c r="AA37" s="707" t="n"/>
    </row>
    <row r="38" ht="19" customHeight="1" thickBot="1">
      <c r="B38" s="1169" t="n"/>
      <c r="C38" s="119" t="inlineStr">
        <is>
          <t>Total Margin</t>
        </is>
      </c>
      <c r="D38" s="68">
        <f>D36-D37</f>
        <v/>
      </c>
      <c r="E38" s="68">
        <f>E36-E37</f>
        <v/>
      </c>
      <c r="F38" s="68">
        <f>F36-F37</f>
        <v/>
      </c>
      <c r="G38" s="68">
        <f>G36-G37</f>
        <v/>
      </c>
      <c r="H38" s="68">
        <f>H36-H37</f>
        <v/>
      </c>
      <c r="I38" s="68">
        <f>I36-I37</f>
        <v/>
      </c>
      <c r="J38" s="68">
        <f>J36-J37</f>
        <v/>
      </c>
      <c r="K38" s="68">
        <f>K36-K37</f>
        <v/>
      </c>
      <c r="L38" s="68">
        <f>L36-L37</f>
        <v/>
      </c>
      <c r="M38" s="68">
        <f>M36-M37</f>
        <v/>
      </c>
      <c r="N38" s="68">
        <f>N36-N37</f>
        <v/>
      </c>
      <c r="O38" s="69">
        <f>O36-O37</f>
        <v/>
      </c>
      <c r="P38" s="321">
        <f>SUM(D38:O38)</f>
        <v/>
      </c>
      <c r="Q38" s="1181">
        <f>IF(P36=0,0,P38/P36)</f>
        <v/>
      </c>
      <c r="R38" s="1182" t="inlineStr">
        <is>
          <t xml:space="preserve"> </t>
        </is>
      </c>
      <c r="S38" s="913" t="n"/>
      <c r="T38" s="1184" t="inlineStr">
        <is>
          <t>t Consultancy as a Service based upon 25% of new users</t>
        </is>
      </c>
      <c r="AA38" s="707" t="n"/>
    </row>
    <row r="39" ht="15" customHeight="1" thickBot="1">
      <c r="B39" s="1189" t="n"/>
      <c r="C39" s="1190" t="inlineStr">
        <is>
          <t xml:space="preserve"> </t>
        </is>
      </c>
      <c r="R39" s="1191" t="n"/>
      <c r="S39" s="913" t="n"/>
      <c r="T39" s="1188" t="n"/>
      <c r="AA39" s="707" t="n"/>
    </row>
    <row r="40" ht="28" customHeight="1" thickBot="1">
      <c r="B40" s="1192" t="inlineStr">
        <is>
          <t>Real Estate</t>
        </is>
      </c>
      <c r="C40" s="1193">
        <f>C14</f>
        <v/>
      </c>
      <c r="D40" s="1145" t="n"/>
      <c r="E40" s="1145" t="n"/>
      <c r="F40" s="1145" t="n"/>
      <c r="G40" s="1145" t="n"/>
      <c r="H40" s="1145" t="n"/>
      <c r="I40" s="1145" t="n"/>
      <c r="J40" s="1145" t="n"/>
      <c r="K40" s="1145" t="n"/>
      <c r="L40" s="1145" t="n"/>
      <c r="M40" s="1145" t="n"/>
      <c r="N40" s="1145" t="n"/>
      <c r="O40" s="1145" t="n"/>
      <c r="P40" s="1145" t="n"/>
      <c r="Q40" s="1145" t="n"/>
      <c r="R40" s="705" t="n"/>
      <c r="S40" s="913" t="n"/>
      <c r="T40" s="1184" t="inlineStr">
        <is>
          <t>t ABM Build- Marketing Insights</t>
        </is>
      </c>
      <c r="AA40" s="707" t="n"/>
    </row>
    <row r="41" ht="15" customHeight="1" thickBot="1">
      <c r="B41" s="1194" t="n"/>
      <c r="C41" s="325" t="inlineStr">
        <is>
          <t>Licences Sold</t>
        </is>
      </c>
      <c r="D41" s="1170" t="n">
        <v>260</v>
      </c>
      <c r="E41" s="1170" t="n">
        <v>275</v>
      </c>
      <c r="F41" s="1170" t="n">
        <v>300</v>
      </c>
      <c r="G41" s="1170" t="n">
        <v>325</v>
      </c>
      <c r="H41" s="1261" t="n">
        <v>325</v>
      </c>
      <c r="I41" s="1170" t="n">
        <v>360</v>
      </c>
      <c r="J41" s="1170" t="n">
        <v>375</v>
      </c>
      <c r="K41" s="1170" t="n">
        <v>380</v>
      </c>
      <c r="L41" s="1170" t="n">
        <v>385</v>
      </c>
      <c r="M41" s="1170" t="n">
        <v>390</v>
      </c>
      <c r="N41" s="1170" t="n">
        <v>400</v>
      </c>
      <c r="O41" s="1170" t="n">
        <v>400</v>
      </c>
      <c r="P41" s="1187">
        <f>O41</f>
        <v/>
      </c>
      <c r="Q41" s="72" t="n"/>
      <c r="R41" s="318" t="n"/>
      <c r="S41" s="912" t="n">
        <v>0.03</v>
      </c>
      <c r="T41" s="1188" t="n"/>
      <c r="AA41" s="707" t="n"/>
    </row>
    <row r="42" hidden="1" ht="15" customHeight="1">
      <c r="B42" s="1194" t="n"/>
      <c r="C42" s="911" t="n"/>
      <c r="D42" s="1173">
        <f>D41*$S$41</f>
        <v/>
      </c>
      <c r="E42" s="1173">
        <f>E41*$S$41</f>
        <v/>
      </c>
      <c r="F42" s="1173" t="n"/>
      <c r="G42" s="1173" t="n"/>
      <c r="H42" s="1262" t="n"/>
      <c r="I42" s="1173" t="n"/>
      <c r="J42" s="1173" t="n"/>
      <c r="K42" s="1173" t="n"/>
      <c r="L42" s="1173" t="n"/>
      <c r="M42" s="1173" t="n"/>
      <c r="N42" s="1173" t="n"/>
      <c r="O42" s="1173" t="n"/>
      <c r="P42" s="1174" t="n"/>
      <c r="Q42" s="909" t="n"/>
      <c r="R42" s="910" t="n"/>
      <c r="S42" s="912" t="n"/>
      <c r="T42" s="958" t="n"/>
      <c r="U42" s="959" t="n"/>
      <c r="V42" s="959" t="n"/>
      <c r="W42" s="959" t="n"/>
      <c r="X42" s="959" t="n"/>
      <c r="Y42" s="959" t="n"/>
      <c r="Z42" s="959" t="n"/>
      <c r="AA42" s="960" t="n"/>
    </row>
    <row r="43" ht="19" customHeight="1">
      <c r="B43" s="1194" t="n"/>
      <c r="C43" s="297" t="inlineStr">
        <is>
          <t>Total Sales</t>
        </is>
      </c>
      <c r="D43" s="194">
        <f>(D41-D42)*$D$14</f>
        <v/>
      </c>
      <c r="E43" s="194">
        <f>(E41-E42)*$D$14</f>
        <v/>
      </c>
      <c r="F43" s="194">
        <f>F41*$D$14</f>
        <v/>
      </c>
      <c r="G43" s="194">
        <f>G41*$D$14</f>
        <v/>
      </c>
      <c r="H43" s="194">
        <f>H41*$D$14</f>
        <v/>
      </c>
      <c r="I43" s="194">
        <f>I41*$D$14</f>
        <v/>
      </c>
      <c r="J43" s="194">
        <f>J41*$D$14</f>
        <v/>
      </c>
      <c r="K43" s="194">
        <f>K41*$D$14</f>
        <v/>
      </c>
      <c r="L43" s="194">
        <f>L41*$D$14</f>
        <v/>
      </c>
      <c r="M43" s="194">
        <f>M41*$D$14</f>
        <v/>
      </c>
      <c r="N43" s="194">
        <f>N41*$D$14</f>
        <v/>
      </c>
      <c r="O43" s="523">
        <f>O41*$D$14</f>
        <v/>
      </c>
      <c r="P43" s="319">
        <f>SUM(D43:O43)</f>
        <v/>
      </c>
      <c r="Q43" s="1175">
        <f>(Q44+Q45)</f>
        <v/>
      </c>
      <c r="R43" s="1176" t="inlineStr">
        <is>
          <t xml:space="preserve"> </t>
        </is>
      </c>
      <c r="S43" s="913" t="n"/>
      <c r="T43" s="1188" t="n"/>
      <c r="AA43" s="707" t="n"/>
    </row>
    <row r="44" ht="19" customHeight="1">
      <c r="B44" s="1194" t="n"/>
      <c r="C44" s="299" t="inlineStr">
        <is>
          <t>Total COGS</t>
        </is>
      </c>
      <c r="D44" s="193">
        <f>D41*$E$14</f>
        <v/>
      </c>
      <c r="E44" s="193">
        <f>E41*$E$14</f>
        <v/>
      </c>
      <c r="F44" s="193">
        <f>F41*$E$14</f>
        <v/>
      </c>
      <c r="G44" s="193">
        <f>G41*$E$14</f>
        <v/>
      </c>
      <c r="H44" s="193">
        <f>H41*$E$14</f>
        <v/>
      </c>
      <c r="I44" s="193">
        <f>I41*$E$14</f>
        <v/>
      </c>
      <c r="J44" s="193">
        <f>J41*$E$14</f>
        <v/>
      </c>
      <c r="K44" s="193">
        <f>K41*$E$14</f>
        <v/>
      </c>
      <c r="L44" s="193">
        <f>L41*$E$14</f>
        <v/>
      </c>
      <c r="M44" s="193">
        <f>M41*$E$14</f>
        <v/>
      </c>
      <c r="N44" s="193">
        <f>N41*$E$14</f>
        <v/>
      </c>
      <c r="O44" s="273">
        <f>O41*$E$14</f>
        <v/>
      </c>
      <c r="P44" s="320">
        <f>SUM(D44:O44)</f>
        <v/>
      </c>
      <c r="Q44" s="1178">
        <f>IF(P43=0,0,P44/P43)</f>
        <v/>
      </c>
      <c r="R44" s="1179" t="inlineStr">
        <is>
          <t xml:space="preserve"> </t>
        </is>
      </c>
      <c r="S44" s="913" t="n"/>
      <c r="T44" s="1188" t="n"/>
      <c r="AA44" s="707" t="n"/>
    </row>
    <row r="45" ht="19" customHeight="1">
      <c r="B45" s="1194" t="n"/>
      <c r="C45" s="326" t="inlineStr">
        <is>
          <t>Total Margin</t>
        </is>
      </c>
      <c r="D45" s="68">
        <f>D43-D44</f>
        <v/>
      </c>
      <c r="E45" s="68">
        <f>E43-E44</f>
        <v/>
      </c>
      <c r="F45" s="68">
        <f>F43-F44</f>
        <v/>
      </c>
      <c r="G45" s="68">
        <f>G43-G44</f>
        <v/>
      </c>
      <c r="H45" s="68">
        <f>H43-H44</f>
        <v/>
      </c>
      <c r="I45" s="68">
        <f>I43-I44</f>
        <v/>
      </c>
      <c r="J45" s="68">
        <f>J43-J44</f>
        <v/>
      </c>
      <c r="K45" s="68">
        <f>K43-K44</f>
        <v/>
      </c>
      <c r="L45" s="68">
        <f>L43-L44</f>
        <v/>
      </c>
      <c r="M45" s="68">
        <f>M43-M44</f>
        <v/>
      </c>
      <c r="N45" s="68">
        <f>N43-N44</f>
        <v/>
      </c>
      <c r="O45" s="69">
        <f>O43-O44</f>
        <v/>
      </c>
      <c r="P45" s="320">
        <f>SUM(D45:O45)</f>
        <v/>
      </c>
      <c r="Q45" s="1178">
        <f>IF(P43=0,0,P45/P43)</f>
        <v/>
      </c>
      <c r="R45" s="1179" t="inlineStr">
        <is>
          <t xml:space="preserve"> </t>
        </is>
      </c>
      <c r="S45" s="913" t="n"/>
      <c r="T45" s="1188" t="n"/>
      <c r="AA45" s="707" t="n"/>
    </row>
    <row r="46" ht="15" customHeight="1">
      <c r="B46" s="1194" t="n"/>
      <c r="C46" s="1195" t="inlineStr">
        <is>
          <t xml:space="preserve"> </t>
        </is>
      </c>
      <c r="R46" s="707" t="n"/>
      <c r="S46" s="913" t="n"/>
      <c r="T46" s="1188" t="n"/>
      <c r="AA46" s="707" t="n"/>
    </row>
    <row r="47" ht="15" customHeight="1" thickBot="1">
      <c r="B47" s="1194" t="n"/>
      <c r="C47" s="1197">
        <f>C15</f>
        <v/>
      </c>
      <c r="R47" s="707" t="n"/>
      <c r="S47" s="913" t="n"/>
      <c r="T47" s="1196" t="n"/>
      <c r="AA47" s="707" t="n"/>
    </row>
    <row r="48" ht="15" customHeight="1" thickBot="1">
      <c r="B48" s="1194" t="n"/>
      <c r="C48" s="325" t="inlineStr">
        <is>
          <t>Licences Sold</t>
        </is>
      </c>
      <c r="D48" s="1170" t="n">
        <v>10</v>
      </c>
      <c r="E48" s="1170" t="n">
        <v>10</v>
      </c>
      <c r="F48" s="1170" t="n">
        <v>10</v>
      </c>
      <c r="G48" s="1170" t="n">
        <v>40</v>
      </c>
      <c r="H48" s="1170" t="n">
        <v>40</v>
      </c>
      <c r="I48" s="1170" t="n">
        <v>50</v>
      </c>
      <c r="J48" s="1170" t="n">
        <v>60</v>
      </c>
      <c r="K48" s="1170" t="n">
        <v>75</v>
      </c>
      <c r="L48" s="1170" t="n">
        <v>80</v>
      </c>
      <c r="M48" s="1170" t="n">
        <v>95</v>
      </c>
      <c r="N48" s="1170" t="n">
        <v>100</v>
      </c>
      <c r="O48" s="1170" t="n">
        <v>150</v>
      </c>
      <c r="P48" s="1187">
        <f>O48</f>
        <v/>
      </c>
      <c r="Q48" s="72" t="n"/>
      <c r="R48" s="318" t="inlineStr">
        <is>
          <t xml:space="preserve"> </t>
        </is>
      </c>
      <c r="S48" s="912" t="n">
        <v>0.03</v>
      </c>
      <c r="T48" s="1188" t="n"/>
      <c r="AA48" s="707" t="n"/>
    </row>
    <row r="49" hidden="1" ht="15" customHeight="1">
      <c r="B49" s="1194" t="n"/>
      <c r="C49" s="911" t="n"/>
      <c r="D49" s="1173">
        <f>D48*$S$55</f>
        <v/>
      </c>
      <c r="E49" s="1173">
        <f>E48*$S$55</f>
        <v/>
      </c>
      <c r="F49" s="1173">
        <f>F48*$S$55</f>
        <v/>
      </c>
      <c r="G49" s="1173">
        <f>G48*$S$55</f>
        <v/>
      </c>
      <c r="H49" s="1173">
        <f>H48*$S$55</f>
        <v/>
      </c>
      <c r="I49" s="1173">
        <f>I48*$S$55</f>
        <v/>
      </c>
      <c r="J49" s="1173">
        <f>J48*$S$55</f>
        <v/>
      </c>
      <c r="K49" s="1173">
        <f>K48*$S$55</f>
        <v/>
      </c>
      <c r="L49" s="1173">
        <f>L48*$S$55</f>
        <v/>
      </c>
      <c r="M49" s="1173">
        <f>M48*$S$55</f>
        <v/>
      </c>
      <c r="N49" s="1173">
        <f>N48*$S$55</f>
        <v/>
      </c>
      <c r="O49" s="1173">
        <f>O48*$S$55</f>
        <v/>
      </c>
      <c r="P49" s="1174" t="n"/>
      <c r="Q49" s="909" t="n"/>
      <c r="R49" s="910" t="n"/>
      <c r="S49" s="912" t="n"/>
      <c r="T49" s="958" t="n"/>
      <c r="U49" s="959" t="n"/>
      <c r="V49" s="959" t="n"/>
      <c r="W49" s="959" t="n"/>
      <c r="X49" s="959" t="n"/>
      <c r="Y49" s="959" t="n"/>
      <c r="Z49" s="959" t="n"/>
      <c r="AA49" s="960" t="n"/>
    </row>
    <row r="50" ht="19" customHeight="1">
      <c r="B50" s="1194" t="n"/>
      <c r="C50" s="297" t="inlineStr">
        <is>
          <t>Total Sales</t>
        </is>
      </c>
      <c r="D50" s="194">
        <f>(D48-D49)*$D$15</f>
        <v/>
      </c>
      <c r="E50" s="194">
        <f>(E48-E49)*$D$15</f>
        <v/>
      </c>
      <c r="F50" s="194">
        <f>(F48-F49)*$D$15</f>
        <v/>
      </c>
      <c r="G50" s="194">
        <f>(G48-G49)*$D$15</f>
        <v/>
      </c>
      <c r="H50" s="194">
        <f>(H48-H49)*$D$15</f>
        <v/>
      </c>
      <c r="I50" s="194">
        <f>(I48-I49)*$D$15</f>
        <v/>
      </c>
      <c r="J50" s="194">
        <f>(J48-J49)*$D$15</f>
        <v/>
      </c>
      <c r="K50" s="194">
        <f>(K48-K49)*$D$15</f>
        <v/>
      </c>
      <c r="L50" s="194">
        <f>(L48-L49)*$D$15</f>
        <v/>
      </c>
      <c r="M50" s="194">
        <f>(M48-M49)*$D$15</f>
        <v/>
      </c>
      <c r="N50" s="194">
        <f>(N48-N49)*$D$15</f>
        <v/>
      </c>
      <c r="O50" s="194">
        <f>(O48-O49)*$D$15</f>
        <v/>
      </c>
      <c r="P50" s="319">
        <f>SUM(D50:O50)</f>
        <v/>
      </c>
      <c r="Q50" s="1175">
        <f>(Q51+Q52)</f>
        <v/>
      </c>
      <c r="R50" s="1176" t="inlineStr">
        <is>
          <t xml:space="preserve"> </t>
        </is>
      </c>
      <c r="S50" s="913" t="n"/>
      <c r="T50" s="1188" t="n"/>
      <c r="AA50" s="707" t="n"/>
    </row>
    <row r="51" ht="23.25" customHeight="1">
      <c r="B51" s="1194" t="n"/>
      <c r="C51" s="299" t="inlineStr">
        <is>
          <t>Total COGS</t>
        </is>
      </c>
      <c r="D51" s="193">
        <f>D48*$E$15</f>
        <v/>
      </c>
      <c r="E51" s="193">
        <f>E48*$E$15</f>
        <v/>
      </c>
      <c r="F51" s="193">
        <f>F48*$E$15</f>
        <v/>
      </c>
      <c r="G51" s="193">
        <f>G48*$E$15</f>
        <v/>
      </c>
      <c r="H51" s="193">
        <f>H48*$E$15</f>
        <v/>
      </c>
      <c r="I51" s="193">
        <f>I48*$E$15</f>
        <v/>
      </c>
      <c r="J51" s="193">
        <f>J48*$E$15</f>
        <v/>
      </c>
      <c r="K51" s="193">
        <f>K48*$E$15</f>
        <v/>
      </c>
      <c r="L51" s="193">
        <f>L48*$E$15</f>
        <v/>
      </c>
      <c r="M51" s="193">
        <f>M48*$E$15</f>
        <v/>
      </c>
      <c r="N51" s="193">
        <f>N48*$E$15</f>
        <v/>
      </c>
      <c r="O51" s="273">
        <f>O48*$E$15</f>
        <v/>
      </c>
      <c r="P51" s="320">
        <f>SUM(D51:O51)</f>
        <v/>
      </c>
      <c r="Q51" s="1178">
        <f>IF(P50=0,0,P51/P50)</f>
        <v/>
      </c>
      <c r="R51" s="1179" t="inlineStr">
        <is>
          <t xml:space="preserve"> </t>
        </is>
      </c>
      <c r="S51" s="913" t="n"/>
      <c r="T51" s="1188" t="n"/>
      <c r="AA51" s="707" t="n"/>
    </row>
    <row r="52" ht="20" customHeight="1">
      <c r="B52" s="1194" t="n"/>
      <c r="C52" s="326" t="inlineStr">
        <is>
          <t>Total Margin</t>
        </is>
      </c>
      <c r="D52" s="68">
        <f>D50-D51</f>
        <v/>
      </c>
      <c r="E52" s="68">
        <f>E50-E51</f>
        <v/>
      </c>
      <c r="F52" s="68">
        <f>F50-F51</f>
        <v/>
      </c>
      <c r="G52" s="68">
        <f>G50-G51</f>
        <v/>
      </c>
      <c r="H52" s="68">
        <f>H50-H51</f>
        <v/>
      </c>
      <c r="I52" s="68">
        <f>I50-I51</f>
        <v/>
      </c>
      <c r="J52" s="68">
        <f>J50-J51</f>
        <v/>
      </c>
      <c r="K52" s="68">
        <f>K50-K51</f>
        <v/>
      </c>
      <c r="L52" s="68">
        <f>L50-L51</f>
        <v/>
      </c>
      <c r="M52" s="68">
        <f>M50-M51</f>
        <v/>
      </c>
      <c r="N52" s="68">
        <f>N50-N51</f>
        <v/>
      </c>
      <c r="O52" s="69">
        <f>O50-O51</f>
        <v/>
      </c>
      <c r="P52" s="320">
        <f>SUM(D52:O52)</f>
        <v/>
      </c>
      <c r="Q52" s="1178">
        <f>IF(P50=0,0,P52/P50)</f>
        <v/>
      </c>
      <c r="R52" s="1179" t="inlineStr">
        <is>
          <t xml:space="preserve"> </t>
        </is>
      </c>
      <c r="S52" s="913" t="n"/>
      <c r="T52" s="1188" t="n"/>
      <c r="AA52" s="707" t="n"/>
    </row>
    <row r="53" ht="15" customHeight="1" thickBot="1">
      <c r="B53" s="1202" t="n"/>
      <c r="C53" s="1203" t="inlineStr">
        <is>
          <t xml:space="preserve"> </t>
        </is>
      </c>
      <c r="D53" s="711" t="n"/>
      <c r="E53" s="711" t="n"/>
      <c r="F53" s="711" t="n"/>
      <c r="G53" s="711" t="n"/>
      <c r="H53" s="711" t="n"/>
      <c r="I53" s="711" t="n"/>
      <c r="J53" s="711" t="n"/>
      <c r="K53" s="711" t="n"/>
      <c r="L53" s="711" t="n"/>
      <c r="M53" s="711" t="n"/>
      <c r="N53" s="711" t="n"/>
      <c r="O53" s="711" t="n"/>
      <c r="P53" s="711" t="n"/>
      <c r="Q53" s="711" t="n"/>
      <c r="R53" s="1204" t="n"/>
      <c r="S53" s="913" t="n"/>
      <c r="T53" s="1188" t="n"/>
      <c r="AA53" s="707" t="n"/>
    </row>
    <row r="54" ht="15" customHeight="1" thickBot="1">
      <c r="B54" s="1163" t="inlineStr">
        <is>
          <t>Pharma</t>
        </is>
      </c>
      <c r="C54" s="1205">
        <f>C16</f>
        <v/>
      </c>
      <c r="R54" s="1191" t="n"/>
      <c r="S54" s="913" t="n"/>
      <c r="T54" s="1188" t="n"/>
      <c r="AA54" s="707" t="n"/>
    </row>
    <row r="55" ht="15" customHeight="1" thickBot="1">
      <c r="B55" s="1169" t="n"/>
      <c r="C55" s="116" t="inlineStr">
        <is>
          <t>Licences Sold</t>
        </is>
      </c>
      <c r="D55" s="1170" t="n">
        <v>0</v>
      </c>
      <c r="E55" s="1170" t="n">
        <v>0</v>
      </c>
      <c r="F55" s="1170" t="n">
        <v>0</v>
      </c>
      <c r="G55" s="1170" t="n">
        <v>0</v>
      </c>
      <c r="H55" s="1170" t="n">
        <v>0</v>
      </c>
      <c r="I55" s="1170" t="n">
        <v>0</v>
      </c>
      <c r="J55" s="1170" t="n">
        <v>0</v>
      </c>
      <c r="K55" s="1170" t="n">
        <v>0</v>
      </c>
      <c r="L55" s="1170" t="n">
        <v>0</v>
      </c>
      <c r="M55" s="1170" t="n">
        <v>0</v>
      </c>
      <c r="N55" s="1170" t="n">
        <v>0</v>
      </c>
      <c r="O55" s="1170" t="n">
        <v>0</v>
      </c>
      <c r="P55" s="1171">
        <f>O55</f>
        <v/>
      </c>
      <c r="Q55" s="323" t="n"/>
      <c r="R55" s="324" t="n"/>
      <c r="S55" s="912" t="n">
        <v>0.03</v>
      </c>
      <c r="T55" s="1188" t="n"/>
      <c r="AA55" s="707" t="n"/>
    </row>
    <row r="56" hidden="1" ht="15" customHeight="1">
      <c r="B56" s="1169" t="n"/>
      <c r="C56" s="906" t="n"/>
      <c r="D56" s="1173">
        <f>D55*$S$55</f>
        <v/>
      </c>
      <c r="E56" s="1173">
        <f>E55*$S$55</f>
        <v/>
      </c>
      <c r="F56" s="1173">
        <f>F55*$S$55</f>
        <v/>
      </c>
      <c r="G56" s="1173">
        <f>G55*$S$55</f>
        <v/>
      </c>
      <c r="H56" s="1173">
        <f>H55*$S$55</f>
        <v/>
      </c>
      <c r="I56" s="1173">
        <f>I55*$S$55</f>
        <v/>
      </c>
      <c r="J56" s="1173">
        <f>J55*$S$55</f>
        <v/>
      </c>
      <c r="K56" s="1173">
        <f>K55*$S$55</f>
        <v/>
      </c>
      <c r="L56" s="1173">
        <f>L55*$S$55</f>
        <v/>
      </c>
      <c r="M56" s="1173">
        <f>M55*$S$55</f>
        <v/>
      </c>
      <c r="N56" s="1173">
        <f>N55*$S$55</f>
        <v/>
      </c>
      <c r="O56" s="1173">
        <f>O55*$S$55</f>
        <v/>
      </c>
      <c r="P56" s="1174" t="n"/>
      <c r="Q56" s="909" t="n"/>
      <c r="R56" s="910" t="n"/>
      <c r="S56" s="912" t="n"/>
      <c r="T56" s="958" t="n"/>
      <c r="U56" s="959" t="n"/>
      <c r="V56" s="959" t="n"/>
      <c r="W56" s="959" t="n"/>
      <c r="X56" s="959" t="n"/>
      <c r="Y56" s="959" t="n"/>
      <c r="Z56" s="959" t="n"/>
      <c r="AA56" s="960" t="n"/>
    </row>
    <row r="57" ht="19" customHeight="1" thickBot="1">
      <c r="B57" s="1169" t="n"/>
      <c r="C57" s="117" t="inlineStr">
        <is>
          <t>Total Sales</t>
        </is>
      </c>
      <c r="D57" s="194">
        <f>(D55-D56)*$D$16</f>
        <v/>
      </c>
      <c r="E57" s="194">
        <f>(E55-E56)*$D$16</f>
        <v/>
      </c>
      <c r="F57" s="194">
        <f>(F55-F56)*$D$16</f>
        <v/>
      </c>
      <c r="G57" s="194">
        <f>(G55-G56)*$D$16</f>
        <v/>
      </c>
      <c r="H57" s="194">
        <f>(H55-H56)*$D$16</f>
        <v/>
      </c>
      <c r="I57" s="194">
        <f>(I55-I56)*$D$16</f>
        <v/>
      </c>
      <c r="J57" s="194">
        <f>(J55-J56)*$D$16</f>
        <v/>
      </c>
      <c r="K57" s="194">
        <f>(K55-K56)*$D$16</f>
        <v/>
      </c>
      <c r="L57" s="194">
        <f>(L55-L56)*$D$16</f>
        <v/>
      </c>
      <c r="M57" s="194">
        <f>(M55-M56)*$D$16</f>
        <v/>
      </c>
      <c r="N57" s="194">
        <f>(N55-N56)*$D$16</f>
        <v/>
      </c>
      <c r="O57" s="194">
        <f>(O55-O56)*$D$16</f>
        <v/>
      </c>
      <c r="P57" s="319">
        <f>SUM(D57:O57)</f>
        <v/>
      </c>
      <c r="Q57" s="1175">
        <f>(Q58+Q59)</f>
        <v/>
      </c>
      <c r="R57" s="1176" t="inlineStr">
        <is>
          <t xml:space="preserve"> </t>
        </is>
      </c>
      <c r="S57" s="913" t="n"/>
      <c r="T57" s="1206" t="n"/>
      <c r="U57" s="711" t="n"/>
      <c r="V57" s="711" t="n"/>
      <c r="W57" s="711" t="n"/>
      <c r="X57" s="711" t="n"/>
      <c r="Y57" s="711" t="n"/>
      <c r="Z57" s="711" t="n"/>
      <c r="AA57" s="1204" t="n"/>
    </row>
    <row r="58" ht="19" customHeight="1">
      <c r="B58" s="1169" t="n"/>
      <c r="C58" s="118" t="inlineStr">
        <is>
          <t>Total COGS</t>
        </is>
      </c>
      <c r="D58" s="193">
        <f>D55*$E$16</f>
        <v/>
      </c>
      <c r="E58" s="193">
        <f>E55*$E$16</f>
        <v/>
      </c>
      <c r="F58" s="193">
        <f>F55*$E$16</f>
        <v/>
      </c>
      <c r="G58" s="193">
        <f>G55*$E$16</f>
        <v/>
      </c>
      <c r="H58" s="193">
        <f>H55*$E$16</f>
        <v/>
      </c>
      <c r="I58" s="193">
        <f>I55*$E$16</f>
        <v/>
      </c>
      <c r="J58" s="193">
        <f>J55*$E$16</f>
        <v/>
      </c>
      <c r="K58" s="193">
        <f>K55*$E$16</f>
        <v/>
      </c>
      <c r="L58" s="193">
        <f>L55*$E$16</f>
        <v/>
      </c>
      <c r="M58" s="193">
        <f>M55*$E$16</f>
        <v/>
      </c>
      <c r="N58" s="193">
        <f>N55*$E$16</f>
        <v/>
      </c>
      <c r="O58" s="273">
        <f>O55*$E$16</f>
        <v/>
      </c>
      <c r="P58" s="320">
        <f>SUM(D58:O58)</f>
        <v/>
      </c>
      <c r="Q58" s="1178">
        <f>IF(P57=0,0,P58/P57)</f>
        <v/>
      </c>
      <c r="R58" s="1179" t="inlineStr">
        <is>
          <t xml:space="preserve"> </t>
        </is>
      </c>
      <c r="S58" s="913" t="n"/>
    </row>
    <row r="59" ht="20" customHeight="1" thickBot="1">
      <c r="B59" s="1169" t="n"/>
      <c r="C59" s="119" t="inlineStr">
        <is>
          <t>Total Margin</t>
        </is>
      </c>
      <c r="D59" s="68">
        <f>D57-D58</f>
        <v/>
      </c>
      <c r="E59" s="68">
        <f>E57-E58</f>
        <v/>
      </c>
      <c r="F59" s="68">
        <f>F57-F58</f>
        <v/>
      </c>
      <c r="G59" s="68">
        <f>G57-G58</f>
        <v/>
      </c>
      <c r="H59" s="68">
        <f>H57-H58</f>
        <v/>
      </c>
      <c r="I59" s="68">
        <f>I57-I58</f>
        <v/>
      </c>
      <c r="J59" s="68">
        <f>J57-J58</f>
        <v/>
      </c>
      <c r="K59" s="68">
        <f>K57-K58</f>
        <v/>
      </c>
      <c r="L59" s="68">
        <f>L57-L58</f>
        <v/>
      </c>
      <c r="M59" s="68">
        <f>M57-M58</f>
        <v/>
      </c>
      <c r="N59" s="68">
        <f>N57-N58</f>
        <v/>
      </c>
      <c r="O59" s="69">
        <f>O57-O58</f>
        <v/>
      </c>
      <c r="P59" s="321">
        <f>SUM(D59:O59)</f>
        <v/>
      </c>
      <c r="Q59" s="1181">
        <f>IF(P57=0,0,P59/P57)</f>
        <v/>
      </c>
      <c r="R59" s="1182" t="inlineStr">
        <is>
          <t xml:space="preserve"> </t>
        </is>
      </c>
      <c r="S59" s="913" t="n"/>
    </row>
    <row r="60" ht="15" customHeight="1">
      <c r="B60" s="1169" t="n"/>
      <c r="C60" s="1207" t="n"/>
      <c r="R60" s="1191" t="n"/>
      <c r="S60" s="913" t="n"/>
    </row>
    <row r="61" ht="25" customHeight="1" thickBot="1">
      <c r="B61" s="1169" t="n"/>
      <c r="C61" s="1185">
        <f>C17</f>
        <v/>
      </c>
      <c r="R61" s="707" t="n"/>
      <c r="S61" s="913" t="n"/>
    </row>
    <row r="62" ht="15" customHeight="1" thickBot="1">
      <c r="B62" s="1169" t="n"/>
      <c r="C62" s="116" t="inlineStr">
        <is>
          <t>Licences Sold</t>
        </is>
      </c>
      <c r="D62" s="1170" t="n">
        <v>0</v>
      </c>
      <c r="E62" s="1170" t="n">
        <v>0</v>
      </c>
      <c r="F62" s="1170" t="n">
        <v>0</v>
      </c>
      <c r="G62" s="1170" t="n">
        <v>0</v>
      </c>
      <c r="H62" s="1170" t="n">
        <v>0</v>
      </c>
      <c r="I62" s="1170" t="n">
        <v>0</v>
      </c>
      <c r="J62" s="1170" t="n">
        <v>0</v>
      </c>
      <c r="K62" s="1170" t="n">
        <v>0</v>
      </c>
      <c r="L62" s="1170" t="n">
        <v>0</v>
      </c>
      <c r="M62" s="1170" t="n">
        <v>0</v>
      </c>
      <c r="N62" s="1170" t="n">
        <v>0</v>
      </c>
      <c r="O62" s="1170" t="n">
        <v>0</v>
      </c>
      <c r="P62" s="1187">
        <f>O62</f>
        <v/>
      </c>
      <c r="Q62" s="72" t="n"/>
      <c r="R62" s="318" t="n"/>
      <c r="S62" s="912" t="n">
        <v>0.03</v>
      </c>
    </row>
    <row r="63" hidden="1" ht="15" customHeight="1">
      <c r="B63" s="1169" t="n"/>
      <c r="C63" s="906" t="n"/>
      <c r="D63" s="1173">
        <f>D62*$S$62</f>
        <v/>
      </c>
      <c r="E63" s="1173">
        <f>E62*$S$62</f>
        <v/>
      </c>
      <c r="F63" s="1173">
        <f>F62*$S$62</f>
        <v/>
      </c>
      <c r="G63" s="1173">
        <f>G62*$S$62</f>
        <v/>
      </c>
      <c r="H63" s="1173">
        <f>H62*$S$62</f>
        <v/>
      </c>
      <c r="I63" s="1173">
        <f>I62*$S$62</f>
        <v/>
      </c>
      <c r="J63" s="1173">
        <f>J62*$S$62</f>
        <v/>
      </c>
      <c r="K63" s="1173">
        <f>K62*$S$62</f>
        <v/>
      </c>
      <c r="L63" s="1173">
        <f>L62*$S$62</f>
        <v/>
      </c>
      <c r="M63" s="1173">
        <f>M62*$S$62</f>
        <v/>
      </c>
      <c r="N63" s="1173">
        <f>N62*$S$62</f>
        <v/>
      </c>
      <c r="O63" s="1173">
        <f>O62*$S$62</f>
        <v/>
      </c>
      <c r="P63" s="1174" t="n"/>
      <c r="Q63" s="909" t="n"/>
      <c r="R63" s="910" t="n"/>
      <c r="S63" s="913" t="n"/>
    </row>
    <row r="64" ht="15" customHeight="1">
      <c r="B64" s="1169" t="n"/>
      <c r="C64" s="117" t="inlineStr">
        <is>
          <t>Total Sales</t>
        </is>
      </c>
      <c r="D64" s="194">
        <f>(D62-D63)*$D$17</f>
        <v/>
      </c>
      <c r="E64" s="194">
        <f>E62*$D$17</f>
        <v/>
      </c>
      <c r="F64" s="194">
        <f>F62*$D$17</f>
        <v/>
      </c>
      <c r="G64" s="194">
        <f>G62*$D$17</f>
        <v/>
      </c>
      <c r="H64" s="194">
        <f>H62*$D$17</f>
        <v/>
      </c>
      <c r="I64" s="194">
        <f>I62*$D$17</f>
        <v/>
      </c>
      <c r="J64" s="194">
        <f>J62*$D$17</f>
        <v/>
      </c>
      <c r="K64" s="194">
        <f>K62*$D$17</f>
        <v/>
      </c>
      <c r="L64" s="194">
        <f>L62*$D$17</f>
        <v/>
      </c>
      <c r="M64" s="194">
        <f>M62*$D$17</f>
        <v/>
      </c>
      <c r="N64" s="194">
        <f>N62*$D$17</f>
        <v/>
      </c>
      <c r="O64" s="523">
        <f>O62*$D$17</f>
        <v/>
      </c>
      <c r="P64" s="319">
        <f>SUM(D64:O64)</f>
        <v/>
      </c>
      <c r="Q64" s="1175">
        <f>(Q65+Q66)</f>
        <v/>
      </c>
      <c r="R64" s="1176" t="inlineStr">
        <is>
          <t xml:space="preserve"> </t>
        </is>
      </c>
      <c r="S64" s="913" t="n"/>
    </row>
    <row r="65" ht="23.25" customHeight="1">
      <c r="B65" s="1169" t="n"/>
      <c r="C65" s="118" t="inlineStr">
        <is>
          <t>Total COGS</t>
        </is>
      </c>
      <c r="D65" s="193">
        <f>D62*$E$17</f>
        <v/>
      </c>
      <c r="E65" s="193">
        <f>E62*$E$17</f>
        <v/>
      </c>
      <c r="F65" s="193">
        <f>F62*$E$17</f>
        <v/>
      </c>
      <c r="G65" s="193">
        <f>G62*$E$17</f>
        <v/>
      </c>
      <c r="H65" s="193">
        <f>H62*$E$17</f>
        <v/>
      </c>
      <c r="I65" s="193">
        <f>I62*$E$17</f>
        <v/>
      </c>
      <c r="J65" s="193">
        <f>J62*$E$17</f>
        <v/>
      </c>
      <c r="K65" s="193">
        <f>K62*$E$17</f>
        <v/>
      </c>
      <c r="L65" s="193">
        <f>L62*$E$17</f>
        <v/>
      </c>
      <c r="M65" s="193">
        <f>M62*$E$17</f>
        <v/>
      </c>
      <c r="N65" s="193">
        <f>N62*$E$17</f>
        <v/>
      </c>
      <c r="O65" s="273">
        <f>O62*$E$17</f>
        <v/>
      </c>
      <c r="P65" s="320">
        <f>SUM(D65:O65)</f>
        <v/>
      </c>
      <c r="Q65" s="1178">
        <f>IF(P64=0,0,P65/P64)</f>
        <v/>
      </c>
      <c r="R65" s="1179" t="inlineStr">
        <is>
          <t xml:space="preserve"> </t>
        </is>
      </c>
      <c r="S65" s="913" t="n"/>
      <c r="T65" t="inlineStr">
        <is>
          <t xml:space="preserve"> </t>
        </is>
      </c>
    </row>
    <row r="66" ht="20" customHeight="1" thickBot="1">
      <c r="B66" s="1169" t="n"/>
      <c r="C66" s="119" t="inlineStr">
        <is>
          <t>Total Margin</t>
        </is>
      </c>
      <c r="D66" s="68">
        <f>D64-D65</f>
        <v/>
      </c>
      <c r="E66" s="68">
        <f>E64-E65</f>
        <v/>
      </c>
      <c r="F66" s="68">
        <f>F64-F65</f>
        <v/>
      </c>
      <c r="G66" s="68">
        <f>G64-G65</f>
        <v/>
      </c>
      <c r="H66" s="68">
        <f>H64-H65</f>
        <v/>
      </c>
      <c r="I66" s="68">
        <f>I64-I65</f>
        <v/>
      </c>
      <c r="J66" s="68">
        <f>J64-J65</f>
        <v/>
      </c>
      <c r="K66" s="68">
        <f>K64-K65</f>
        <v/>
      </c>
      <c r="L66" s="68">
        <f>L64-L65</f>
        <v/>
      </c>
      <c r="M66" s="68">
        <f>M64-M65</f>
        <v/>
      </c>
      <c r="N66" s="68">
        <f>N64-N65</f>
        <v/>
      </c>
      <c r="O66" s="69">
        <f>O64-O65</f>
        <v/>
      </c>
      <c r="P66" s="321">
        <f>SUM(D66:O66)</f>
        <v/>
      </c>
      <c r="Q66" s="1181">
        <f>IF(P64=0,0,P66/P64)</f>
        <v/>
      </c>
      <c r="R66" s="1182" t="inlineStr">
        <is>
          <t xml:space="preserve"> </t>
        </is>
      </c>
      <c r="S66" s="913" t="n"/>
      <c r="T66" t="inlineStr">
        <is>
          <t xml:space="preserve"> </t>
        </is>
      </c>
    </row>
    <row r="67" ht="15" customHeight="1" thickBot="1">
      <c r="B67" s="1189" t="n"/>
      <c r="C67" s="101" t="n"/>
      <c r="D67" s="340" t="n"/>
      <c r="E67" s="340" t="n"/>
      <c r="F67" s="340" t="n"/>
      <c r="G67" s="340" t="n"/>
      <c r="H67" s="340" t="n"/>
      <c r="I67" s="340" t="n"/>
      <c r="J67" s="340" t="n"/>
      <c r="K67" s="340" t="n"/>
      <c r="L67" s="340" t="n"/>
      <c r="M67" s="340" t="n"/>
      <c r="N67" s="340" t="n"/>
      <c r="O67" s="340" t="n"/>
      <c r="P67" s="103" t="n"/>
      <c r="Q67" s="1208" t="n"/>
      <c r="R67" s="1209" t="inlineStr">
        <is>
          <t xml:space="preserve"> </t>
        </is>
      </c>
      <c r="S67" s="913" t="n"/>
      <c r="T67" t="inlineStr">
        <is>
          <t xml:space="preserve"> </t>
        </is>
      </c>
    </row>
    <row r="68" ht="23" customHeight="1" thickBot="1">
      <c r="B68" s="1012" t="inlineStr">
        <is>
          <t>Start up</t>
        </is>
      </c>
      <c r="C68" s="1193">
        <f>C18</f>
        <v/>
      </c>
      <c r="D68" s="1145" t="n"/>
      <c r="E68" s="1145" t="n"/>
      <c r="F68" s="1145" t="n"/>
      <c r="G68" s="1145" t="n"/>
      <c r="H68" s="1145" t="n"/>
      <c r="I68" s="1145" t="n"/>
      <c r="J68" s="1145" t="n"/>
      <c r="K68" s="1145" t="n"/>
      <c r="L68" s="1145" t="n"/>
      <c r="M68" s="1145" t="n"/>
      <c r="N68" s="1145" t="n"/>
      <c r="O68" s="1145" t="n"/>
      <c r="P68" s="1145" t="n"/>
      <c r="Q68" s="1145" t="n"/>
      <c r="R68" s="705" t="n"/>
      <c r="S68" s="913" t="n"/>
      <c r="T68" t="inlineStr">
        <is>
          <t xml:space="preserve"> </t>
        </is>
      </c>
    </row>
    <row r="69" ht="15" customHeight="1" thickBot="1">
      <c r="B69" s="1194" t="n"/>
      <c r="C69" s="325" t="inlineStr">
        <is>
          <t>Licences Sold</t>
        </is>
      </c>
      <c r="D69" s="1170" t="n">
        <v>80</v>
      </c>
      <c r="E69" s="1170" t="n">
        <v>100</v>
      </c>
      <c r="F69" s="1170" t="n">
        <v>180</v>
      </c>
      <c r="G69" s="1170" t="n">
        <v>200</v>
      </c>
      <c r="H69" s="1170" t="n">
        <v>225</v>
      </c>
      <c r="I69" s="1170" t="n">
        <v>230</v>
      </c>
      <c r="J69" s="1170" t="n">
        <v>245</v>
      </c>
      <c r="K69" s="1170" t="n">
        <v>250</v>
      </c>
      <c r="L69" s="1170" t="n">
        <v>300</v>
      </c>
      <c r="M69" s="1170" t="n">
        <v>325</v>
      </c>
      <c r="N69" s="1170" t="n">
        <v>325</v>
      </c>
      <c r="O69" s="1170" t="n">
        <v>325</v>
      </c>
      <c r="P69" s="1187">
        <f>O69</f>
        <v/>
      </c>
      <c r="Q69" s="72" t="n"/>
      <c r="R69" s="318" t="n"/>
      <c r="S69" s="912" t="n">
        <v>0.05</v>
      </c>
      <c r="T69" t="inlineStr">
        <is>
          <t xml:space="preserve"> </t>
        </is>
      </c>
    </row>
    <row r="70" hidden="1" ht="15" customHeight="1">
      <c r="B70" s="1194" t="n"/>
      <c r="C70" s="911" t="n"/>
      <c r="D70" s="1173">
        <f>D69*$S$69</f>
        <v/>
      </c>
      <c r="E70" s="1173">
        <f>E69*$S$69</f>
        <v/>
      </c>
      <c r="F70" s="1173">
        <f>F69*$S$69</f>
        <v/>
      </c>
      <c r="G70" s="1173">
        <f>G69*$S$69</f>
        <v/>
      </c>
      <c r="H70" s="1173">
        <f>H69*$S$69</f>
        <v/>
      </c>
      <c r="I70" s="1173">
        <f>I69*$S$69</f>
        <v/>
      </c>
      <c r="J70" s="1173">
        <f>J69*$S$69</f>
        <v/>
      </c>
      <c r="K70" s="1173">
        <f>K69*$S$69</f>
        <v/>
      </c>
      <c r="L70" s="1173">
        <f>L69*$S$69</f>
        <v/>
      </c>
      <c r="M70" s="1173">
        <f>M69*$S$69</f>
        <v/>
      </c>
      <c r="N70" s="1173">
        <f>N69*$S$69</f>
        <v/>
      </c>
      <c r="O70" s="1173">
        <f>O69*$S$69</f>
        <v/>
      </c>
      <c r="P70" s="1174" t="n"/>
      <c r="Q70" s="909" t="n"/>
      <c r="R70" s="910" t="n"/>
      <c r="S70" s="912" t="n"/>
    </row>
    <row r="71" ht="15" customHeight="1">
      <c r="B71" s="1194" t="n"/>
      <c r="C71" s="297" t="inlineStr">
        <is>
          <t>Total Sales</t>
        </is>
      </c>
      <c r="D71" s="194">
        <f>(D69-D70)*$D$18</f>
        <v/>
      </c>
      <c r="E71" s="194">
        <f>(E69-E70)*$D$18</f>
        <v/>
      </c>
      <c r="F71" s="194">
        <f>(F69-F70)*$D$18</f>
        <v/>
      </c>
      <c r="G71" s="194">
        <f>(G69-G70)*$D$18</f>
        <v/>
      </c>
      <c r="H71" s="194">
        <f>(H69-H70)*$D$18</f>
        <v/>
      </c>
      <c r="I71" s="194">
        <f>(I69-I70)*$D$18</f>
        <v/>
      </c>
      <c r="J71" s="194">
        <f>(J69-J70)*$D$18</f>
        <v/>
      </c>
      <c r="K71" s="194">
        <f>(K69-K70)*$D$18</f>
        <v/>
      </c>
      <c r="L71" s="194">
        <f>(L69-L70)*$D$18</f>
        <v/>
      </c>
      <c r="M71" s="194">
        <f>(M69-M70)*$D$18</f>
        <v/>
      </c>
      <c r="N71" s="194">
        <f>(N69-N70)*$D$18</f>
        <v/>
      </c>
      <c r="O71" s="194">
        <f>(O69-O70)*$D$18</f>
        <v/>
      </c>
      <c r="P71" s="319">
        <f>SUM(D71:O71)</f>
        <v/>
      </c>
      <c r="Q71" s="1175">
        <f>(Q72+Q73)</f>
        <v/>
      </c>
      <c r="R71" s="1176" t="inlineStr">
        <is>
          <t xml:space="preserve"> </t>
        </is>
      </c>
      <c r="S71" s="913" t="n"/>
      <c r="T71" t="inlineStr">
        <is>
          <t xml:space="preserve"> </t>
        </is>
      </c>
    </row>
    <row r="72" ht="19" customHeight="1">
      <c r="B72" s="1194" t="n"/>
      <c r="C72" s="299" t="inlineStr">
        <is>
          <t>Total COGS</t>
        </is>
      </c>
      <c r="D72" s="193">
        <f>D69*$E$18</f>
        <v/>
      </c>
      <c r="E72" s="193">
        <f>E69*$E$18</f>
        <v/>
      </c>
      <c r="F72" s="193">
        <f>F69*$E$18</f>
        <v/>
      </c>
      <c r="G72" s="193">
        <f>G69*$E$18</f>
        <v/>
      </c>
      <c r="H72" s="193">
        <f>H69*$E$18</f>
        <v/>
      </c>
      <c r="I72" s="193">
        <f>I69*$E$18</f>
        <v/>
      </c>
      <c r="J72" s="193">
        <f>J69*$E$18</f>
        <v/>
      </c>
      <c r="K72" s="193">
        <f>K69*$E$18</f>
        <v/>
      </c>
      <c r="L72" s="193">
        <f>L69*$E$18</f>
        <v/>
      </c>
      <c r="M72" s="193">
        <f>M69*$E$18</f>
        <v/>
      </c>
      <c r="N72" s="193">
        <f>N69*$E$18</f>
        <v/>
      </c>
      <c r="O72" s="273">
        <f>O69*$E$18</f>
        <v/>
      </c>
      <c r="P72" s="320">
        <f>SUM(D72:O72)</f>
        <v/>
      </c>
      <c r="Q72" s="1178">
        <f>IF(P71=0,0,P72/P71)</f>
        <v/>
      </c>
      <c r="R72" s="1179" t="inlineStr">
        <is>
          <t xml:space="preserve"> </t>
        </is>
      </c>
      <c r="S72" s="913" t="n"/>
      <c r="T72" t="inlineStr">
        <is>
          <t xml:space="preserve"> </t>
        </is>
      </c>
    </row>
    <row r="73" ht="20" customHeight="1" thickBot="1">
      <c r="B73" s="1194" t="n"/>
      <c r="C73" s="326" t="inlineStr">
        <is>
          <t>Total Margin</t>
        </is>
      </c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9">
        <f>O71-O72</f>
        <v/>
      </c>
      <c r="P73" s="321">
        <f>SUM(D73:O73)</f>
        <v/>
      </c>
      <c r="Q73" s="1181">
        <f>IF(P71=0,0,P73/P71)</f>
        <v/>
      </c>
      <c r="R73" s="1182" t="inlineStr">
        <is>
          <t xml:space="preserve"> </t>
        </is>
      </c>
      <c r="S73" s="913" t="n"/>
    </row>
    <row r="74" ht="15" customHeight="1">
      <c r="B74" s="1194" t="n"/>
      <c r="C74" s="1211" t="n"/>
      <c r="R74" s="707" t="n"/>
      <c r="S74" s="913" t="n"/>
    </row>
    <row r="75" ht="23" customHeight="1" thickBot="1">
      <c r="B75" s="1194" t="n"/>
      <c r="C75" s="1197">
        <f>C19</f>
        <v/>
      </c>
      <c r="R75" s="707" t="n"/>
      <c r="S75" s="913" t="n"/>
    </row>
    <row r="76" ht="15" customHeight="1" thickBot="1">
      <c r="B76" s="1194" t="n"/>
      <c r="C76" s="325" t="inlineStr">
        <is>
          <t>Licences Sold</t>
        </is>
      </c>
      <c r="D76" s="1170" t="n">
        <v>0</v>
      </c>
      <c r="E76" s="1170" t="n">
        <v>0</v>
      </c>
      <c r="F76" s="1170" t="n">
        <v>0</v>
      </c>
      <c r="G76" s="1170" t="n">
        <v>0</v>
      </c>
      <c r="H76" s="1170" t="n">
        <v>0</v>
      </c>
      <c r="I76" s="1170" t="n">
        <v>0</v>
      </c>
      <c r="J76" s="1170" t="n">
        <v>0</v>
      </c>
      <c r="K76" s="1170" t="n">
        <v>0</v>
      </c>
      <c r="L76" s="1170" t="n">
        <v>0</v>
      </c>
      <c r="M76" s="1170" t="n">
        <v>0</v>
      </c>
      <c r="N76" s="1170" t="n">
        <v>0</v>
      </c>
      <c r="O76" s="1170" t="n">
        <v>0</v>
      </c>
      <c r="P76" s="1187">
        <f>O76</f>
        <v/>
      </c>
      <c r="Q76" s="72" t="n"/>
      <c r="R76" s="318" t="n"/>
      <c r="S76" s="912" t="n">
        <v>0.05</v>
      </c>
    </row>
    <row r="77" hidden="1" ht="15" customHeight="1">
      <c r="B77" s="1194" t="n"/>
      <c r="C77" s="911" t="n"/>
      <c r="D77" s="1173">
        <f>D76*S76</f>
        <v/>
      </c>
      <c r="E77" s="1173">
        <f>E76*T76</f>
        <v/>
      </c>
      <c r="F77" s="1173">
        <f>F76*U76</f>
        <v/>
      </c>
      <c r="G77" s="1173">
        <f>G76*V76</f>
        <v/>
      </c>
      <c r="H77" s="1173">
        <f>H76*W76</f>
        <v/>
      </c>
      <c r="I77" s="1173">
        <f>I76*X76</f>
        <v/>
      </c>
      <c r="J77" s="1173">
        <f>J76*Y76</f>
        <v/>
      </c>
      <c r="K77" s="1173">
        <f>K76*Z76</f>
        <v/>
      </c>
      <c r="L77" s="1173">
        <f>L76*AA76</f>
        <v/>
      </c>
      <c r="M77" s="1173">
        <f>M76*AB76</f>
        <v/>
      </c>
      <c r="N77" s="1173">
        <f>N76*AC76</f>
        <v/>
      </c>
      <c r="O77" s="1173">
        <f>O76*AD76</f>
        <v/>
      </c>
      <c r="P77" s="1174" t="n"/>
      <c r="Q77" s="909" t="n"/>
      <c r="R77" s="910" t="n"/>
      <c r="S77" s="912" t="n"/>
    </row>
    <row r="78" ht="15" customHeight="1">
      <c r="B78" s="1194" t="n"/>
      <c r="C78" s="297" t="inlineStr">
        <is>
          <t>Total Sales</t>
        </is>
      </c>
      <c r="D78" s="194">
        <f>(D76-D77)*$D$19</f>
        <v/>
      </c>
      <c r="E78" s="193">
        <f>E76*$D$19</f>
        <v/>
      </c>
      <c r="F78" s="193">
        <f>F76*$D$19</f>
        <v/>
      </c>
      <c r="G78" s="193">
        <f>G76*$D$19</f>
        <v/>
      </c>
      <c r="H78" s="193">
        <f>H76*$D$19</f>
        <v/>
      </c>
      <c r="I78" s="193">
        <f>I76*$D$19</f>
        <v/>
      </c>
      <c r="J78" s="193">
        <f>J76*$D$19</f>
        <v/>
      </c>
      <c r="K78" s="193">
        <f>K76*$D$19</f>
        <v/>
      </c>
      <c r="L78" s="193">
        <f>L76*$D$19</f>
        <v/>
      </c>
      <c r="M78" s="193">
        <f>M76*$D$19</f>
        <v/>
      </c>
      <c r="N78" s="193">
        <f>N76*$D$19</f>
        <v/>
      </c>
      <c r="O78" s="273">
        <f>O76*$D$19</f>
        <v/>
      </c>
      <c r="P78" s="319">
        <f>SUM(D78:O78)</f>
        <v/>
      </c>
      <c r="Q78" s="1175">
        <f>(Q79+Q80)</f>
        <v/>
      </c>
      <c r="R78" s="1176" t="inlineStr">
        <is>
          <t xml:space="preserve"> </t>
        </is>
      </c>
      <c r="S78" s="913" t="n"/>
    </row>
    <row r="79" ht="19" customHeight="1">
      <c r="B79" s="1194" t="n"/>
      <c r="C79" s="299" t="inlineStr">
        <is>
          <t>Total COGS</t>
        </is>
      </c>
      <c r="D79" s="193">
        <f>D76*$E$19</f>
        <v/>
      </c>
      <c r="E79" s="193">
        <f>E76*$E$19</f>
        <v/>
      </c>
      <c r="F79" s="193">
        <f>F76*$E$19</f>
        <v/>
      </c>
      <c r="G79" s="193">
        <f>G76*$E$19</f>
        <v/>
      </c>
      <c r="H79" s="193">
        <f>H76*$E$19</f>
        <v/>
      </c>
      <c r="I79" s="193">
        <f>I76*$E$19</f>
        <v/>
      </c>
      <c r="J79" s="193">
        <f>J76*$E$19</f>
        <v/>
      </c>
      <c r="K79" s="193">
        <f>K76*$E$19</f>
        <v/>
      </c>
      <c r="L79" s="193">
        <f>L76*$E$19</f>
        <v/>
      </c>
      <c r="M79" s="193">
        <f>M76*$E$19</f>
        <v/>
      </c>
      <c r="N79" s="193">
        <f>N76*$E$19</f>
        <v/>
      </c>
      <c r="O79" s="273">
        <f>O76*$E$19</f>
        <v/>
      </c>
      <c r="P79" s="320">
        <f>SUM(D79:O79)</f>
        <v/>
      </c>
      <c r="Q79" s="1178">
        <f>IF(P78=0,0,P79/P78)</f>
        <v/>
      </c>
      <c r="R79" s="1179" t="inlineStr">
        <is>
          <t xml:space="preserve"> </t>
        </is>
      </c>
      <c r="S79" s="913" t="n"/>
    </row>
    <row r="80" ht="23.25" customHeight="1" thickBot="1">
      <c r="B80" s="1194" t="n"/>
      <c r="C80" s="301" t="inlineStr">
        <is>
          <t>Total Margin</t>
        </is>
      </c>
      <c r="D80" s="308">
        <f>D78-D79</f>
        <v/>
      </c>
      <c r="E80" s="308">
        <f>E78-E79</f>
        <v/>
      </c>
      <c r="F80" s="308">
        <f>F78-F79</f>
        <v/>
      </c>
      <c r="G80" s="308">
        <f>G78-G79</f>
        <v/>
      </c>
      <c r="H80" s="308">
        <f>H78-H79</f>
        <v/>
      </c>
      <c r="I80" s="308">
        <f>I78-I79</f>
        <v/>
      </c>
      <c r="J80" s="308">
        <f>J78-J79</f>
        <v/>
      </c>
      <c r="K80" s="308">
        <f>K78-K79</f>
        <v/>
      </c>
      <c r="L80" s="308">
        <f>L78-L79</f>
        <v/>
      </c>
      <c r="M80" s="308">
        <f>M78-M79</f>
        <v/>
      </c>
      <c r="N80" s="308">
        <f>N78-N79</f>
        <v/>
      </c>
      <c r="O80" s="532">
        <f>O78-O79</f>
        <v/>
      </c>
      <c r="P80" s="321">
        <f>SUM(D80:O80)</f>
        <v/>
      </c>
      <c r="Q80" s="1181">
        <f>IF(P78=0,0,P80/P78)</f>
        <v/>
      </c>
      <c r="R80" s="1182" t="inlineStr">
        <is>
          <t xml:space="preserve"> </t>
        </is>
      </c>
      <c r="S80" s="913" t="n"/>
    </row>
    <row r="81" ht="20" customHeight="1">
      <c r="B81" s="1018" t="inlineStr">
        <is>
          <t xml:space="preserve"> </t>
        </is>
      </c>
    </row>
    <row r="82" ht="15" customHeight="1">
      <c r="B82" s="129" t="n"/>
      <c r="C82" s="207" t="n"/>
      <c r="D82" s="207" t="n"/>
      <c r="E82" s="207" t="n"/>
      <c r="F82" s="207" t="n"/>
      <c r="G82" s="207" t="inlineStr">
        <is>
          <t xml:space="preserve"> </t>
        </is>
      </c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</row>
    <row r="83" ht="15" customHeight="1" thickBot="1">
      <c r="B83" s="1005" t="inlineStr">
        <is>
          <t>Consultancy / Training</t>
        </is>
      </c>
      <c r="C83" s="1185">
        <f>C21</f>
        <v/>
      </c>
      <c r="R83" s="707" t="n"/>
    </row>
    <row r="84" ht="15" customHeight="1" thickBot="1">
      <c r="B84" s="1169" t="n"/>
      <c r="C84" s="116" t="inlineStr">
        <is>
          <t>Access Sold</t>
        </is>
      </c>
      <c r="D84" s="1170">
        <f>D175*0.35</f>
        <v/>
      </c>
      <c r="E84" s="1170">
        <f>E175*0.35</f>
        <v/>
      </c>
      <c r="F84" s="1170">
        <f>F175*0.35</f>
        <v/>
      </c>
      <c r="G84" s="1170">
        <f>G175*0.35</f>
        <v/>
      </c>
      <c r="H84" s="1170">
        <f>H175*0.35</f>
        <v/>
      </c>
      <c r="I84" s="1170">
        <f>I175*0.35</f>
        <v/>
      </c>
      <c r="J84" s="1170">
        <f>J175*0.35</f>
        <v/>
      </c>
      <c r="K84" s="1170">
        <f>K175*0.35</f>
        <v/>
      </c>
      <c r="L84" s="1170">
        <f>L175*0.35</f>
        <v/>
      </c>
      <c r="M84" s="1170">
        <f>M175*0.35</f>
        <v/>
      </c>
      <c r="N84" s="1170">
        <f>N175*0.35</f>
        <v/>
      </c>
      <c r="O84" s="1170">
        <f>O175*0.35</f>
        <v/>
      </c>
      <c r="P84" s="322" t="n"/>
      <c r="Q84" s="323" t="n"/>
      <c r="R84" s="324" t="n"/>
    </row>
    <row r="85" ht="15" customHeight="1">
      <c r="B85" s="1169" t="n"/>
      <c r="C85" s="117" t="inlineStr">
        <is>
          <t>Total Sales</t>
        </is>
      </c>
      <c r="D85" s="194">
        <f>D84*$D$21</f>
        <v/>
      </c>
      <c r="E85" s="194">
        <f>E84*$D$21</f>
        <v/>
      </c>
      <c r="F85" s="194">
        <f>F84*$D$21</f>
        <v/>
      </c>
      <c r="G85" s="194">
        <f>G84*$D$21</f>
        <v/>
      </c>
      <c r="H85" s="194">
        <f>H84*$D$21</f>
        <v/>
      </c>
      <c r="I85" s="194">
        <f>I84*$D$21</f>
        <v/>
      </c>
      <c r="J85" s="194">
        <f>J84*$D$21</f>
        <v/>
      </c>
      <c r="K85" s="194">
        <f>K84*$D$21</f>
        <v/>
      </c>
      <c r="L85" s="194">
        <f>L84*$D$21</f>
        <v/>
      </c>
      <c r="M85" s="194">
        <f>M84*$D$21</f>
        <v/>
      </c>
      <c r="N85" s="194">
        <f>N84*$D$21</f>
        <v/>
      </c>
      <c r="O85" s="523">
        <f>O84*$D$21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1169" t="n"/>
      <c r="C86" s="118" t="inlineStr">
        <is>
          <t>Total COGS</t>
        </is>
      </c>
      <c r="D86" s="107">
        <f>D84*$E$21</f>
        <v/>
      </c>
      <c r="E86" s="107">
        <f>E84*$E$21</f>
        <v/>
      </c>
      <c r="F86" s="107">
        <f>F84*$E$21</f>
        <v/>
      </c>
      <c r="G86" s="107">
        <f>G84*$E$21</f>
        <v/>
      </c>
      <c r="H86" s="107">
        <f>H84*$E$21</f>
        <v/>
      </c>
      <c r="I86" s="107">
        <f>I84*$E$21</f>
        <v/>
      </c>
      <c r="J86" s="107">
        <f>J84*$E$21</f>
        <v/>
      </c>
      <c r="K86" s="107">
        <f>K84*$E$21</f>
        <v/>
      </c>
      <c r="L86" s="107">
        <f>L84*$E$21</f>
        <v/>
      </c>
      <c r="M86" s="107">
        <f>M84*$E$21</f>
        <v/>
      </c>
      <c r="N86" s="107">
        <f>N84*$E$21</f>
        <v/>
      </c>
      <c r="O86" s="316">
        <f>O84*$E$21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9" customHeight="1" thickBot="1">
      <c r="B87" s="116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15" customHeight="1">
      <c r="B88" s="1169" t="n"/>
      <c r="C88" s="1190" t="inlineStr">
        <is>
          <t xml:space="preserve"> </t>
        </is>
      </c>
      <c r="R88" s="1191" t="n"/>
    </row>
    <row r="89" ht="15" customHeight="1" thickBot="1">
      <c r="B89" s="1169" t="n"/>
      <c r="C89" s="1185">
        <f>C22</f>
        <v/>
      </c>
      <c r="R89" s="707" t="n"/>
    </row>
    <row r="90" ht="15" customHeight="1" thickBot="1">
      <c r="B90" s="1169" t="n"/>
      <c r="C90" s="116" t="inlineStr">
        <is>
          <t>Hours Sold</t>
        </is>
      </c>
      <c r="D90" s="1170">
        <f>D175*0.25</f>
        <v/>
      </c>
      <c r="E90" s="1170">
        <f>E175*0.25</f>
        <v/>
      </c>
      <c r="F90" s="1170">
        <f>F175*0.25</f>
        <v/>
      </c>
      <c r="G90" s="1170">
        <f>G175*0.25</f>
        <v/>
      </c>
      <c r="H90" s="1170">
        <f>H175*0.25</f>
        <v/>
      </c>
      <c r="I90" s="1170">
        <f>I175*0.25</f>
        <v/>
      </c>
      <c r="J90" s="1170">
        <f>J175*0.25</f>
        <v/>
      </c>
      <c r="K90" s="1170">
        <f>K175*0.25</f>
        <v/>
      </c>
      <c r="L90" s="1170">
        <f>L175*0.25</f>
        <v/>
      </c>
      <c r="M90" s="1170">
        <f>M175*0.25</f>
        <v/>
      </c>
      <c r="N90" s="1170">
        <f>N175*0.25</f>
        <v/>
      </c>
      <c r="O90" s="1170">
        <f>O175*0.25</f>
        <v/>
      </c>
      <c r="P90" s="317" t="n"/>
      <c r="Q90" s="72" t="n"/>
      <c r="R90" s="318" t="n"/>
    </row>
    <row r="91" ht="15" customHeight="1">
      <c r="B91" s="1169" t="n"/>
      <c r="C91" s="117" t="inlineStr">
        <is>
          <t>Total Sales</t>
        </is>
      </c>
      <c r="D91" s="194">
        <f>D90*$D$22</f>
        <v/>
      </c>
      <c r="E91" s="194">
        <f>E90*$D$22</f>
        <v/>
      </c>
      <c r="F91" s="194">
        <f>F90*$D$22</f>
        <v/>
      </c>
      <c r="G91" s="194">
        <f>G90*$D$22</f>
        <v/>
      </c>
      <c r="H91" s="194">
        <f>H90*$D$22</f>
        <v/>
      </c>
      <c r="I91" s="194">
        <f>I90*$D$22</f>
        <v/>
      </c>
      <c r="J91" s="194">
        <f>J90*$D$22</f>
        <v/>
      </c>
      <c r="K91" s="194">
        <f>K90*$D$22</f>
        <v/>
      </c>
      <c r="L91" s="194">
        <f>L90*$D$22</f>
        <v/>
      </c>
      <c r="M91" s="194">
        <f>M90*$D$22</f>
        <v/>
      </c>
      <c r="N91" s="194">
        <f>N90*$D$22</f>
        <v/>
      </c>
      <c r="O91" s="523">
        <f>O90*$D$22</f>
        <v/>
      </c>
      <c r="P91" s="319">
        <f>SUM(D91:O91)</f>
        <v/>
      </c>
      <c r="Q91" s="1175">
        <f>(Q92+Q93)</f>
        <v/>
      </c>
      <c r="R91" s="1176" t="inlineStr">
        <is>
          <t xml:space="preserve"> </t>
        </is>
      </c>
    </row>
    <row r="92" ht="18" customHeight="1">
      <c r="B92" s="1169" t="n"/>
      <c r="C92" s="118" t="inlineStr">
        <is>
          <t>Total COGS</t>
        </is>
      </c>
      <c r="D92" s="107">
        <f>D90*$E$22</f>
        <v/>
      </c>
      <c r="E92" s="107">
        <f>E90*$E$22</f>
        <v/>
      </c>
      <c r="F92" s="107">
        <f>F90*$E$22</f>
        <v/>
      </c>
      <c r="G92" s="107">
        <f>G90*$E$22</f>
        <v/>
      </c>
      <c r="H92" s="107">
        <f>H90*$E$22</f>
        <v/>
      </c>
      <c r="I92" s="107">
        <f>I90*$E$22</f>
        <v/>
      </c>
      <c r="J92" s="107">
        <f>J90*$E$22</f>
        <v/>
      </c>
      <c r="K92" s="107">
        <f>K90*$E$22</f>
        <v/>
      </c>
      <c r="L92" s="107">
        <f>L90*$E$22</f>
        <v/>
      </c>
      <c r="M92" s="107">
        <f>M90*$E$22</f>
        <v/>
      </c>
      <c r="N92" s="107">
        <f>N90*$E$22</f>
        <v/>
      </c>
      <c r="O92" s="316">
        <f>O90*$E$22</f>
        <v/>
      </c>
      <c r="P92" s="320">
        <f>SUM(D92:O92)</f>
        <v/>
      </c>
      <c r="Q92" s="1178">
        <f>IF(P91=0,0,P92/P91)</f>
        <v/>
      </c>
      <c r="R92" s="1179" t="inlineStr">
        <is>
          <t xml:space="preserve"> </t>
        </is>
      </c>
    </row>
    <row r="93" ht="15" customHeight="1" thickBot="1">
      <c r="B93" s="1169" t="n"/>
      <c r="C93" s="119" t="inlineStr">
        <is>
          <t>Total Margin</t>
        </is>
      </c>
      <c r="D93" s="68">
        <f>D91-D92</f>
        <v/>
      </c>
      <c r="E93" s="68">
        <f>E91-E92</f>
        <v/>
      </c>
      <c r="F93" s="68">
        <f>F91-F92</f>
        <v/>
      </c>
      <c r="G93" s="68">
        <f>G91-G92</f>
        <v/>
      </c>
      <c r="H93" s="68">
        <f>H91-H92</f>
        <v/>
      </c>
      <c r="I93" s="68">
        <f>I91-I92</f>
        <v/>
      </c>
      <c r="J93" s="68">
        <f>J91-J92</f>
        <v/>
      </c>
      <c r="K93" s="68">
        <f>K91-K92</f>
        <v/>
      </c>
      <c r="L93" s="68">
        <f>L91-L92</f>
        <v/>
      </c>
      <c r="M93" s="68">
        <f>M91-M92</f>
        <v/>
      </c>
      <c r="N93" s="68">
        <f>N91-N92</f>
        <v/>
      </c>
      <c r="O93" s="69">
        <f>O91-O92</f>
        <v/>
      </c>
      <c r="P93" s="321">
        <f>SUM(D93:O93)</f>
        <v/>
      </c>
      <c r="Q93" s="1181">
        <f>IF(P91=0,0,P93/P91)</f>
        <v/>
      </c>
      <c r="R93" s="1182" t="inlineStr">
        <is>
          <t xml:space="preserve"> </t>
        </is>
      </c>
    </row>
    <row r="94" ht="15" customHeight="1">
      <c r="B94" s="1169" t="n"/>
      <c r="C94" s="1190" t="inlineStr">
        <is>
          <t xml:space="preserve"> </t>
        </is>
      </c>
      <c r="R94" s="1191" t="n"/>
    </row>
    <row r="95" ht="15" customHeight="1">
      <c r="B95" s="1169" t="n"/>
      <c r="C95" s="1185" t="inlineStr">
        <is>
          <t>Total Training Consultancy</t>
        </is>
      </c>
      <c r="R95" s="707" t="n"/>
    </row>
    <row r="96" ht="18" customHeight="1">
      <c r="B96" s="1169" t="n"/>
      <c r="C96" s="117" t="inlineStr">
        <is>
          <t>Total Sales</t>
        </is>
      </c>
      <c r="D96" s="194">
        <f>D91+D85</f>
        <v/>
      </c>
      <c r="E96" s="194">
        <f>E91+E85</f>
        <v/>
      </c>
      <c r="F96" s="194">
        <f>F91+F85</f>
        <v/>
      </c>
      <c r="G96" s="194">
        <f>G91+G85</f>
        <v/>
      </c>
      <c r="H96" s="194">
        <f>H91+H85</f>
        <v/>
      </c>
      <c r="I96" s="194">
        <f>I91+I85</f>
        <v/>
      </c>
      <c r="J96" s="194">
        <f>J91+J85</f>
        <v/>
      </c>
      <c r="K96" s="194">
        <f>K91+K85</f>
        <v/>
      </c>
      <c r="L96" s="194">
        <f>L91+L85</f>
        <v/>
      </c>
      <c r="M96" s="194">
        <f>M91+M85</f>
        <v/>
      </c>
      <c r="N96" s="194">
        <f>N91+N85</f>
        <v/>
      </c>
      <c r="O96" s="523">
        <f>O91+O85</f>
        <v/>
      </c>
      <c r="P96" s="319">
        <f>SUM(D96:O96)</f>
        <v/>
      </c>
      <c r="Q96" s="1175">
        <f>(Q97+Q98)</f>
        <v/>
      </c>
      <c r="R96" s="1176" t="inlineStr">
        <is>
          <t xml:space="preserve"> </t>
        </is>
      </c>
    </row>
    <row r="97" ht="23.25" customHeight="1">
      <c r="B97" s="1169" t="n"/>
      <c r="C97" s="118" t="inlineStr">
        <is>
          <t>Total COGS</t>
        </is>
      </c>
      <c r="D97" s="193">
        <f>D92+D86</f>
        <v/>
      </c>
      <c r="E97" s="193">
        <f>E92+E86</f>
        <v/>
      </c>
      <c r="F97" s="193">
        <f>F92+F86</f>
        <v/>
      </c>
      <c r="G97" s="193">
        <f>G92+G86</f>
        <v/>
      </c>
      <c r="H97" s="193">
        <f>H92+H86</f>
        <v/>
      </c>
      <c r="I97" s="193">
        <f>I92+I86</f>
        <v/>
      </c>
      <c r="J97" s="193">
        <f>J92+J86</f>
        <v/>
      </c>
      <c r="K97" s="193">
        <f>K92+K86</f>
        <v/>
      </c>
      <c r="L97" s="193">
        <f>L92+L86</f>
        <v/>
      </c>
      <c r="M97" s="193">
        <f>M92+M86</f>
        <v/>
      </c>
      <c r="N97" s="193">
        <f>N92+N86</f>
        <v/>
      </c>
      <c r="O97" s="273">
        <f>O92+O86</f>
        <v/>
      </c>
      <c r="P97" s="320">
        <f>SUM(D97:O97)</f>
        <v/>
      </c>
      <c r="Q97" s="1178">
        <f>IF(P96=0,0,P97/P96)</f>
        <v/>
      </c>
      <c r="R97" s="1179" t="inlineStr">
        <is>
          <t xml:space="preserve"> </t>
        </is>
      </c>
    </row>
    <row r="98" ht="20" customHeight="1" thickBot="1">
      <c r="B98" s="1169" t="n"/>
      <c r="C98" s="119" t="inlineStr">
        <is>
          <t>Total Margin</t>
        </is>
      </c>
      <c r="D98" s="68">
        <f>D96-D97</f>
        <v/>
      </c>
      <c r="E98" s="68">
        <f>E96-E97</f>
        <v/>
      </c>
      <c r="F98" s="68">
        <f>F96-F97</f>
        <v/>
      </c>
      <c r="G98" s="68">
        <f>G96-G97</f>
        <v/>
      </c>
      <c r="H98" s="68">
        <f>H96-H97</f>
        <v/>
      </c>
      <c r="I98" s="68">
        <f>I96-I97</f>
        <v/>
      </c>
      <c r="J98" s="68">
        <f>J96-J97</f>
        <v/>
      </c>
      <c r="K98" s="68">
        <f>K96-K97</f>
        <v/>
      </c>
      <c r="L98" s="68">
        <f>L96-L97</f>
        <v/>
      </c>
      <c r="M98" s="68">
        <f>M96-M97</f>
        <v/>
      </c>
      <c r="N98" s="68">
        <f>N96-N97</f>
        <v/>
      </c>
      <c r="O98" s="69">
        <f>O96-O97</f>
        <v/>
      </c>
      <c r="P98" s="321">
        <f>SUM(D98:O98)</f>
        <v/>
      </c>
      <c r="Q98" s="1181">
        <f>IF(P96=0,0,P98/P96)</f>
        <v/>
      </c>
      <c r="R98" s="1182" t="inlineStr">
        <is>
          <t xml:space="preserve"> </t>
        </is>
      </c>
    </row>
    <row r="99" ht="19" customHeight="1" thickBot="1">
      <c r="B99" s="272" t="n"/>
      <c r="C99" s="289" t="n"/>
      <c r="D99" s="290">
        <f>D76+D69+D62+D55+D48+D41+D34+D27</f>
        <v/>
      </c>
      <c r="E99" s="290">
        <f>E76+E69+E62+E55+E48+E41+E34+E27</f>
        <v/>
      </c>
      <c r="F99" s="290">
        <f>F76+F69+F62+F55+F48+F41+F34+F27</f>
        <v/>
      </c>
      <c r="G99" s="290">
        <f>G76+G69+G62+G55+G48+G41+G34+G27</f>
        <v/>
      </c>
      <c r="H99" s="290">
        <f>H76+H69+H62+H55+H48+H41+H34+H27</f>
        <v/>
      </c>
      <c r="I99" s="290">
        <f>I76+I69+I62+I55+I48+I41+I34+I27</f>
        <v/>
      </c>
      <c r="J99" s="290">
        <f>J76+J69+J62+J55+J48+J41+J34+J27</f>
        <v/>
      </c>
      <c r="K99" s="290">
        <f>K76+K69+K62+K55+K48+K41+K34+K27</f>
        <v/>
      </c>
      <c r="L99" s="290">
        <f>L76+L69+L62+L55+L48+L41+L34+L27</f>
        <v/>
      </c>
      <c r="M99" s="290">
        <f>M76+M69+M62+M55+M48+M41+M34+M27</f>
        <v/>
      </c>
      <c r="N99" s="290">
        <f>N76+N69+N62+N55+N48+N41+N34+N27</f>
        <v/>
      </c>
      <c r="O99" s="290">
        <f>O76+O69+O62+O55+O48+O41+O34+O27</f>
        <v/>
      </c>
      <c r="P99" s="185" t="n"/>
      <c r="Q99" s="1213" t="n"/>
      <c r="R99" s="1214" t="n"/>
      <c r="T99" s="682" t="inlineStr">
        <is>
          <t xml:space="preserve">Assumptions </t>
        </is>
      </c>
    </row>
    <row r="100" ht="25" customHeight="1" thickBot="1">
      <c r="B100" s="288" t="n"/>
      <c r="C100" s="287" t="inlineStr">
        <is>
          <t>Net New</t>
        </is>
      </c>
      <c r="D100" s="283">
        <f>(D76+D69+D62+D55+D48+D41+D34+D27)-'Revenue 2025'!P169</f>
        <v/>
      </c>
      <c r="E100" s="283">
        <f>E99-D99</f>
        <v/>
      </c>
      <c r="F100" s="283">
        <f>F99-E99</f>
        <v/>
      </c>
      <c r="G100" s="283">
        <f>G99-F99</f>
        <v/>
      </c>
      <c r="H100" s="283">
        <f>H99-G99</f>
        <v/>
      </c>
      <c r="I100" s="283">
        <f>I99-H99</f>
        <v/>
      </c>
      <c r="J100" s="283">
        <f>J99-I99</f>
        <v/>
      </c>
      <c r="K100" s="283">
        <f>K99-J99</f>
        <v/>
      </c>
      <c r="L100" s="283">
        <f>L99-K99</f>
        <v/>
      </c>
      <c r="M100" s="283">
        <f>M99-L99</f>
        <v/>
      </c>
      <c r="N100" s="283">
        <f>N99-M99</f>
        <v/>
      </c>
      <c r="O100" s="283">
        <f>O99-N99</f>
        <v/>
      </c>
      <c r="P100" s="284" t="n"/>
      <c r="Q100" s="1215" t="n"/>
      <c r="R100" s="1216" t="n"/>
      <c r="T100" s="682" t="inlineStr">
        <is>
          <t xml:space="preserve">work hours </t>
        </is>
      </c>
    </row>
    <row r="101" ht="15" customHeight="1" thickBot="1">
      <c r="B101" s="1039" t="inlineStr">
        <is>
          <t>Administrative</t>
        </is>
      </c>
      <c r="C101" s="1217">
        <f>C6</f>
        <v/>
      </c>
      <c r="D101" s="1218" t="n"/>
      <c r="E101" s="1218" t="n"/>
      <c r="F101" s="1218" t="n"/>
      <c r="G101" s="1218" t="n"/>
      <c r="H101" s="1218" t="n"/>
      <c r="I101" s="1218" t="n"/>
      <c r="J101" s="1218" t="n"/>
      <c r="K101" s="1218" t="n"/>
      <c r="L101" s="1218" t="n"/>
      <c r="M101" s="1218" t="n"/>
      <c r="N101" s="1218" t="n"/>
      <c r="O101" s="1218" t="n"/>
      <c r="P101" s="1218" t="n"/>
      <c r="Q101" s="1218" t="n"/>
      <c r="R101" s="1219" t="n"/>
      <c r="T101" s="682" t="inlineStr">
        <is>
          <t>per new acct</t>
        </is>
      </c>
    </row>
    <row r="102" ht="19" customHeight="1" thickBot="1">
      <c r="B102" s="1220" t="n"/>
      <c r="C102" s="56" t="inlineStr">
        <is>
          <t>Net New Licences Sold</t>
        </is>
      </c>
      <c r="D102" s="1170" t="n"/>
      <c r="E102" s="1170" t="n"/>
      <c r="F102" s="1170">
        <f>F100*$T$102</f>
        <v/>
      </c>
      <c r="G102" s="1170">
        <f>G100*$T$102</f>
        <v/>
      </c>
      <c r="H102" s="1170">
        <f>H100*$T$102</f>
        <v/>
      </c>
      <c r="I102" s="1170">
        <f>I100*$T$102</f>
        <v/>
      </c>
      <c r="J102" s="1170">
        <f>J100*$T$102</f>
        <v/>
      </c>
      <c r="K102" s="1170">
        <f>K100*$T$102</f>
        <v/>
      </c>
      <c r="L102" s="1170">
        <f>L100*$T$102</f>
        <v/>
      </c>
      <c r="M102" s="1170">
        <f>M100*$T$102</f>
        <v/>
      </c>
      <c r="N102" s="1170">
        <f>N100*$T$102</f>
        <v/>
      </c>
      <c r="O102" s="1170">
        <f>O100*$T$102</f>
        <v/>
      </c>
      <c r="P102" s="71" t="n"/>
      <c r="Q102" s="72" t="n"/>
      <c r="R102" s="73" t="n"/>
      <c r="T102" s="314" t="n">
        <v>1</v>
      </c>
    </row>
    <row r="103" ht="18" customHeight="1">
      <c r="B103" s="1220" t="n"/>
      <c r="C103" s="57" t="inlineStr">
        <is>
          <t>Total Sales</t>
        </is>
      </c>
      <c r="D103" s="194" t="n">
        <v>80000</v>
      </c>
      <c r="E103" s="194">
        <f>E102*$D$6</f>
        <v/>
      </c>
      <c r="F103" s="194">
        <f>F102*$D$6</f>
        <v/>
      </c>
      <c r="G103" s="194">
        <f>G102*$D$6</f>
        <v/>
      </c>
      <c r="H103" s="194">
        <f>H102*$D$6</f>
        <v/>
      </c>
      <c r="I103" s="194">
        <f>I102*$D$6</f>
        <v/>
      </c>
      <c r="J103" s="194">
        <f>J102*$D$6</f>
        <v/>
      </c>
      <c r="K103" s="194">
        <f>K102*$D$6</f>
        <v/>
      </c>
      <c r="L103" s="194">
        <f>L102*$D$6</f>
        <v/>
      </c>
      <c r="M103" s="194">
        <f>M102*$D$6</f>
        <v/>
      </c>
      <c r="N103" s="194">
        <f>N102*$D$6</f>
        <v/>
      </c>
      <c r="O103" s="194">
        <f>O102*$D$6</f>
        <v/>
      </c>
      <c r="P103" s="59">
        <f>SUM(D103:O103)</f>
        <v/>
      </c>
      <c r="Q103" s="1175">
        <f>(Q104+Q105)</f>
        <v/>
      </c>
      <c r="R103" s="1221" t="inlineStr">
        <is>
          <t xml:space="preserve"> </t>
        </is>
      </c>
      <c r="T103" s="315" t="n"/>
    </row>
    <row r="104" ht="18" customHeight="1">
      <c r="B104" s="1220" t="n"/>
      <c r="C104" s="62" t="inlineStr">
        <is>
          <t>Total COGS</t>
        </is>
      </c>
      <c r="D104" s="193">
        <f>D102*$E$6</f>
        <v/>
      </c>
      <c r="E104" s="193">
        <f>E102*$E$6</f>
        <v/>
      </c>
      <c r="F104" s="193">
        <f>F102*$E$6</f>
        <v/>
      </c>
      <c r="G104" s="193">
        <f>G102*$E$6</f>
        <v/>
      </c>
      <c r="H104" s="193">
        <f>H102*$E$6</f>
        <v/>
      </c>
      <c r="I104" s="193">
        <f>I102*$E$6</f>
        <v/>
      </c>
      <c r="J104" s="193">
        <f>J102*$E$6</f>
        <v/>
      </c>
      <c r="K104" s="193">
        <f>K102*$E$6</f>
        <v/>
      </c>
      <c r="L104" s="193">
        <f>L102*$E$6</f>
        <v/>
      </c>
      <c r="M104" s="193">
        <f>M102*$E$6</f>
        <v/>
      </c>
      <c r="N104" s="193">
        <f>N102*$E$6</f>
        <v/>
      </c>
      <c r="O104" s="193">
        <f>O102*$E$6</f>
        <v/>
      </c>
      <c r="P104" s="64">
        <f>SUM(D104:O104)</f>
        <v/>
      </c>
      <c r="Q104" s="1178">
        <f>IF(P103=0,0,P104/P103)</f>
        <v/>
      </c>
      <c r="R104" s="1222" t="inlineStr">
        <is>
          <t xml:space="preserve"> </t>
        </is>
      </c>
      <c r="T104" s="315" t="n"/>
    </row>
    <row r="105" ht="18" customHeight="1">
      <c r="B105" s="1220" t="n"/>
      <c r="C105" s="67" t="inlineStr">
        <is>
          <t>Total Margin</t>
        </is>
      </c>
      <c r="D105" s="68">
        <f>D103-D104</f>
        <v/>
      </c>
      <c r="E105" s="68">
        <f>E103-E104</f>
        <v/>
      </c>
      <c r="F105" s="68">
        <f>F103-F104</f>
        <v/>
      </c>
      <c r="G105" s="68">
        <f>G103-G104</f>
        <v/>
      </c>
      <c r="H105" s="68">
        <f>H103-H104</f>
        <v/>
      </c>
      <c r="I105" s="68">
        <f>I103-I104</f>
        <v/>
      </c>
      <c r="J105" s="68">
        <f>J103-J104</f>
        <v/>
      </c>
      <c r="K105" s="68">
        <f>K103-K104</f>
        <v/>
      </c>
      <c r="L105" s="68">
        <f>L103-L104</f>
        <v/>
      </c>
      <c r="M105" s="68">
        <f>M103-M104</f>
        <v/>
      </c>
      <c r="N105" s="68">
        <f>N103-N104</f>
        <v/>
      </c>
      <c r="O105" s="69">
        <f>O103-O104</f>
        <v/>
      </c>
      <c r="P105" s="64">
        <f>SUM(D105:O105)</f>
        <v/>
      </c>
      <c r="Q105" s="1178">
        <f>IF(P103=0,0,P105/P103)</f>
        <v/>
      </c>
      <c r="R105" s="1222" t="inlineStr">
        <is>
          <t xml:space="preserve"> </t>
        </is>
      </c>
      <c r="T105" s="315" t="n"/>
    </row>
    <row r="106" ht="15" customHeight="1">
      <c r="B106" s="1220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1223" t="inlineStr">
        <is>
          <t xml:space="preserve"> </t>
        </is>
      </c>
      <c r="T106" s="315" t="n"/>
    </row>
    <row r="107" ht="15" customHeight="1" thickBot="1">
      <c r="B107" s="1220" t="n"/>
      <c r="C107" s="1224">
        <f>C7</f>
        <v/>
      </c>
      <c r="R107" s="1191" t="n"/>
      <c r="T107" s="315" t="n"/>
    </row>
    <row r="108" ht="19" customHeight="1" thickBot="1">
      <c r="B108" s="1220" t="n"/>
      <c r="C108" s="56" t="inlineStr">
        <is>
          <t>Net New Licences Sold</t>
        </is>
      </c>
      <c r="D108" s="1170">
        <f>D100*$T$108</f>
        <v/>
      </c>
      <c r="E108" s="1170">
        <f>E100*$T$108</f>
        <v/>
      </c>
      <c r="F108" s="1170">
        <f>F100*$T$108</f>
        <v/>
      </c>
      <c r="G108" s="1170">
        <f>G100*$T$108</f>
        <v/>
      </c>
      <c r="H108" s="1170">
        <f>H100*$T$108</f>
        <v/>
      </c>
      <c r="I108" s="1170">
        <f>I100*$T$108</f>
        <v/>
      </c>
      <c r="J108" s="1170">
        <f>J100*$T$108</f>
        <v/>
      </c>
      <c r="K108" s="1170">
        <f>K100*$T$108</f>
        <v/>
      </c>
      <c r="L108" s="1170">
        <f>L100*$T$108</f>
        <v/>
      </c>
      <c r="M108" s="1170">
        <f>M100*$T$108</f>
        <v/>
      </c>
      <c r="N108" s="1170">
        <f>N100*$T$108</f>
        <v/>
      </c>
      <c r="O108" s="1170">
        <f>O100*$T$108</f>
        <v/>
      </c>
      <c r="P108" s="71" t="n"/>
      <c r="Q108" s="72" t="n"/>
      <c r="R108" s="73" t="n"/>
      <c r="T108" s="315" t="n">
        <v>1</v>
      </c>
    </row>
    <row r="109" ht="18" customHeight="1">
      <c r="B109" s="1220" t="n"/>
      <c r="C109" s="57" t="inlineStr">
        <is>
          <t>Total Sales</t>
        </is>
      </c>
      <c r="D109" s="194">
        <f>D108*$D$7</f>
        <v/>
      </c>
      <c r="E109" s="194">
        <f>E108*$D$7</f>
        <v/>
      </c>
      <c r="F109" s="194">
        <f>F108*$D$7</f>
        <v/>
      </c>
      <c r="G109" s="194">
        <f>G108*$D$7</f>
        <v/>
      </c>
      <c r="H109" s="194">
        <f>H108*$D$7</f>
        <v/>
      </c>
      <c r="I109" s="194">
        <f>I108*$D$7</f>
        <v/>
      </c>
      <c r="J109" s="194">
        <f>J108*$D$7</f>
        <v/>
      </c>
      <c r="K109" s="194">
        <f>K108*$D$7</f>
        <v/>
      </c>
      <c r="L109" s="194">
        <f>L108*$D$7</f>
        <v/>
      </c>
      <c r="M109" s="194">
        <f>M108*$D$7</f>
        <v/>
      </c>
      <c r="N109" s="194">
        <f>N108*$D$7</f>
        <v/>
      </c>
      <c r="O109" s="194">
        <f>O108*$D$7</f>
        <v/>
      </c>
      <c r="P109" s="59">
        <f>SUM(D109:O109)</f>
        <v/>
      </c>
      <c r="Q109" s="1175">
        <f>(Q110+Q111)</f>
        <v/>
      </c>
      <c r="R109" s="1221" t="inlineStr">
        <is>
          <t xml:space="preserve"> </t>
        </is>
      </c>
      <c r="T109" s="315" t="n"/>
    </row>
    <row r="110" ht="18" customHeight="1">
      <c r="B110" s="1220" t="n"/>
      <c r="C110" s="62" t="inlineStr">
        <is>
          <t>Total COGS</t>
        </is>
      </c>
      <c r="D110" s="193">
        <f>D108*$E$7</f>
        <v/>
      </c>
      <c r="E110" s="193">
        <f>E108*$E$7</f>
        <v/>
      </c>
      <c r="F110" s="193">
        <f>F108*$E$7</f>
        <v/>
      </c>
      <c r="G110" s="193">
        <f>G108*$E$7</f>
        <v/>
      </c>
      <c r="H110" s="193">
        <f>H108*$E$7</f>
        <v/>
      </c>
      <c r="I110" s="193">
        <f>I108*$E$7</f>
        <v/>
      </c>
      <c r="J110" s="193">
        <f>J108*$E$7</f>
        <v/>
      </c>
      <c r="K110" s="193">
        <f>K108*$E$7</f>
        <v/>
      </c>
      <c r="L110" s="193">
        <f>L108*$E$7</f>
        <v/>
      </c>
      <c r="M110" s="193">
        <f>M108*$E$7</f>
        <v/>
      </c>
      <c r="N110" s="193">
        <f>N108*$E$7</f>
        <v/>
      </c>
      <c r="O110" s="193">
        <f>O108*$E$7</f>
        <v/>
      </c>
      <c r="P110" s="64">
        <f>SUM(D110:O110)</f>
        <v/>
      </c>
      <c r="Q110" s="1178">
        <f>IF(P109=0,0,P110/P109)</f>
        <v/>
      </c>
      <c r="R110" s="1222" t="inlineStr">
        <is>
          <t xml:space="preserve"> </t>
        </is>
      </c>
      <c r="T110" s="315" t="n"/>
    </row>
    <row r="111" ht="18" customHeight="1">
      <c r="B111" s="1220" t="n"/>
      <c r="C111" s="67" t="inlineStr">
        <is>
          <t>Total Margin</t>
        </is>
      </c>
      <c r="D111" s="68">
        <f>D109-D110</f>
        <v/>
      </c>
      <c r="E111" s="68">
        <f>E109-E110</f>
        <v/>
      </c>
      <c r="F111" s="68">
        <f>F109-F110</f>
        <v/>
      </c>
      <c r="G111" s="68">
        <f>G109-G110</f>
        <v/>
      </c>
      <c r="H111" s="68">
        <f>H109-H110</f>
        <v/>
      </c>
      <c r="I111" s="68">
        <f>I109-I110</f>
        <v/>
      </c>
      <c r="J111" s="68">
        <f>J109-J110</f>
        <v/>
      </c>
      <c r="K111" s="68">
        <f>K109-K110</f>
        <v/>
      </c>
      <c r="L111" s="68">
        <f>L109-L110</f>
        <v/>
      </c>
      <c r="M111" s="68">
        <f>M109-M110</f>
        <v/>
      </c>
      <c r="N111" s="68">
        <f>N109-N110</f>
        <v/>
      </c>
      <c r="O111" s="68">
        <f>O109-O110</f>
        <v/>
      </c>
      <c r="P111" s="64">
        <f>SUM(D111:O111)</f>
        <v/>
      </c>
      <c r="Q111" s="1178">
        <f>IF(P109=0,0,P111/P109)</f>
        <v/>
      </c>
      <c r="R111" s="1222" t="inlineStr">
        <is>
          <t xml:space="preserve"> </t>
        </is>
      </c>
      <c r="T111" s="315" t="n"/>
    </row>
    <row r="112" ht="15" customHeight="1">
      <c r="B112" s="1220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1223" t="inlineStr">
        <is>
          <t xml:space="preserve"> </t>
        </is>
      </c>
      <c r="T112" s="315" t="n"/>
    </row>
    <row r="113" ht="15" customHeight="1" thickBot="1">
      <c r="B113" s="1220" t="n"/>
      <c r="C113" s="1224">
        <f>C8</f>
        <v/>
      </c>
      <c r="R113" s="1191" t="n"/>
      <c r="T113" s="315" t="n"/>
    </row>
    <row r="114" ht="19" customHeight="1" thickBot="1">
      <c r="B114" s="1220" t="n"/>
      <c r="C114" s="56" t="inlineStr">
        <is>
          <t>Net New Licences Sold</t>
        </is>
      </c>
      <c r="D114" s="1170">
        <f>D100*$T$114</f>
        <v/>
      </c>
      <c r="E114" s="1170">
        <f>E100*$T$114</f>
        <v/>
      </c>
      <c r="F114" s="1170">
        <f>F100*$T$114</f>
        <v/>
      </c>
      <c r="G114" s="1170">
        <f>G100*$T$114</f>
        <v/>
      </c>
      <c r="H114" s="1170">
        <f>H100*$T$114</f>
        <v/>
      </c>
      <c r="I114" s="1170">
        <f>I100*$T$114</f>
        <v/>
      </c>
      <c r="J114" s="1170">
        <f>J100*$T$114</f>
        <v/>
      </c>
      <c r="K114" s="1170">
        <f>K100*$T$114</f>
        <v/>
      </c>
      <c r="L114" s="1170">
        <f>L100*$T$114</f>
        <v/>
      </c>
      <c r="M114" s="1170">
        <f>M100*$T$114</f>
        <v/>
      </c>
      <c r="N114" s="1170">
        <f>N100*$T$114</f>
        <v/>
      </c>
      <c r="O114" s="1170">
        <f>O100*$T$114</f>
        <v/>
      </c>
      <c r="P114" s="71" t="n"/>
      <c r="Q114" s="72" t="n"/>
      <c r="R114" s="73" t="n"/>
      <c r="T114" s="315" t="n">
        <v>2</v>
      </c>
    </row>
    <row r="115" ht="18" customHeight="1">
      <c r="B115" s="1220" t="n"/>
      <c r="C115" s="57" t="inlineStr">
        <is>
          <t>Total Sales</t>
        </is>
      </c>
      <c r="D115" s="194">
        <f>D114*$D$8</f>
        <v/>
      </c>
      <c r="E115" s="194">
        <f>E114*$D$8</f>
        <v/>
      </c>
      <c r="F115" s="194">
        <f>F114*$D$8</f>
        <v/>
      </c>
      <c r="G115" s="194">
        <f>G114*$D$8</f>
        <v/>
      </c>
      <c r="H115" s="194">
        <f>H114*$D$8</f>
        <v/>
      </c>
      <c r="I115" s="194">
        <f>I114*$D$8</f>
        <v/>
      </c>
      <c r="J115" s="194">
        <f>J114*$D$8</f>
        <v/>
      </c>
      <c r="K115" s="194">
        <f>K114*$D$8</f>
        <v/>
      </c>
      <c r="L115" s="194">
        <f>L114*$D$8</f>
        <v/>
      </c>
      <c r="M115" s="194">
        <f>M114*$D$8</f>
        <v/>
      </c>
      <c r="N115" s="194">
        <f>N114*$D$8</f>
        <v/>
      </c>
      <c r="O115" s="194">
        <f>O114*$D$8</f>
        <v/>
      </c>
      <c r="P115" s="59">
        <f>SUM(D115:O115)</f>
        <v/>
      </c>
      <c r="Q115" s="1175">
        <f>(Q116+Q117)</f>
        <v/>
      </c>
      <c r="R115" s="1221" t="inlineStr">
        <is>
          <t xml:space="preserve"> </t>
        </is>
      </c>
      <c r="T115" s="315" t="n"/>
    </row>
    <row r="116" ht="18" customHeight="1">
      <c r="B116" s="1220" t="n"/>
      <c r="C116" s="62" t="inlineStr">
        <is>
          <t>Total COGS</t>
        </is>
      </c>
      <c r="D116" s="193">
        <f>D114*$E$8</f>
        <v/>
      </c>
      <c r="E116" s="193">
        <f>E114*$E$8</f>
        <v/>
      </c>
      <c r="F116" s="193">
        <f>F114*$E$8</f>
        <v/>
      </c>
      <c r="G116" s="193">
        <f>G114*$E$8</f>
        <v/>
      </c>
      <c r="H116" s="193">
        <f>H114*$E$8</f>
        <v/>
      </c>
      <c r="I116" s="193">
        <f>I114*$E$8</f>
        <v/>
      </c>
      <c r="J116" s="193">
        <f>J114*$E$8</f>
        <v/>
      </c>
      <c r="K116" s="193">
        <f>K114*$E$8</f>
        <v/>
      </c>
      <c r="L116" s="193">
        <f>L114*$E$8</f>
        <v/>
      </c>
      <c r="M116" s="193">
        <f>M114*$E$8</f>
        <v/>
      </c>
      <c r="N116" s="193">
        <f>N114*$E$8</f>
        <v/>
      </c>
      <c r="O116" s="193">
        <f>O114*$E$8</f>
        <v/>
      </c>
      <c r="P116" s="64">
        <f>SUM(D116:O116)</f>
        <v/>
      </c>
      <c r="Q116" s="1178">
        <f>IF(P115=0,0,P116/P115)</f>
        <v/>
      </c>
      <c r="R116" s="1222" t="inlineStr">
        <is>
          <t xml:space="preserve"> </t>
        </is>
      </c>
      <c r="T116" s="315" t="n"/>
    </row>
    <row r="117" ht="18" customHeight="1">
      <c r="B117" s="1220" t="n"/>
      <c r="C117" s="67" t="inlineStr">
        <is>
          <t>Total Margin</t>
        </is>
      </c>
      <c r="D117" s="68">
        <f>D115-D116</f>
        <v/>
      </c>
      <c r="E117" s="68">
        <f>E115-E116</f>
        <v/>
      </c>
      <c r="F117" s="68">
        <f>F115-F116</f>
        <v/>
      </c>
      <c r="G117" s="68">
        <f>G115-G116</f>
        <v/>
      </c>
      <c r="H117" s="68">
        <f>H115-H116</f>
        <v/>
      </c>
      <c r="I117" s="68">
        <f>I115-I116</f>
        <v/>
      </c>
      <c r="J117" s="68">
        <f>J115-J116</f>
        <v/>
      </c>
      <c r="K117" s="68">
        <f>K115-K116</f>
        <v/>
      </c>
      <c r="L117" s="68">
        <f>L115-L116</f>
        <v/>
      </c>
      <c r="M117" s="68">
        <f>M115-M116</f>
        <v/>
      </c>
      <c r="N117" s="68">
        <f>N115-N116</f>
        <v/>
      </c>
      <c r="O117" s="68">
        <f>O115-O116</f>
        <v/>
      </c>
      <c r="P117" s="64">
        <f>SUM(D117:O117)</f>
        <v/>
      </c>
      <c r="Q117" s="1178">
        <f>IF(P115=0,0,P117/P115)</f>
        <v/>
      </c>
      <c r="R117" s="1222" t="inlineStr">
        <is>
          <t xml:space="preserve"> </t>
        </is>
      </c>
      <c r="T117" s="315" t="n"/>
    </row>
    <row r="118" ht="18" customHeight="1">
      <c r="B118" s="1220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1223" t="inlineStr">
        <is>
          <t xml:space="preserve"> </t>
        </is>
      </c>
      <c r="T118" s="315" t="n"/>
    </row>
    <row r="119" ht="19" customHeight="1" thickBot="1">
      <c r="B119" s="1220" t="n"/>
      <c r="C119" s="1224">
        <f>C9</f>
        <v/>
      </c>
      <c r="R119" s="1191" t="n"/>
      <c r="T119" s="315" t="n"/>
    </row>
    <row r="120" ht="15.75" customHeight="1" thickBot="1">
      <c r="B120" s="1220" t="n"/>
      <c r="C120" s="56" t="inlineStr">
        <is>
          <t>Net New Licences Sold</t>
        </is>
      </c>
      <c r="D120" s="1170">
        <f>D100*$T$120</f>
        <v/>
      </c>
      <c r="E120" s="1170">
        <f>E100*$T$120</f>
        <v/>
      </c>
      <c r="F120" s="1170">
        <f>F100*$T$120</f>
        <v/>
      </c>
      <c r="G120" s="1170">
        <f>G100*$T$120</f>
        <v/>
      </c>
      <c r="H120" s="1170">
        <f>H100*$T$120</f>
        <v/>
      </c>
      <c r="I120" s="1170">
        <f>I100*$T$120</f>
        <v/>
      </c>
      <c r="J120" s="1170">
        <f>J100*$T$120</f>
        <v/>
      </c>
      <c r="K120" s="1170">
        <f>K100*$T$120</f>
        <v/>
      </c>
      <c r="L120" s="1170">
        <f>L100*$T$120</f>
        <v/>
      </c>
      <c r="M120" s="1170">
        <f>M100*$T$120</f>
        <v/>
      </c>
      <c r="N120" s="1170">
        <f>N100*$T$120</f>
        <v/>
      </c>
      <c r="O120" s="1170">
        <f>O100*$T$120</f>
        <v/>
      </c>
      <c r="P120" s="71" t="n"/>
      <c r="Q120" s="72" t="n"/>
      <c r="R120" s="73" t="n"/>
      <c r="T120" s="315" t="n">
        <v>1</v>
      </c>
    </row>
    <row r="121" ht="18" customHeight="1">
      <c r="B121" s="1220" t="n"/>
      <c r="C121" s="57" t="inlineStr">
        <is>
          <t>Total Sales</t>
        </is>
      </c>
      <c r="D121" s="194">
        <f>D120*$D$9</f>
        <v/>
      </c>
      <c r="E121" s="194">
        <f>E120*$D$9</f>
        <v/>
      </c>
      <c r="F121" s="194">
        <f>F120*$D$9</f>
        <v/>
      </c>
      <c r="G121" s="194">
        <f>G120*$D$9</f>
        <v/>
      </c>
      <c r="H121" s="194">
        <f>H120*$D$9</f>
        <v/>
      </c>
      <c r="I121" s="194">
        <f>I120*$D$9</f>
        <v/>
      </c>
      <c r="J121" s="194">
        <f>J120*$D$9</f>
        <v/>
      </c>
      <c r="K121" s="194">
        <f>K120*$D$9</f>
        <v/>
      </c>
      <c r="L121" s="194">
        <f>L120*$D$9</f>
        <v/>
      </c>
      <c r="M121" s="194">
        <f>M120*$D$9</f>
        <v/>
      </c>
      <c r="N121" s="194">
        <f>N120*$D$9</f>
        <v/>
      </c>
      <c r="O121" s="194">
        <f>O120*$D$9</f>
        <v/>
      </c>
      <c r="P121" s="59">
        <f>SUM(D121:O121)</f>
        <v/>
      </c>
      <c r="Q121" s="1175">
        <f>(Q122+Q123)</f>
        <v/>
      </c>
      <c r="R121" s="1221" t="inlineStr">
        <is>
          <t xml:space="preserve"> </t>
        </is>
      </c>
      <c r="T121" s="315" t="n"/>
    </row>
    <row r="122" ht="19" customHeight="1">
      <c r="B122" s="1220" t="n"/>
      <c r="C122" s="62" t="inlineStr">
        <is>
          <t>Total COGS</t>
        </is>
      </c>
      <c r="D122" s="193">
        <f>D120*$E$9</f>
        <v/>
      </c>
      <c r="E122" s="193">
        <f>E120*$E$9</f>
        <v/>
      </c>
      <c r="F122" s="193">
        <f>F120*$E$9</f>
        <v/>
      </c>
      <c r="G122" s="193">
        <f>G120*$E$9</f>
        <v/>
      </c>
      <c r="H122" s="193">
        <f>H120*$E$9</f>
        <v/>
      </c>
      <c r="I122" s="193">
        <f>I120*$E$9</f>
        <v/>
      </c>
      <c r="J122" s="193">
        <f>J120*$E$9</f>
        <v/>
      </c>
      <c r="K122" s="193">
        <f>K120*$E$9</f>
        <v/>
      </c>
      <c r="L122" s="193">
        <f>L120*$E$9</f>
        <v/>
      </c>
      <c r="M122" s="193">
        <f>M120*$E$9</f>
        <v/>
      </c>
      <c r="N122" s="193">
        <f>N120*$E$9</f>
        <v/>
      </c>
      <c r="O122" s="193">
        <f>O120*$E$9</f>
        <v/>
      </c>
      <c r="P122" s="64">
        <f>SUM(D122:O122)</f>
        <v/>
      </c>
      <c r="Q122" s="1178">
        <f>IF(P121=0,0,P122/P121)</f>
        <v/>
      </c>
      <c r="R122" s="1222" t="inlineStr">
        <is>
          <t xml:space="preserve"> </t>
        </is>
      </c>
      <c r="T122" s="315" t="n"/>
    </row>
    <row r="123" ht="18" customHeight="1">
      <c r="B123" s="1220" t="n"/>
      <c r="C123" s="67" t="inlineStr">
        <is>
          <t>Total Margin</t>
        </is>
      </c>
      <c r="D123" s="68">
        <f>D121-D122</f>
        <v/>
      </c>
      <c r="E123" s="68">
        <f>E121-E122</f>
        <v/>
      </c>
      <c r="F123" s="68">
        <f>F121-F122</f>
        <v/>
      </c>
      <c r="G123" s="68">
        <f>G121-G122</f>
        <v/>
      </c>
      <c r="H123" s="68">
        <f>H121-H122</f>
        <v/>
      </c>
      <c r="I123" s="68">
        <f>I121-I122</f>
        <v/>
      </c>
      <c r="J123" s="68">
        <f>J121-J122</f>
        <v/>
      </c>
      <c r="K123" s="68">
        <f>K121-K122</f>
        <v/>
      </c>
      <c r="L123" s="68">
        <f>L121-L122</f>
        <v/>
      </c>
      <c r="M123" s="68">
        <f>M121-M122</f>
        <v/>
      </c>
      <c r="N123" s="68">
        <f>N121-N122</f>
        <v/>
      </c>
      <c r="O123" s="68">
        <f>O121-O122</f>
        <v/>
      </c>
      <c r="P123" s="64">
        <f>SUM(D123:O123)</f>
        <v/>
      </c>
      <c r="Q123" s="1178">
        <f>IF(P121=0,0,P123/P121)</f>
        <v/>
      </c>
      <c r="R123" s="1222" t="inlineStr">
        <is>
          <t xml:space="preserve"> </t>
        </is>
      </c>
      <c r="T123" s="315" t="n"/>
    </row>
    <row r="124" ht="18" customHeight="1">
      <c r="B124" s="1220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1223" t="inlineStr">
        <is>
          <t xml:space="preserve"> </t>
        </is>
      </c>
    </row>
    <row r="125" ht="16" customHeight="1" thickBot="1"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</row>
    <row r="126" ht="18" customHeight="1">
      <c r="B126" s="1225" t="inlineStr">
        <is>
          <t>Total Distribution</t>
        </is>
      </c>
      <c r="C126" s="1193" t="inlineStr">
        <is>
          <t>Total Distribution / Reseller</t>
        </is>
      </c>
      <c r="D126" s="1145" t="n"/>
      <c r="E126" s="1145" t="n"/>
      <c r="F126" s="1145" t="n"/>
      <c r="G126" s="1145" t="n"/>
      <c r="H126" s="1145" t="n"/>
      <c r="I126" s="1145" t="n"/>
      <c r="J126" s="1145" t="n"/>
      <c r="K126" s="1145" t="n"/>
      <c r="L126" s="1145" t="n"/>
      <c r="M126" s="1145" t="n"/>
      <c r="N126" s="1145" t="n"/>
      <c r="O126" s="1145" t="n"/>
      <c r="P126" s="1145" t="n"/>
      <c r="Q126" s="1145" t="n"/>
      <c r="R126" s="705" t="n"/>
    </row>
    <row r="127" ht="18" customHeight="1">
      <c r="B127" s="1180" t="n"/>
      <c r="C127" s="295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99" t="n"/>
      <c r="P127" s="182" t="n"/>
      <c r="Q127" s="180" t="n"/>
      <c r="R127" s="296" t="n"/>
    </row>
    <row r="128" ht="18" customHeight="1">
      <c r="B128" s="1180" t="n"/>
      <c r="C128" s="297" t="inlineStr">
        <is>
          <t>Total Sales</t>
        </is>
      </c>
      <c r="D128" s="194">
        <f>D36+D50+D64+D78</f>
        <v/>
      </c>
      <c r="E128" s="194">
        <f>E36+E50+E64+E78</f>
        <v/>
      </c>
      <c r="F128" s="194">
        <f>F36+F50+F64+F78</f>
        <v/>
      </c>
      <c r="G128" s="194">
        <f>G36+G50+G64+G78</f>
        <v/>
      </c>
      <c r="H128" s="194">
        <f>H36+H50+H64+H78</f>
        <v/>
      </c>
      <c r="I128" s="194">
        <f>I36+I50+I64+I78</f>
        <v/>
      </c>
      <c r="J128" s="194">
        <f>J36+J50+J64+J78</f>
        <v/>
      </c>
      <c r="K128" s="194">
        <f>K36+K50+K64+K78</f>
        <v/>
      </c>
      <c r="L128" s="194">
        <f>L36+L50+L64+L78</f>
        <v/>
      </c>
      <c r="M128" s="194">
        <f>M36+M50+M64+M78</f>
        <v/>
      </c>
      <c r="N128" s="194">
        <f>N36+N50+N64+N78</f>
        <v/>
      </c>
      <c r="O128" s="217">
        <f>O36+O50+O64+O78</f>
        <v/>
      </c>
      <c r="P128" s="59">
        <f>SUM(D128:O128)</f>
        <v/>
      </c>
      <c r="Q128" s="1175">
        <f>(Q129+Q130)</f>
        <v/>
      </c>
      <c r="R128" s="1176" t="inlineStr">
        <is>
          <t xml:space="preserve"> </t>
        </is>
      </c>
    </row>
    <row r="129" ht="18" customHeight="1">
      <c r="B129" s="1180" t="n"/>
      <c r="C129" s="299" t="inlineStr">
        <is>
          <t>Total COGS</t>
        </is>
      </c>
      <c r="D129" s="108">
        <f>D37+D44+D51+D79</f>
        <v/>
      </c>
      <c r="E129" s="108">
        <f>E37+E44+E51+E79</f>
        <v/>
      </c>
      <c r="F129" s="108">
        <f>F37+F44+F51+F79</f>
        <v/>
      </c>
      <c r="G129" s="108">
        <f>G37+G44+G51+G79</f>
        <v/>
      </c>
      <c r="H129" s="108">
        <f>H37+H44+H51+H79</f>
        <v/>
      </c>
      <c r="I129" s="108">
        <f>I37+I44+I51+I79</f>
        <v/>
      </c>
      <c r="J129" s="108">
        <f>J37+J44+J51+J79</f>
        <v/>
      </c>
      <c r="K129" s="108">
        <f>K37+K44+K51+K79</f>
        <v/>
      </c>
      <c r="L129" s="108">
        <f>L37+L44+L51+L79</f>
        <v/>
      </c>
      <c r="M129" s="108">
        <f>M37+M44+M51+M79</f>
        <v/>
      </c>
      <c r="N129" s="108">
        <f>N37+N44+N51+N79</f>
        <v/>
      </c>
      <c r="O129" s="221">
        <f>O37+O44+O51+O79</f>
        <v/>
      </c>
      <c r="P129" s="64">
        <f>SUM(D129:O129)</f>
        <v/>
      </c>
      <c r="Q129" s="1178">
        <f>IF(P128=0,0,P129/P128)</f>
        <v/>
      </c>
      <c r="R129" s="1179" t="inlineStr">
        <is>
          <t xml:space="preserve"> </t>
        </is>
      </c>
    </row>
    <row r="130" ht="19" customHeight="1" thickBot="1">
      <c r="B130" s="712" t="n"/>
      <c r="C130" s="301" t="inlineStr">
        <is>
          <t>Total Margin</t>
        </is>
      </c>
      <c r="D130" s="308">
        <f>D128-D129</f>
        <v/>
      </c>
      <c r="E130" s="308">
        <f>E128-E129</f>
        <v/>
      </c>
      <c r="F130" s="308">
        <f>F128-F129</f>
        <v/>
      </c>
      <c r="G130" s="308">
        <f>G128-G129</f>
        <v/>
      </c>
      <c r="H130" s="308">
        <f>H128-H129</f>
        <v/>
      </c>
      <c r="I130" s="308">
        <f>I128-I129</f>
        <v/>
      </c>
      <c r="J130" s="308">
        <f>J128-J129</f>
        <v/>
      </c>
      <c r="K130" s="308">
        <f>K128-K129</f>
        <v/>
      </c>
      <c r="L130" s="308">
        <f>L128-L129</f>
        <v/>
      </c>
      <c r="M130" s="308">
        <f>M128-M129</f>
        <v/>
      </c>
      <c r="N130" s="308">
        <f>N128-N129</f>
        <v/>
      </c>
      <c r="O130" s="309">
        <f>O128-O129</f>
        <v/>
      </c>
      <c r="P130" s="303">
        <f>SUM(D130:O130)</f>
        <v/>
      </c>
      <c r="Q130" s="1181">
        <f>IF(P128=0,0,P130/P128)</f>
        <v/>
      </c>
      <c r="R130" s="1182" t="inlineStr">
        <is>
          <t xml:space="preserve"> </t>
        </is>
      </c>
    </row>
    <row r="131" ht="16" customHeight="1" thickBot="1">
      <c r="B131" s="252" t="inlineStr">
        <is>
          <t xml:space="preserve"> </t>
        </is>
      </c>
      <c r="C131" s="252" t="n"/>
      <c r="D131" s="252" t="n"/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2" t="n"/>
      <c r="N131" s="252" t="n"/>
      <c r="O131" s="252" t="n"/>
      <c r="P131" s="252" t="n"/>
      <c r="Q131" s="252" t="n"/>
      <c r="R131" s="252" t="n"/>
    </row>
    <row r="132" ht="18" customHeight="1">
      <c r="B132" s="1226" t="inlineStr">
        <is>
          <t>Total Hospitality</t>
        </is>
      </c>
      <c r="C132" s="1193" t="inlineStr">
        <is>
          <t>Total Hospitality</t>
        </is>
      </c>
      <c r="D132" s="1145" t="n"/>
      <c r="E132" s="1145" t="n"/>
      <c r="F132" s="1145" t="n"/>
      <c r="G132" s="1145" t="n"/>
      <c r="H132" s="1145" t="n"/>
      <c r="I132" s="1145" t="n"/>
      <c r="J132" s="1145" t="n"/>
      <c r="K132" s="1145" t="n"/>
      <c r="L132" s="1145" t="n"/>
      <c r="M132" s="1145" t="n"/>
      <c r="N132" s="1145" t="n"/>
      <c r="O132" s="1145" t="n"/>
      <c r="P132" s="1145" t="n"/>
      <c r="Q132" s="1145" t="n"/>
      <c r="R132" s="705" t="n"/>
    </row>
    <row r="133" ht="18" customHeight="1">
      <c r="B133" s="1180" t="n"/>
      <c r="C133" s="1017" t="n"/>
      <c r="D133" s="997" t="n"/>
      <c r="E133" s="997" t="n"/>
      <c r="F133" s="997" t="n"/>
      <c r="G133" s="997" t="n"/>
      <c r="H133" s="997" t="n"/>
      <c r="I133" s="997" t="n"/>
      <c r="J133" s="997" t="n"/>
      <c r="K133" s="997" t="n"/>
      <c r="L133" s="997" t="n"/>
      <c r="M133" s="997" t="n"/>
      <c r="N133" s="997" t="n"/>
      <c r="O133" s="222" t="n"/>
      <c r="P133" s="182" t="n"/>
      <c r="Q133" s="180" t="n"/>
      <c r="R133" s="296" t="n"/>
    </row>
    <row r="134" ht="18" customHeight="1">
      <c r="B134" s="1180" t="n"/>
      <c r="C134" s="297" t="inlineStr">
        <is>
          <t>Total Sales</t>
        </is>
      </c>
      <c r="D134" s="194">
        <f>D29+D36</f>
        <v/>
      </c>
      <c r="E134" s="194">
        <f>E29+E36</f>
        <v/>
      </c>
      <c r="F134" s="194">
        <f>F29+F36</f>
        <v/>
      </c>
      <c r="G134" s="194">
        <f>G29+G36</f>
        <v/>
      </c>
      <c r="H134" s="194">
        <f>H29+H36</f>
        <v/>
      </c>
      <c r="I134" s="194">
        <f>I29+I36</f>
        <v/>
      </c>
      <c r="J134" s="194">
        <f>J29+J36</f>
        <v/>
      </c>
      <c r="K134" s="194">
        <f>K29+K36</f>
        <v/>
      </c>
      <c r="L134" s="194">
        <f>L29+L36</f>
        <v/>
      </c>
      <c r="M134" s="194">
        <f>M29+M36</f>
        <v/>
      </c>
      <c r="N134" s="194">
        <f>N29+N36</f>
        <v/>
      </c>
      <c r="O134" s="217">
        <f>O29+O36</f>
        <v/>
      </c>
      <c r="P134" s="59">
        <f>SUM(D134:O134)</f>
        <v/>
      </c>
      <c r="Q134" s="1175">
        <f>(Q135+Q136)</f>
        <v/>
      </c>
      <c r="R134" s="1176" t="inlineStr">
        <is>
          <t xml:space="preserve"> </t>
        </is>
      </c>
    </row>
    <row r="135" ht="18" customHeight="1">
      <c r="B135" s="1180" t="n"/>
      <c r="C135" s="299" t="inlineStr">
        <is>
          <t>Total COGS</t>
        </is>
      </c>
      <c r="D135" s="193">
        <f>D30+D37</f>
        <v/>
      </c>
      <c r="E135" s="193">
        <f>E30+E37</f>
        <v/>
      </c>
      <c r="F135" s="193">
        <f>F30+F37</f>
        <v/>
      </c>
      <c r="G135" s="193">
        <f>G30+G37</f>
        <v/>
      </c>
      <c r="H135" s="193">
        <f>H30+H37</f>
        <v/>
      </c>
      <c r="I135" s="193">
        <f>I30+I37</f>
        <v/>
      </c>
      <c r="J135" s="193">
        <f>J30+J37</f>
        <v/>
      </c>
      <c r="K135" s="193">
        <f>K30+K37</f>
        <v/>
      </c>
      <c r="L135" s="193">
        <f>L30+L37</f>
        <v/>
      </c>
      <c r="M135" s="193">
        <f>M30+M37</f>
        <v/>
      </c>
      <c r="N135" s="193">
        <f>N30+N37</f>
        <v/>
      </c>
      <c r="O135" s="218">
        <f>O30+O37</f>
        <v/>
      </c>
      <c r="P135" s="64">
        <f>SUM(D135:O135)</f>
        <v/>
      </c>
      <c r="Q135" s="1178">
        <f>IF(P134=0,0,P135/P134)</f>
        <v/>
      </c>
      <c r="R135" s="1179" t="inlineStr">
        <is>
          <t xml:space="preserve"> </t>
        </is>
      </c>
    </row>
    <row r="136" ht="19" customHeight="1" thickBot="1">
      <c r="B136" s="712" t="n"/>
      <c r="C136" s="301" t="inlineStr">
        <is>
          <t>Total Margin</t>
        </is>
      </c>
      <c r="D136" s="308">
        <f>D134-D135</f>
        <v/>
      </c>
      <c r="E136" s="308">
        <f>E134-E135</f>
        <v/>
      </c>
      <c r="F136" s="308">
        <f>F134-F135</f>
        <v/>
      </c>
      <c r="G136" s="308">
        <f>G134-G135</f>
        <v/>
      </c>
      <c r="H136" s="308">
        <f>H134-H135</f>
        <v/>
      </c>
      <c r="I136" s="308">
        <f>I134-I135</f>
        <v/>
      </c>
      <c r="J136" s="308">
        <f>J134-J135</f>
        <v/>
      </c>
      <c r="K136" s="308">
        <f>K134-K135</f>
        <v/>
      </c>
      <c r="L136" s="308">
        <f>L134-L135</f>
        <v/>
      </c>
      <c r="M136" s="308">
        <f>M134-M135</f>
        <v/>
      </c>
      <c r="N136" s="308">
        <f>N134-N135</f>
        <v/>
      </c>
      <c r="O136" s="309">
        <f>O134-O135</f>
        <v/>
      </c>
      <c r="P136" s="303">
        <f>SUM(D136:O136)</f>
        <v/>
      </c>
      <c r="Q136" s="1181">
        <f>IF(P134=0,0,P136/P134)</f>
        <v/>
      </c>
      <c r="R136" s="1182" t="inlineStr">
        <is>
          <t xml:space="preserve"> </t>
        </is>
      </c>
    </row>
    <row r="137" ht="19" customHeight="1" thickBot="1">
      <c r="B137" s="128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1227" t="inlineStr">
        <is>
          <t xml:space="preserve"> </t>
        </is>
      </c>
    </row>
    <row r="138" ht="18" customHeight="1">
      <c r="B138" s="1226" t="inlineStr">
        <is>
          <t>Total Real Estate</t>
        </is>
      </c>
      <c r="C138" s="1193" t="inlineStr">
        <is>
          <t>Total Real Estate Development</t>
        </is>
      </c>
      <c r="D138" s="1145" t="n"/>
      <c r="E138" s="1145" t="n"/>
      <c r="F138" s="1145" t="n"/>
      <c r="G138" s="1145" t="n"/>
      <c r="H138" s="1145" t="n"/>
      <c r="I138" s="1145" t="n"/>
      <c r="J138" s="1145" t="n"/>
      <c r="K138" s="1145" t="n"/>
      <c r="L138" s="1145" t="n"/>
      <c r="M138" s="1145" t="n"/>
      <c r="N138" s="1145" t="n"/>
      <c r="O138" s="1145" t="n"/>
      <c r="P138" s="1145" t="n"/>
      <c r="Q138" s="1145" t="n"/>
      <c r="R138" s="705" t="n"/>
    </row>
    <row r="139" ht="18" customHeight="1">
      <c r="B139" s="1180" t="n"/>
      <c r="C139" s="310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99" t="n"/>
      <c r="P139" s="182" t="n"/>
      <c r="Q139" s="180" t="n"/>
      <c r="R139" s="296" t="n"/>
    </row>
    <row r="140" ht="18" customHeight="1">
      <c r="B140" s="1180" t="n"/>
      <c r="C140" s="299" t="inlineStr">
        <is>
          <t>Total Sales</t>
        </is>
      </c>
      <c r="D140" s="195">
        <f>D43+D50</f>
        <v/>
      </c>
      <c r="E140" s="194">
        <f>E43+E50</f>
        <v/>
      </c>
      <c r="F140" s="194">
        <f>F43+F50</f>
        <v/>
      </c>
      <c r="G140" s="194">
        <f>G43+G50</f>
        <v/>
      </c>
      <c r="H140" s="194">
        <f>H43+H50</f>
        <v/>
      </c>
      <c r="I140" s="194">
        <f>I43+I50</f>
        <v/>
      </c>
      <c r="J140" s="194">
        <f>J43+J50</f>
        <v/>
      </c>
      <c r="K140" s="194">
        <f>K43+K50</f>
        <v/>
      </c>
      <c r="L140" s="194">
        <f>L43+L50</f>
        <v/>
      </c>
      <c r="M140" s="194">
        <f>M43+M50</f>
        <v/>
      </c>
      <c r="N140" s="194">
        <f>N43+N50</f>
        <v/>
      </c>
      <c r="O140" s="217">
        <f>O43+O50</f>
        <v/>
      </c>
      <c r="P140" s="59">
        <f>SUM(D140:O140)</f>
        <v/>
      </c>
      <c r="Q140" s="1175">
        <f>(Q141+Q142)</f>
        <v/>
      </c>
      <c r="R140" s="1176" t="inlineStr">
        <is>
          <t xml:space="preserve"> </t>
        </is>
      </c>
    </row>
    <row r="141" ht="18" customHeight="1">
      <c r="B141" s="1180" t="n"/>
      <c r="C141" s="299" t="inlineStr">
        <is>
          <t>Total COGS</t>
        </is>
      </c>
      <c r="D141" s="196">
        <f>D44+D51</f>
        <v/>
      </c>
      <c r="E141" s="193">
        <f>E44+E51</f>
        <v/>
      </c>
      <c r="F141" s="193">
        <f>F44+F51</f>
        <v/>
      </c>
      <c r="G141" s="193">
        <f>G44+G51</f>
        <v/>
      </c>
      <c r="H141" s="193">
        <f>H44+H51</f>
        <v/>
      </c>
      <c r="I141" s="193">
        <f>I44+I51</f>
        <v/>
      </c>
      <c r="J141" s="193">
        <f>J44+J51</f>
        <v/>
      </c>
      <c r="K141" s="193">
        <f>K44+K51</f>
        <v/>
      </c>
      <c r="L141" s="193">
        <f>L44+L51</f>
        <v/>
      </c>
      <c r="M141" s="193">
        <f>M44+M51</f>
        <v/>
      </c>
      <c r="N141" s="193">
        <f>N44+N51</f>
        <v/>
      </c>
      <c r="O141" s="218">
        <f>O44+O51</f>
        <v/>
      </c>
      <c r="P141" s="64">
        <f>SUM(D141:O141)</f>
        <v/>
      </c>
      <c r="Q141" s="1178">
        <f>IF(P140=0,0,P141/P140)</f>
        <v/>
      </c>
      <c r="R141" s="1179" t="inlineStr">
        <is>
          <t xml:space="preserve"> </t>
        </is>
      </c>
    </row>
    <row r="142" ht="19" customHeight="1" thickBot="1">
      <c r="B142" s="712" t="n"/>
      <c r="C142" s="301" t="inlineStr">
        <is>
          <t>Total Margin</t>
        </is>
      </c>
      <c r="D142" s="311">
        <f>D140-D141</f>
        <v/>
      </c>
      <c r="E142" s="308">
        <f>E140-E141</f>
        <v/>
      </c>
      <c r="F142" s="308">
        <f>F140-F141</f>
        <v/>
      </c>
      <c r="G142" s="308">
        <f>G140-G141</f>
        <v/>
      </c>
      <c r="H142" s="308">
        <f>H140-H141</f>
        <v/>
      </c>
      <c r="I142" s="308">
        <f>I140-I141</f>
        <v/>
      </c>
      <c r="J142" s="308">
        <f>J140-J141</f>
        <v/>
      </c>
      <c r="K142" s="308">
        <f>K140-K141</f>
        <v/>
      </c>
      <c r="L142" s="308">
        <f>L140-L141</f>
        <v/>
      </c>
      <c r="M142" s="308">
        <f>M140-M141</f>
        <v/>
      </c>
      <c r="N142" s="308">
        <f>N140-N141</f>
        <v/>
      </c>
      <c r="O142" s="309">
        <f>O140-O141</f>
        <v/>
      </c>
      <c r="P142" s="303">
        <f>SUM(D142:O142)</f>
        <v/>
      </c>
      <c r="Q142" s="1181">
        <f>IF(P140=0,0,P142/P140)</f>
        <v/>
      </c>
      <c r="R142" s="1182" t="inlineStr">
        <is>
          <t xml:space="preserve"> </t>
        </is>
      </c>
    </row>
    <row r="143" ht="16" customHeight="1" thickBot="1">
      <c r="B143" s="128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</row>
    <row r="144" ht="18" customHeight="1">
      <c r="B144" s="1226" t="inlineStr">
        <is>
          <t>Total Pharma</t>
        </is>
      </c>
      <c r="C144" s="1193" t="inlineStr">
        <is>
          <t>Total Pharma</t>
        </is>
      </c>
      <c r="D144" s="1145" t="n"/>
      <c r="E144" s="1145" t="n"/>
      <c r="F144" s="1145" t="n"/>
      <c r="G144" s="1145" t="n"/>
      <c r="H144" s="1145" t="n"/>
      <c r="I144" s="1145" t="n"/>
      <c r="J144" s="1145" t="n"/>
      <c r="K144" s="1145" t="n"/>
      <c r="L144" s="1145" t="n"/>
      <c r="M144" s="1145" t="n"/>
      <c r="N144" s="1145" t="n"/>
      <c r="O144" s="1145" t="n"/>
      <c r="P144" s="1145" t="n"/>
      <c r="Q144" s="1145" t="n"/>
      <c r="R144" s="705" t="n"/>
    </row>
    <row r="145" ht="18" customHeight="1">
      <c r="B145" s="1180" t="n"/>
      <c r="C145" s="295" t="n"/>
      <c r="D145" s="183" t="n"/>
      <c r="E145" s="183" t="n"/>
      <c r="F145" s="183" t="n"/>
      <c r="G145" s="183" t="n"/>
      <c r="H145" s="183" t="n"/>
      <c r="I145" s="183" t="n"/>
      <c r="J145" s="183" t="n"/>
      <c r="K145" s="183" t="n"/>
      <c r="L145" s="183" t="n"/>
      <c r="M145" s="183" t="n"/>
      <c r="N145" s="183" t="n"/>
      <c r="O145" s="199" t="n"/>
      <c r="P145" s="182" t="n"/>
      <c r="Q145" s="180" t="n"/>
      <c r="R145" s="296" t="n"/>
    </row>
    <row r="146" ht="18" customHeight="1">
      <c r="B146" s="1180" t="n"/>
      <c r="C146" s="297" t="inlineStr">
        <is>
          <t>Total Sales</t>
        </is>
      </c>
      <c r="D146" s="194">
        <f>D57+D64</f>
        <v/>
      </c>
      <c r="E146" s="194">
        <f>E57+E64</f>
        <v/>
      </c>
      <c r="F146" s="194">
        <f>F57+F64</f>
        <v/>
      </c>
      <c r="G146" s="194">
        <f>G57+G64</f>
        <v/>
      </c>
      <c r="H146" s="194">
        <f>H57+H64</f>
        <v/>
      </c>
      <c r="I146" s="194">
        <f>I57+I64</f>
        <v/>
      </c>
      <c r="J146" s="194">
        <f>J57+J64</f>
        <v/>
      </c>
      <c r="K146" s="194">
        <f>K57+K64</f>
        <v/>
      </c>
      <c r="L146" s="194">
        <f>L57+L64</f>
        <v/>
      </c>
      <c r="M146" s="194">
        <f>M57+M64</f>
        <v/>
      </c>
      <c r="N146" s="194">
        <f>N57+N64</f>
        <v/>
      </c>
      <c r="O146" s="217">
        <f>O57+O64</f>
        <v/>
      </c>
      <c r="P146" s="59">
        <f>SUM(D146:O146)</f>
        <v/>
      </c>
      <c r="Q146" s="1175">
        <f>(Q147+Q148)</f>
        <v/>
      </c>
      <c r="R146" s="1176" t="inlineStr">
        <is>
          <t xml:space="preserve"> </t>
        </is>
      </c>
    </row>
    <row r="147" ht="18" customHeight="1">
      <c r="B147" s="1180" t="n"/>
      <c r="C147" s="299" t="inlineStr">
        <is>
          <t>Total COGS</t>
        </is>
      </c>
      <c r="D147" s="193">
        <f>D58+D65</f>
        <v/>
      </c>
      <c r="E147" s="193">
        <f>E58+E65</f>
        <v/>
      </c>
      <c r="F147" s="193">
        <f>F58+F65</f>
        <v/>
      </c>
      <c r="G147" s="193">
        <f>G58+G65</f>
        <v/>
      </c>
      <c r="H147" s="193">
        <f>H58+H65</f>
        <v/>
      </c>
      <c r="I147" s="193">
        <f>I58+I65</f>
        <v/>
      </c>
      <c r="J147" s="193">
        <f>J58+J65</f>
        <v/>
      </c>
      <c r="K147" s="193">
        <f>K58+K65</f>
        <v/>
      </c>
      <c r="L147" s="193">
        <f>L58+L65</f>
        <v/>
      </c>
      <c r="M147" s="193">
        <f>M58+M65</f>
        <v/>
      </c>
      <c r="N147" s="193">
        <f>N58+N65</f>
        <v/>
      </c>
      <c r="O147" s="218">
        <f>O58+O65</f>
        <v/>
      </c>
      <c r="P147" s="64">
        <f>SUM(D147:O147)</f>
        <v/>
      </c>
      <c r="Q147" s="1178">
        <f>IF(P146=0,0,P147/P146)</f>
        <v/>
      </c>
      <c r="R147" s="1179" t="inlineStr">
        <is>
          <t xml:space="preserve"> </t>
        </is>
      </c>
    </row>
    <row r="148" ht="19" customHeight="1" thickBot="1">
      <c r="B148" s="712" t="n"/>
      <c r="C148" s="301" t="inlineStr">
        <is>
          <t>Total Margin</t>
        </is>
      </c>
      <c r="D148" s="308">
        <f>D146-D147</f>
        <v/>
      </c>
      <c r="E148" s="308">
        <f>E146-E147</f>
        <v/>
      </c>
      <c r="F148" s="308">
        <f>F146-F147</f>
        <v/>
      </c>
      <c r="G148" s="308">
        <f>G146-G147</f>
        <v/>
      </c>
      <c r="H148" s="308">
        <f>H146-H147</f>
        <v/>
      </c>
      <c r="I148" s="308">
        <f>I146-I147</f>
        <v/>
      </c>
      <c r="J148" s="308">
        <f>J146-J147</f>
        <v/>
      </c>
      <c r="K148" s="308">
        <f>K146-K147</f>
        <v/>
      </c>
      <c r="L148" s="308">
        <f>L146-L147</f>
        <v/>
      </c>
      <c r="M148" s="308">
        <f>M146-M147</f>
        <v/>
      </c>
      <c r="N148" s="308">
        <f>N146-N147</f>
        <v/>
      </c>
      <c r="O148" s="309">
        <f>O146-O147</f>
        <v/>
      </c>
      <c r="P148" s="303">
        <f>SUM(D148:O148)</f>
        <v/>
      </c>
      <c r="Q148" s="1181">
        <f>IF(P146=0,0,P148/P146)</f>
        <v/>
      </c>
      <c r="R148" s="1182" t="inlineStr">
        <is>
          <t xml:space="preserve"> </t>
        </is>
      </c>
    </row>
    <row r="149" ht="16" customHeight="1" thickBot="1">
      <c r="B149" s="202" t="n"/>
      <c r="C149" s="209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215" t="n"/>
      <c r="P149" s="46" t="n"/>
      <c r="Q149" s="46" t="n"/>
      <c r="R149" s="46" t="n"/>
    </row>
    <row r="150" ht="18" customHeight="1">
      <c r="B150" s="1226" t="inlineStr">
        <is>
          <t>Total Professional Services</t>
        </is>
      </c>
      <c r="C150" s="1193" t="inlineStr">
        <is>
          <t>Total Professional Services</t>
        </is>
      </c>
      <c r="D150" s="1145" t="n"/>
      <c r="E150" s="1145" t="n"/>
      <c r="F150" s="1145" t="n"/>
      <c r="G150" s="1145" t="n"/>
      <c r="H150" s="1145" t="n"/>
      <c r="I150" s="1145" t="n"/>
      <c r="J150" s="1145" t="n"/>
      <c r="K150" s="1145" t="n"/>
      <c r="L150" s="1145" t="n"/>
      <c r="M150" s="1145" t="n"/>
      <c r="N150" s="1145" t="n"/>
      <c r="O150" s="1145" t="n"/>
      <c r="P150" s="1145" t="n"/>
      <c r="Q150" s="1145" t="n"/>
      <c r="R150" s="705" t="n"/>
    </row>
    <row r="151" ht="18" customHeight="1">
      <c r="B151" s="1180" t="n"/>
      <c r="C151" s="306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99" t="n"/>
      <c r="P151" s="182" t="n"/>
      <c r="Q151" s="180" t="n"/>
      <c r="R151" s="296" t="n"/>
    </row>
    <row r="152" ht="18" customHeight="1">
      <c r="B152" s="1180" t="n"/>
      <c r="C152" s="297" t="inlineStr">
        <is>
          <t>Total Sales</t>
        </is>
      </c>
      <c r="D152" s="194">
        <f>D71+D78</f>
        <v/>
      </c>
      <c r="E152" s="194">
        <f>E71+E78</f>
        <v/>
      </c>
      <c r="F152" s="194">
        <f>F71+F78</f>
        <v/>
      </c>
      <c r="G152" s="194">
        <f>G71+G78</f>
        <v/>
      </c>
      <c r="H152" s="194">
        <f>H71+H78</f>
        <v/>
      </c>
      <c r="I152" s="194">
        <f>I71+I78</f>
        <v/>
      </c>
      <c r="J152" s="194">
        <f>J71+J78</f>
        <v/>
      </c>
      <c r="K152" s="194">
        <f>K71+K78</f>
        <v/>
      </c>
      <c r="L152" s="194">
        <f>L71+L78</f>
        <v/>
      </c>
      <c r="M152" s="194">
        <f>M71+M78</f>
        <v/>
      </c>
      <c r="N152" s="194">
        <f>N71+N78</f>
        <v/>
      </c>
      <c r="O152" s="217">
        <f>O71+O78</f>
        <v/>
      </c>
      <c r="P152" s="59">
        <f>SUM(D152:O152)</f>
        <v/>
      </c>
      <c r="Q152" s="1175">
        <f>(Q153+Q154)</f>
        <v/>
      </c>
      <c r="R152" s="1176" t="inlineStr">
        <is>
          <t xml:space="preserve"> </t>
        </is>
      </c>
    </row>
    <row r="153" ht="18" customHeight="1">
      <c r="B153" s="1180" t="n"/>
      <c r="C153" s="299" t="inlineStr">
        <is>
          <t>Total COGS</t>
        </is>
      </c>
      <c r="D153" s="193">
        <f>D72+D79</f>
        <v/>
      </c>
      <c r="E153" s="193">
        <f>E72+E79</f>
        <v/>
      </c>
      <c r="F153" s="193">
        <f>F72+F79</f>
        <v/>
      </c>
      <c r="G153" s="193">
        <f>G72+G79</f>
        <v/>
      </c>
      <c r="H153" s="193">
        <f>H72+H79</f>
        <v/>
      </c>
      <c r="I153" s="193">
        <f>I72+I79</f>
        <v/>
      </c>
      <c r="J153" s="193">
        <f>J72+J79</f>
        <v/>
      </c>
      <c r="K153" s="193">
        <f>K72+K79</f>
        <v/>
      </c>
      <c r="L153" s="193">
        <f>L72+L79</f>
        <v/>
      </c>
      <c r="M153" s="193">
        <f>M72+M79</f>
        <v/>
      </c>
      <c r="N153" s="193">
        <f>N72+N79</f>
        <v/>
      </c>
      <c r="O153" s="218">
        <f>O72+O79</f>
        <v/>
      </c>
      <c r="P153" s="64">
        <f>SUM(D153:O153)</f>
        <v/>
      </c>
      <c r="Q153" s="1178">
        <f>IF(P152=0,0,P153/P152)</f>
        <v/>
      </c>
      <c r="R153" s="1179" t="inlineStr">
        <is>
          <t xml:space="preserve"> </t>
        </is>
      </c>
    </row>
    <row r="154" ht="19" customHeight="1" thickBot="1">
      <c r="B154" s="712" t="n"/>
      <c r="C154" s="301" t="inlineStr">
        <is>
          <t>Total Margin</t>
        </is>
      </c>
      <c r="D154" s="308">
        <f>D152-D153</f>
        <v/>
      </c>
      <c r="E154" s="308">
        <f>E152-E153</f>
        <v/>
      </c>
      <c r="F154" s="308">
        <f>F152-F153</f>
        <v/>
      </c>
      <c r="G154" s="308">
        <f>G152-G153</f>
        <v/>
      </c>
      <c r="H154" s="308">
        <f>H152-H153</f>
        <v/>
      </c>
      <c r="I154" s="308">
        <f>I152-I153</f>
        <v/>
      </c>
      <c r="J154" s="308">
        <f>J152-J153</f>
        <v/>
      </c>
      <c r="K154" s="308">
        <f>K152-K153</f>
        <v/>
      </c>
      <c r="L154" s="308">
        <f>L152-L153</f>
        <v/>
      </c>
      <c r="M154" s="308">
        <f>M152-M153</f>
        <v/>
      </c>
      <c r="N154" s="308">
        <f>N152-N153</f>
        <v/>
      </c>
      <c r="O154" s="309">
        <f>O152-O153</f>
        <v/>
      </c>
      <c r="P154" s="303">
        <f>SUM(D154:O154)</f>
        <v/>
      </c>
      <c r="Q154" s="1181">
        <f>IF(P152=0,0,P154/P152)</f>
        <v/>
      </c>
      <c r="R154" s="1182" t="inlineStr">
        <is>
          <t xml:space="preserve"> </t>
        </is>
      </c>
    </row>
    <row r="155" ht="16" customHeight="1" thickBot="1">
      <c r="B155" s="128" t="n"/>
      <c r="C155" s="209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</row>
    <row r="156" ht="18" customHeight="1">
      <c r="B156" s="1228" t="inlineStr">
        <is>
          <t>Consultancy</t>
        </is>
      </c>
      <c r="C156" s="1004" t="inlineStr">
        <is>
          <t>Consultancy</t>
        </is>
      </c>
      <c r="D156" s="1229" t="n"/>
      <c r="E156" s="1229" t="n"/>
      <c r="F156" s="1229" t="n"/>
      <c r="G156" s="1229" t="n"/>
      <c r="H156" s="1229" t="n"/>
      <c r="I156" s="1229" t="n"/>
      <c r="J156" s="1229" t="n"/>
      <c r="K156" s="1229" t="n"/>
      <c r="L156" s="1229" t="n"/>
      <c r="M156" s="1229" t="n"/>
      <c r="N156" s="1229" t="n"/>
      <c r="O156" s="1229" t="n"/>
      <c r="P156" s="1229" t="n"/>
      <c r="Q156" s="1229" t="n"/>
      <c r="R156" s="1230" t="n"/>
    </row>
    <row r="157" ht="18" customHeight="1">
      <c r="B157" s="1231" t="n"/>
      <c r="C157" s="342" t="n"/>
      <c r="D157" s="200" t="inlineStr">
        <is>
          <t xml:space="preserve"> </t>
        </is>
      </c>
      <c r="E157" s="200" t="inlineStr">
        <is>
          <t xml:space="preserve"> </t>
        </is>
      </c>
      <c r="F157" s="200" t="inlineStr">
        <is>
          <t xml:space="preserve"> </t>
        </is>
      </c>
      <c r="G157" s="200" t="inlineStr">
        <is>
          <t xml:space="preserve"> </t>
        </is>
      </c>
      <c r="H157" s="200" t="inlineStr">
        <is>
          <t xml:space="preserve"> </t>
        </is>
      </c>
      <c r="I157" s="200" t="inlineStr">
        <is>
          <t xml:space="preserve"> </t>
        </is>
      </c>
      <c r="J157" s="200" t="inlineStr">
        <is>
          <t xml:space="preserve"> </t>
        </is>
      </c>
      <c r="K157" s="200" t="inlineStr">
        <is>
          <t xml:space="preserve"> </t>
        </is>
      </c>
      <c r="L157" s="200" t="inlineStr">
        <is>
          <t xml:space="preserve"> </t>
        </is>
      </c>
      <c r="M157" s="200" t="inlineStr">
        <is>
          <t xml:space="preserve"> </t>
        </is>
      </c>
      <c r="N157" s="200" t="inlineStr">
        <is>
          <t xml:space="preserve"> </t>
        </is>
      </c>
      <c r="O157" s="201" t="inlineStr">
        <is>
          <t xml:space="preserve"> </t>
        </is>
      </c>
      <c r="P157" s="182" t="inlineStr">
        <is>
          <t xml:space="preserve"> </t>
        </is>
      </c>
      <c r="Q157" s="180" t="n"/>
      <c r="R157" s="346" t="n"/>
    </row>
    <row r="158" ht="18" customHeight="1">
      <c r="B158" s="1231" t="n"/>
      <c r="C158" s="117" t="inlineStr">
        <is>
          <t>Total Sales</t>
        </is>
      </c>
      <c r="D158" s="194">
        <f>D91+D85</f>
        <v/>
      </c>
      <c r="E158" s="194">
        <f>E91+E85</f>
        <v/>
      </c>
      <c r="F158" s="194">
        <f>F91+F85</f>
        <v/>
      </c>
      <c r="G158" s="194">
        <f>G91+G85</f>
        <v/>
      </c>
      <c r="H158" s="194">
        <f>H91+H85</f>
        <v/>
      </c>
      <c r="I158" s="194">
        <f>I91+I85</f>
        <v/>
      </c>
      <c r="J158" s="194">
        <f>J91+J85</f>
        <v/>
      </c>
      <c r="K158" s="194">
        <f>K91+K85</f>
        <v/>
      </c>
      <c r="L158" s="194">
        <f>L91+L85</f>
        <v/>
      </c>
      <c r="M158" s="194">
        <f>M91+M85</f>
        <v/>
      </c>
      <c r="N158" s="194">
        <f>N91+N85</f>
        <v/>
      </c>
      <c r="O158" s="217">
        <f>O91+O85</f>
        <v/>
      </c>
      <c r="P158" s="197">
        <f>SUM(D158:O158)</f>
        <v/>
      </c>
      <c r="Q158" s="1175">
        <f>(Q159+Q160)</f>
        <v/>
      </c>
      <c r="R158" s="1176" t="inlineStr">
        <is>
          <t xml:space="preserve"> </t>
        </is>
      </c>
    </row>
    <row r="159" ht="18" customHeight="1">
      <c r="B159" s="1231" t="n"/>
      <c r="C159" s="118" t="inlineStr">
        <is>
          <t>Total COGS</t>
        </is>
      </c>
      <c r="D159" s="193">
        <f>D86+D92</f>
        <v/>
      </c>
      <c r="E159" s="193">
        <f>E86+E92</f>
        <v/>
      </c>
      <c r="F159" s="193">
        <f>F86+F92</f>
        <v/>
      </c>
      <c r="G159" s="193">
        <f>G86+G92</f>
        <v/>
      </c>
      <c r="H159" s="193">
        <f>H86+H92</f>
        <v/>
      </c>
      <c r="I159" s="193">
        <f>I86+I92</f>
        <v/>
      </c>
      <c r="J159" s="193">
        <f>J86+J92</f>
        <v/>
      </c>
      <c r="K159" s="193">
        <f>K86+K92</f>
        <v/>
      </c>
      <c r="L159" s="193">
        <f>L86+L92</f>
        <v/>
      </c>
      <c r="M159" s="193">
        <f>M86+M92</f>
        <v/>
      </c>
      <c r="N159" s="193">
        <f>N86+N92</f>
        <v/>
      </c>
      <c r="O159" s="193">
        <f>O86+O92</f>
        <v/>
      </c>
      <c r="P159" s="198">
        <f>SUM(D158:O158)</f>
        <v/>
      </c>
      <c r="Q159" s="1178">
        <f>IF(P158=0,0,P159/P158)</f>
        <v/>
      </c>
      <c r="R159" s="1179" t="inlineStr">
        <is>
          <t xml:space="preserve"> </t>
        </is>
      </c>
    </row>
    <row r="160" ht="19" customHeight="1" thickBot="1">
      <c r="B160" s="1232" t="n"/>
      <c r="C160" s="347" t="inlineStr">
        <is>
          <t>Total Margin</t>
        </is>
      </c>
      <c r="D160" s="308">
        <f>D158-D159</f>
        <v/>
      </c>
      <c r="E160" s="308">
        <f>E158-E159</f>
        <v/>
      </c>
      <c r="F160" s="308">
        <f>F158-F159</f>
        <v/>
      </c>
      <c r="G160" s="308">
        <f>G158-G159</f>
        <v/>
      </c>
      <c r="H160" s="308">
        <f>H158-H159</f>
        <v/>
      </c>
      <c r="I160" s="308">
        <f>I158-I159</f>
        <v/>
      </c>
      <c r="J160" s="308">
        <f>J158-J159</f>
        <v/>
      </c>
      <c r="K160" s="308">
        <f>K158-K159</f>
        <v/>
      </c>
      <c r="L160" s="308">
        <f>L158-L159</f>
        <v/>
      </c>
      <c r="M160" s="308">
        <f>M158-M159</f>
        <v/>
      </c>
      <c r="N160" s="308">
        <f>N158-N159</f>
        <v/>
      </c>
      <c r="O160" s="309">
        <f>O158-O159</f>
        <v/>
      </c>
      <c r="P160" s="348">
        <f>SUM(D159:O159)</f>
        <v/>
      </c>
      <c r="Q160" s="1181">
        <f>IF(P158=0,0,P160/P158)</f>
        <v/>
      </c>
      <c r="R160" s="1182" t="inlineStr">
        <is>
          <t xml:space="preserve"> </t>
        </is>
      </c>
    </row>
    <row r="161" ht="16" customHeight="1" thickBot="1">
      <c r="B161" s="128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</row>
    <row r="162" ht="18" customHeight="1">
      <c r="B162" s="1233" t="inlineStr">
        <is>
          <t>Total Support</t>
        </is>
      </c>
      <c r="C162" s="986" t="inlineStr">
        <is>
          <t>Total Support</t>
        </is>
      </c>
      <c r="D162" s="1234" t="n"/>
      <c r="E162" s="1234" t="n"/>
      <c r="F162" s="1234" t="n"/>
      <c r="G162" s="1234" t="n"/>
      <c r="H162" s="1234" t="n"/>
      <c r="I162" s="1234" t="n"/>
      <c r="J162" s="1234" t="n"/>
      <c r="K162" s="1234" t="n"/>
      <c r="L162" s="1234" t="n"/>
      <c r="M162" s="1234" t="n"/>
      <c r="N162" s="1234" t="n"/>
      <c r="O162" s="1234" t="n"/>
      <c r="P162" s="1234" t="n"/>
      <c r="Q162" s="1234" t="n"/>
      <c r="R162" s="1235" t="n"/>
    </row>
    <row r="163" ht="18" customHeight="1">
      <c r="B163" s="359" t="n"/>
      <c r="C163" s="99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997" t="n"/>
      <c r="P163" s="997" t="n"/>
      <c r="Q163" s="997" t="n"/>
      <c r="R163" s="222" t="n"/>
    </row>
    <row r="164" ht="18" customHeight="1">
      <c r="B164" s="359" t="n"/>
      <c r="C164" s="349" t="inlineStr">
        <is>
          <t>Total Sales</t>
        </is>
      </c>
      <c r="D164" s="350">
        <f>(D76+D69+D62+D55+D48+D41+D34+D27)*$D$10</f>
        <v/>
      </c>
      <c r="E164" s="350">
        <f>(E76+E69+E62+E55+E48+E41+E34+E27)*$D$10</f>
        <v/>
      </c>
      <c r="F164" s="350">
        <f>(F76+F69+F62+F55+F48+F41+F34+F27)*$D$10</f>
        <v/>
      </c>
      <c r="G164" s="350">
        <f>(G76+G69+G62+G55+G48+G41+G34+G27)*$D$10</f>
        <v/>
      </c>
      <c r="H164" s="350">
        <f>(H76+H69+H62+H55+H48+H41+H34+H27)*$D$10</f>
        <v/>
      </c>
      <c r="I164" s="350">
        <f>(I76+I69+I62+I55+I48+I41+I34+I27)*$D$10</f>
        <v/>
      </c>
      <c r="J164" s="350">
        <f>(J76+J69+J62+J55+J48+J41+J34+J27)*$D$10</f>
        <v/>
      </c>
      <c r="K164" s="350">
        <f>(K76+K69+K62+K55+K48+K41+K34+K27)*$D$10</f>
        <v/>
      </c>
      <c r="L164" s="350">
        <f>(L76+L69+L62+L55+L48+L41+L34+L27)*$D$10</f>
        <v/>
      </c>
      <c r="M164" s="350">
        <f>(M76+M69+M62+M55+M48+M41+M34+M27)*$D$10</f>
        <v/>
      </c>
      <c r="N164" s="350">
        <f>(N76+N69+N62+N55+N48+N41+N34+N27)*$D$10</f>
        <v/>
      </c>
      <c r="O164" s="351">
        <f>(O76+O69+O62+O55+O48+O41+O34+O27)*$D$10</f>
        <v/>
      </c>
      <c r="P164" s="59">
        <f>SUM(D164:O164)</f>
        <v/>
      </c>
      <c r="Q164" s="1175">
        <f>(Q165+Q166)</f>
        <v/>
      </c>
      <c r="R164" s="1236" t="inlineStr">
        <is>
          <t xml:space="preserve"> </t>
        </is>
      </c>
    </row>
    <row r="165" ht="18" customHeight="1">
      <c r="B165" s="359" t="n"/>
      <c r="C165" s="118" t="inlineStr">
        <is>
          <t>Total COGS</t>
        </is>
      </c>
      <c r="D165" s="193">
        <f>(D76+D69+D62+D55+D48+D41+D34+D27)*$E$10</f>
        <v/>
      </c>
      <c r="E165" s="193">
        <f>(E76+E69+E62+E55+E48+E41+E34+E27)*$E$10</f>
        <v/>
      </c>
      <c r="F165" s="193">
        <f>(F76+F69+F62+F55+F48+F41+F34+F27)*$E$10</f>
        <v/>
      </c>
      <c r="G165" s="193">
        <f>(G76+G69+G62+G55+G48+G41+G34+G27)*$E$10</f>
        <v/>
      </c>
      <c r="H165" s="193">
        <f>(H76+H69+H62+H55+H48+H41+H34+H27)*$E$10</f>
        <v/>
      </c>
      <c r="I165" s="193">
        <f>(I76+I69+I62+I55+I48+I41+I34+I27)*$E$10</f>
        <v/>
      </c>
      <c r="J165" s="193">
        <f>(J76+J69+J62+J55+J48+J41+J34+J27)*$E$10</f>
        <v/>
      </c>
      <c r="K165" s="193">
        <f>(K76+K69+K62+K55+K48+K41+K34+K27)*$E$10</f>
        <v/>
      </c>
      <c r="L165" s="193">
        <f>(L76+L69+L62+L55+L48+L41+L34+L27)*$E$10</f>
        <v/>
      </c>
      <c r="M165" s="193">
        <f>(M76+M69+M62+M55+M48+M41+M34+M27)*$E$10</f>
        <v/>
      </c>
      <c r="N165" s="193">
        <f>(N76+N69+N62+N55+N48+N41+N34+N27)*$E$10</f>
        <v/>
      </c>
      <c r="O165" s="193">
        <f>(O76+O69+O62+O55+O48+O41+O34+O27)*$E$10</f>
        <v/>
      </c>
      <c r="P165" s="345">
        <f>SUM(D165:O165)</f>
        <v/>
      </c>
      <c r="Q165" s="1178">
        <f>IF(P164=0,0,P165/P164)</f>
        <v/>
      </c>
      <c r="R165" s="1237" t="inlineStr">
        <is>
          <t xml:space="preserve"> </t>
        </is>
      </c>
    </row>
    <row r="166" ht="19" customHeight="1" thickBot="1">
      <c r="B166" s="1114" t="n"/>
      <c r="C166" s="343" t="inlineStr">
        <is>
          <t>Total Margin</t>
        </is>
      </c>
      <c r="D166" s="111">
        <f>D164-D165</f>
        <v/>
      </c>
      <c r="E166" s="111">
        <f>E164-E165</f>
        <v/>
      </c>
      <c r="F166" s="111">
        <f>F164-F165</f>
        <v/>
      </c>
      <c r="G166" s="111">
        <f>G164-G165</f>
        <v/>
      </c>
      <c r="H166" s="111">
        <f>H164-H165</f>
        <v/>
      </c>
      <c r="I166" s="111">
        <f>I164-I165</f>
        <v/>
      </c>
      <c r="J166" s="111">
        <f>J164-J165</f>
        <v/>
      </c>
      <c r="K166" s="111">
        <f>K164-K165</f>
        <v/>
      </c>
      <c r="L166" s="111">
        <f>L164-L165</f>
        <v/>
      </c>
      <c r="M166" s="111">
        <f>M164-M165</f>
        <v/>
      </c>
      <c r="N166" s="111">
        <f>N164-N165</f>
        <v/>
      </c>
      <c r="O166" s="111">
        <f>O164-O165</f>
        <v/>
      </c>
      <c r="P166" s="344">
        <f>SUM(D166:O166)</f>
        <v/>
      </c>
      <c r="Q166" s="1238">
        <f>IF(P164=0,0,P166/P164)</f>
        <v/>
      </c>
      <c r="R166" s="1239" t="inlineStr">
        <is>
          <t xml:space="preserve"> </t>
        </is>
      </c>
    </row>
    <row r="167" ht="19" customHeight="1" thickBot="1">
      <c r="B167" s="989" t="n"/>
      <c r="C167" s="711" t="n"/>
      <c r="D167" s="711" t="n"/>
      <c r="E167" s="711" t="n"/>
      <c r="F167" s="711" t="n"/>
      <c r="G167" s="711" t="n"/>
      <c r="H167" s="711" t="n"/>
      <c r="I167" s="711" t="n"/>
      <c r="J167" s="711" t="n"/>
      <c r="K167" s="711" t="n"/>
      <c r="L167" s="711" t="n"/>
      <c r="M167" s="340" t="n"/>
      <c r="N167" s="340" t="n"/>
      <c r="O167" s="340" t="n"/>
      <c r="P167" s="103" t="n"/>
      <c r="Q167" s="1208" t="n"/>
      <c r="R167" s="1240" t="n"/>
    </row>
    <row r="168" ht="18" customHeight="1">
      <c r="B168" s="1226" t="inlineStr">
        <is>
          <t>Total Admin</t>
        </is>
      </c>
      <c r="C168" s="1193" t="inlineStr">
        <is>
          <t>Administrative and On-Boarding</t>
        </is>
      </c>
      <c r="D168" s="1145" t="n"/>
      <c r="E168" s="1145" t="n"/>
      <c r="F168" s="1145" t="n"/>
      <c r="G168" s="1145" t="n"/>
      <c r="H168" s="1145" t="n"/>
      <c r="I168" s="1145" t="n"/>
      <c r="J168" s="1145" t="n"/>
      <c r="K168" s="1145" t="n"/>
      <c r="L168" s="1145" t="n"/>
      <c r="M168" s="1145" t="n"/>
      <c r="N168" s="1145" t="n"/>
      <c r="O168" s="1145" t="n"/>
      <c r="P168" s="1145" t="n"/>
      <c r="Q168" s="1145" t="n"/>
      <c r="R168" s="705" t="n"/>
    </row>
    <row r="169" ht="18" customHeight="1">
      <c r="B169" s="1180" t="n"/>
      <c r="C169" s="295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1" t="n"/>
      <c r="P169" s="182" t="n"/>
      <c r="Q169" s="180" t="n"/>
      <c r="R169" s="296" t="n"/>
    </row>
    <row r="170" ht="18" customHeight="1">
      <c r="B170" s="1180" t="n"/>
      <c r="C170" s="297" t="inlineStr">
        <is>
          <t>Total Sales</t>
        </is>
      </c>
      <c r="D170" s="194">
        <f>D120+D115+D109+D103</f>
        <v/>
      </c>
      <c r="E170" s="194">
        <f>E120+E115+E109+E103</f>
        <v/>
      </c>
      <c r="F170" s="194">
        <f>F121+F115+F109+F103</f>
        <v/>
      </c>
      <c r="G170" s="194">
        <f>G121+G115+G109+G103</f>
        <v/>
      </c>
      <c r="H170" s="194">
        <f>H121+H115+H109+H103</f>
        <v/>
      </c>
      <c r="I170" s="194">
        <f>I121+I115+I109+I103</f>
        <v/>
      </c>
      <c r="J170" s="194">
        <f>J121+J115+J109+J103</f>
        <v/>
      </c>
      <c r="K170" s="194">
        <f>K121+K115+K109+K103</f>
        <v/>
      </c>
      <c r="L170" s="194">
        <f>L121+L115+L109+L103</f>
        <v/>
      </c>
      <c r="M170" s="194">
        <f>M121+M115+M109+M103</f>
        <v/>
      </c>
      <c r="N170" s="194">
        <f>N121+N115+N109+N103</f>
        <v/>
      </c>
      <c r="O170" s="194">
        <f>O121+O115+O109+O103</f>
        <v/>
      </c>
      <c r="P170" s="59">
        <f>SUM(D170:O170)</f>
        <v/>
      </c>
      <c r="Q170" s="1175">
        <f>(Q171+Q172)</f>
        <v/>
      </c>
      <c r="R170" s="1176" t="inlineStr">
        <is>
          <t xml:space="preserve"> </t>
        </is>
      </c>
    </row>
    <row r="171" ht="18" customHeight="1">
      <c r="B171" s="1180" t="n"/>
      <c r="C171" s="299" t="inlineStr">
        <is>
          <t>Total COGS</t>
        </is>
      </c>
      <c r="D171" s="193">
        <f>D122+D116+D110+D104</f>
        <v/>
      </c>
      <c r="E171" s="193">
        <f>E122+E116+E110+E104</f>
        <v/>
      </c>
      <c r="F171" s="193">
        <f>F122+F116+F110+F104</f>
        <v/>
      </c>
      <c r="G171" s="193">
        <f>G122+G116+G110+G104</f>
        <v/>
      </c>
      <c r="H171" s="193">
        <f>H122+H116+H110+H104</f>
        <v/>
      </c>
      <c r="I171" s="193">
        <f>I122+I116+I110+I104</f>
        <v/>
      </c>
      <c r="J171" s="193">
        <f>J122+J116+J110+J104</f>
        <v/>
      </c>
      <c r="K171" s="193">
        <f>K122+K116+K110+K104</f>
        <v/>
      </c>
      <c r="L171" s="193">
        <f>L122+L116+L110+L104</f>
        <v/>
      </c>
      <c r="M171" s="193">
        <f>M122+M116+M110+M104</f>
        <v/>
      </c>
      <c r="N171" s="193">
        <f>N122+N116+N110+N104</f>
        <v/>
      </c>
      <c r="O171" s="193">
        <f>O122+O116+O110+O104</f>
        <v/>
      </c>
      <c r="P171" s="64">
        <f>SUM(D171:O171)</f>
        <v/>
      </c>
      <c r="Q171" s="1178">
        <f>IF(P170=0,0,P171/P170)</f>
        <v/>
      </c>
      <c r="R171" s="1179" t="inlineStr">
        <is>
          <t xml:space="preserve"> </t>
        </is>
      </c>
    </row>
    <row r="172" ht="19" customHeight="1" thickBot="1">
      <c r="B172" s="712" t="n"/>
      <c r="C172" s="301" t="inlineStr">
        <is>
          <t>Total Margin</t>
        </is>
      </c>
      <c r="D172" s="308">
        <f>D170-D171</f>
        <v/>
      </c>
      <c r="E172" s="308">
        <f>E170-E171</f>
        <v/>
      </c>
      <c r="F172" s="308">
        <f>F170-F171</f>
        <v/>
      </c>
      <c r="G172" s="308">
        <f>G170-G171</f>
        <v/>
      </c>
      <c r="H172" s="308">
        <f>H170-H171</f>
        <v/>
      </c>
      <c r="I172" s="308">
        <f>I170-I171</f>
        <v/>
      </c>
      <c r="J172" s="308">
        <f>J170-J171</f>
        <v/>
      </c>
      <c r="K172" s="308">
        <f>K170-K171</f>
        <v/>
      </c>
      <c r="L172" s="308">
        <f>L170-L171</f>
        <v/>
      </c>
      <c r="M172" s="308">
        <f>M170-M171</f>
        <v/>
      </c>
      <c r="N172" s="308">
        <f>N170-N171</f>
        <v/>
      </c>
      <c r="O172" s="308">
        <f>O170-O171</f>
        <v/>
      </c>
      <c r="P172" s="303">
        <f>SUM(D172:O172)</f>
        <v/>
      </c>
      <c r="Q172" s="1181">
        <f>IF(P170=0,0,P172/P170)</f>
        <v/>
      </c>
      <c r="R172" s="1182" t="inlineStr">
        <is>
          <t xml:space="preserve"> </t>
        </is>
      </c>
    </row>
    <row r="173" ht="16" customHeight="1" thickBot="1">
      <c r="B173" s="203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</row>
    <row r="174" ht="18" customHeight="1">
      <c r="B174" s="1243" t="inlineStr">
        <is>
          <t>Grand Total</t>
        </is>
      </c>
      <c r="C174" s="1244" t="inlineStr">
        <is>
          <t>Grand Totals</t>
        </is>
      </c>
      <c r="R174" s="1245" t="n"/>
    </row>
    <row r="175" ht="18" customHeight="1">
      <c r="B175" s="1246" t="n"/>
      <c r="C175" s="216" t="inlineStr">
        <is>
          <t>Total Users</t>
        </is>
      </c>
      <c r="D175" s="1247">
        <f>SUM(D27,D34,D41,D48,D55,D62,D69,D76)</f>
        <v/>
      </c>
      <c r="E175" s="1247">
        <f>SUM(E27,E34,E41,E48,E55,E62,E69,E76)</f>
        <v/>
      </c>
      <c r="F175" s="1247">
        <f>SUM(F27,F34,F41,F48,F55,F62,F69,F76)</f>
        <v/>
      </c>
      <c r="G175" s="1247">
        <f>SUM(G27,G34,G41,G48,G55,G62,G69,G76)</f>
        <v/>
      </c>
      <c r="H175" s="1247">
        <f>SUM(H27,H34,H41,H48,H55,H62,H69,H76)</f>
        <v/>
      </c>
      <c r="I175" s="1247">
        <f>SUM(I27,I34,I41,I48,I55,I62,I69,I76)</f>
        <v/>
      </c>
      <c r="J175" s="1247">
        <f>SUM(J27,J34,J41,J48,J55,J62,J69,J76)</f>
        <v/>
      </c>
      <c r="K175" s="1247">
        <f>SUM(K27,K34,K41,K48,K55,K62,K69,K76)</f>
        <v/>
      </c>
      <c r="L175" s="1247">
        <f>SUM(L27,L34,L41,L48,L55,L62,L69,L76)</f>
        <v/>
      </c>
      <c r="M175" s="1247">
        <f>SUM(M27,M34,M41,M48,M55,M62,M69,M76)</f>
        <v/>
      </c>
      <c r="N175" s="1247">
        <f>SUM(N27,N34,N41,N48,N55,N62,N69,N76)</f>
        <v/>
      </c>
      <c r="O175" s="1247">
        <f>SUM(O27,O34,O41,O48,O55,O62,O69,O76)</f>
        <v/>
      </c>
      <c r="P175" s="1247">
        <f>SUM(P27,P34,P41,P48,P55,P62,P69,P76)</f>
        <v/>
      </c>
      <c r="Q175" s="180" t="n"/>
      <c r="R175" s="181" t="n"/>
      <c r="T175" s="639" t="inlineStr">
        <is>
          <t xml:space="preserve"> </t>
        </is>
      </c>
    </row>
    <row r="176" ht="18" customHeight="1">
      <c r="B176" s="1246" t="n"/>
      <c r="C176" s="210" t="inlineStr">
        <is>
          <t>Total Sales</t>
        </is>
      </c>
      <c r="D176" s="194">
        <f>D170+D158+D146+D140+D134+D152+D164+D128</f>
        <v/>
      </c>
      <c r="E176" s="194">
        <f>E170+E158+E146+E140+E134+E152+E164+E128</f>
        <v/>
      </c>
      <c r="F176" s="194">
        <f>F170+F158+F146+F140+F134+F152+F164+F128</f>
        <v/>
      </c>
      <c r="G176" s="194">
        <f>G170+G158+G146+G140+G134+G152+G164+G128</f>
        <v/>
      </c>
      <c r="H176" s="194">
        <f>H170+H158+H146+H140+H134+H152+H164+H128</f>
        <v/>
      </c>
      <c r="I176" s="194">
        <f>I170+I158+I146+I140+I134+I152+I164+I128</f>
        <v/>
      </c>
      <c r="J176" s="194">
        <f>J170+J158+J146+J140+J134+J152+J164+J128</f>
        <v/>
      </c>
      <c r="K176" s="194">
        <f>K170+K158+K146+K140+K134+K152+K164+K128</f>
        <v/>
      </c>
      <c r="L176" s="194">
        <f>L170+L158+L146+L140+L134+L152+L164+L128</f>
        <v/>
      </c>
      <c r="M176" s="194">
        <f>M170+M158+M146+M140+M134+M152+M164+M128</f>
        <v/>
      </c>
      <c r="N176" s="194">
        <f>N170+N158+N146+N140+N134+N152+N164+N128</f>
        <v/>
      </c>
      <c r="O176" s="194">
        <f>O170+O158+O146+O140+O134+O152+O164+O128</f>
        <v/>
      </c>
      <c r="P176" s="197">
        <f>SUM(D176:O176)</f>
        <v/>
      </c>
      <c r="Q176" s="1175">
        <f>(Q177+Q178)</f>
        <v/>
      </c>
      <c r="R176" s="1248" t="inlineStr">
        <is>
          <t xml:space="preserve"> </t>
        </is>
      </c>
      <c r="T176" s="1263" t="inlineStr">
        <is>
          <t xml:space="preserve"> </t>
        </is>
      </c>
    </row>
    <row r="177" ht="18" customHeight="1">
      <c r="B177" s="1246" t="n"/>
      <c r="C177" s="212" t="inlineStr">
        <is>
          <t>Total COGS</t>
        </is>
      </c>
      <c r="D177" s="193">
        <f>D171+D159+D153+D147+D141+D135+D129</f>
        <v/>
      </c>
      <c r="E177" s="193">
        <f>E171+E159+E153+E147+E141+E135+E129</f>
        <v/>
      </c>
      <c r="F177" s="193">
        <f>F171+F159+F153+F147+F141+F135+F129</f>
        <v/>
      </c>
      <c r="G177" s="193">
        <f>G171+G159+G153+G147+G141+G135+G129</f>
        <v/>
      </c>
      <c r="H177" s="193">
        <f>H171+H159+H153+H147+H141+H135+H129</f>
        <v/>
      </c>
      <c r="I177" s="193">
        <f>I171+I159+I153+I147+I141+I135+I129</f>
        <v/>
      </c>
      <c r="J177" s="193">
        <f>J171+J159+J153+J147+J141+J135+J129</f>
        <v/>
      </c>
      <c r="K177" s="193">
        <f>K171+K159+K153+K147+K141+K135+K129</f>
        <v/>
      </c>
      <c r="L177" s="193">
        <f>L171+L159+L153+L147+L141+L135+L129</f>
        <v/>
      </c>
      <c r="M177" s="193">
        <f>M171+M159+M153+M147+M141+M135+M129</f>
        <v/>
      </c>
      <c r="N177" s="193">
        <f>N171+N159+N153+N147+N141+N135+N129</f>
        <v/>
      </c>
      <c r="O177" s="193">
        <f>O171+O159+O153+O147+O141+O135+O129</f>
        <v/>
      </c>
      <c r="P177" s="198">
        <f>SUM(D177:O177)</f>
        <v/>
      </c>
      <c r="Q177" s="1178">
        <f>IF(P176=0,0,P177/P176)</f>
        <v/>
      </c>
      <c r="R177" s="1250" t="inlineStr">
        <is>
          <t xml:space="preserve"> </t>
        </is>
      </c>
      <c r="T177" s="46" t="n"/>
    </row>
    <row r="178" ht="19" customHeight="1" thickBot="1">
      <c r="B178" s="1251" t="n"/>
      <c r="C178" s="214" t="inlineStr">
        <is>
          <t>Total Margin</t>
        </is>
      </c>
      <c r="D178" s="111">
        <f>D176-D177</f>
        <v/>
      </c>
      <c r="E178" s="111">
        <f>E176-E177</f>
        <v/>
      </c>
      <c r="F178" s="111">
        <f>F176-F177</f>
        <v/>
      </c>
      <c r="G178" s="111">
        <f>G176-G177</f>
        <v/>
      </c>
      <c r="H178" s="111">
        <f>H176-H177</f>
        <v/>
      </c>
      <c r="I178" s="111">
        <f>I176-I177</f>
        <v/>
      </c>
      <c r="J178" s="111">
        <f>J176-J177</f>
        <v/>
      </c>
      <c r="K178" s="111">
        <f>K176-K177</f>
        <v/>
      </c>
      <c r="L178" s="111">
        <f>L176-L177</f>
        <v/>
      </c>
      <c r="M178" s="111">
        <f>M176-M177</f>
        <v/>
      </c>
      <c r="N178" s="111">
        <f>N176-N177</f>
        <v/>
      </c>
      <c r="O178" s="219">
        <f>O176-O177</f>
        <v/>
      </c>
      <c r="P178" s="220">
        <f>SUM(D178:O178)</f>
        <v/>
      </c>
      <c r="Q178" s="1252">
        <f>IF(P176=0,0,P178/P176)</f>
        <v/>
      </c>
      <c r="R178" s="1253" t="inlineStr">
        <is>
          <t xml:space="preserve"> </t>
        </is>
      </c>
    </row>
    <row r="179"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</row>
  </sheetData>
  <mergeCells count="77">
    <mergeCell ref="D2:F2"/>
    <mergeCell ref="T48:AA48"/>
    <mergeCell ref="T30:AA30"/>
    <mergeCell ref="C119:R119"/>
    <mergeCell ref="B162:B166"/>
    <mergeCell ref="T57:AA57"/>
    <mergeCell ref="T32:AA32"/>
    <mergeCell ref="T29:AA29"/>
    <mergeCell ref="B126:B130"/>
    <mergeCell ref="T54:AA54"/>
    <mergeCell ref="C83:R83"/>
    <mergeCell ref="T40:AA40"/>
    <mergeCell ref="B150:B154"/>
    <mergeCell ref="C40:R40"/>
    <mergeCell ref="C60:R60"/>
    <mergeCell ref="C138:R138"/>
    <mergeCell ref="T39:AA39"/>
    <mergeCell ref="C132:R132"/>
    <mergeCell ref="T45:AA45"/>
    <mergeCell ref="C174:R174"/>
    <mergeCell ref="T47:AA47"/>
    <mergeCell ref="C53:R53"/>
    <mergeCell ref="T50:AA50"/>
    <mergeCell ref="D3:F3"/>
    <mergeCell ref="T44:AA44"/>
    <mergeCell ref="C68:R68"/>
    <mergeCell ref="B138:B142"/>
    <mergeCell ref="T51:AA51"/>
    <mergeCell ref="B156:B160"/>
    <mergeCell ref="C113:R113"/>
    <mergeCell ref="T41:AA41"/>
    <mergeCell ref="C94:R94"/>
    <mergeCell ref="C47:R47"/>
    <mergeCell ref="C75:R75"/>
    <mergeCell ref="T43:AA43"/>
    <mergeCell ref="T52:AA52"/>
    <mergeCell ref="C46:R46"/>
    <mergeCell ref="T27:AA27"/>
    <mergeCell ref="T36:AA36"/>
    <mergeCell ref="C95:R95"/>
    <mergeCell ref="T33:AA33"/>
    <mergeCell ref="B174:B178"/>
    <mergeCell ref="B168:B172"/>
    <mergeCell ref="B101:B124"/>
    <mergeCell ref="T53:AA53"/>
    <mergeCell ref="B83:B98"/>
    <mergeCell ref="T55:AA55"/>
    <mergeCell ref="C101:R101"/>
    <mergeCell ref="C33:R33"/>
    <mergeCell ref="C156:R156"/>
    <mergeCell ref="C74:R74"/>
    <mergeCell ref="C126:R126"/>
    <mergeCell ref="C88:R88"/>
    <mergeCell ref="C26:R26"/>
    <mergeCell ref="C168:R168"/>
    <mergeCell ref="B132:B136"/>
    <mergeCell ref="C61:R61"/>
    <mergeCell ref="C150:R150"/>
    <mergeCell ref="C39:R39"/>
    <mergeCell ref="C144:R144"/>
    <mergeCell ref="B81:R81"/>
    <mergeCell ref="T38:AA38"/>
    <mergeCell ref="B40:B53"/>
    <mergeCell ref="B54:B67"/>
    <mergeCell ref="C32:R32"/>
    <mergeCell ref="B167:L167"/>
    <mergeCell ref="B26:B39"/>
    <mergeCell ref="C107:R107"/>
    <mergeCell ref="C89:R89"/>
    <mergeCell ref="B144:B148"/>
    <mergeCell ref="B68:B80"/>
    <mergeCell ref="C162:R162"/>
    <mergeCell ref="C54:R54"/>
    <mergeCell ref="T31:AA31"/>
    <mergeCell ref="T34:AA34"/>
    <mergeCell ref="T46:AA46"/>
    <mergeCell ref="T37:AA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A179"/>
  <sheetViews>
    <sheetView topLeftCell="A20" zoomScale="95" zoomScaleNormal="95" workbookViewId="0">
      <selection activeCell="O69" sqref="O69"/>
    </sheetView>
  </sheetViews>
  <sheetFormatPr baseColWidth="10" defaultColWidth="8.83203125" defaultRowHeight="15"/>
  <cols>
    <col width="53.5" customWidth="1" min="3" max="3"/>
    <col width="18.1640625" customWidth="1" min="4" max="18"/>
    <col width="22" customWidth="1" min="19" max="19"/>
    <col width="15.1640625" customWidth="1" min="20" max="20"/>
    <col width="18.1640625" customWidth="1" min="22" max="27"/>
  </cols>
  <sheetData>
    <row r="2" ht="16" customHeight="1" thickBot="1">
      <c r="J2" s="46" t="n"/>
      <c r="K2" s="46" t="n"/>
      <c r="L2" s="46" t="n"/>
      <c r="M2" s="46" t="n"/>
      <c r="N2" s="46" t="n"/>
      <c r="O2" s="47" t="n"/>
      <c r="P2" s="47" t="n"/>
      <c r="Q2" s="47" t="n"/>
      <c r="R2" s="47" t="n"/>
    </row>
    <row r="3" ht="76" customHeight="1" thickBot="1">
      <c r="B3" s="46" t="n"/>
      <c r="C3" s="328" t="n">
        <v>2027</v>
      </c>
      <c r="D3" s="1264" t="inlineStr">
        <is>
          <t>Pricing</t>
        </is>
      </c>
      <c r="E3" s="1234" t="n"/>
      <c r="F3" s="1235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39" customHeight="1" thickBot="1">
      <c r="B4" s="46" t="n"/>
      <c r="C4" s="494" t="inlineStr">
        <is>
          <t>Offerings and Distribution</t>
        </is>
      </c>
      <c r="D4" s="495" t="inlineStr">
        <is>
          <t>Price</t>
        </is>
      </c>
      <c r="E4" s="496" t="inlineStr">
        <is>
          <t>COGS</t>
        </is>
      </c>
      <c r="F4" s="497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19" customHeight="1" thickBot="1">
      <c r="B5" s="46" t="n"/>
      <c r="C5" s="188" t="inlineStr">
        <is>
          <t>Administrative</t>
        </is>
      </c>
      <c r="D5" s="498" t="n"/>
      <c r="E5" s="498" t="n"/>
      <c r="F5" s="499" t="n"/>
      <c r="G5" s="46" t="n"/>
      <c r="H5" s="250" t="inlineStr">
        <is>
          <t>Growth Model</t>
        </is>
      </c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19" customHeight="1">
      <c r="B6" s="46" t="n"/>
      <c r="C6" s="834" t="inlineStr">
        <is>
          <t>Configuration</t>
        </is>
      </c>
      <c r="D6" s="807" t="n">
        <v>250</v>
      </c>
      <c r="E6" s="835" t="n">
        <v>50</v>
      </c>
      <c r="F6" s="1151">
        <f>D6-E6</f>
        <v/>
      </c>
      <c r="G6" s="46" t="n"/>
      <c r="H6" s="223" t="inlineStr">
        <is>
          <t xml:space="preserve"> </t>
        </is>
      </c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19" customHeight="1">
      <c r="B7" s="46" t="n"/>
      <c r="C7" s="836" t="inlineStr">
        <is>
          <t>On-Boarding- Administrator</t>
        </is>
      </c>
      <c r="D7" s="500" t="n">
        <v>500</v>
      </c>
      <c r="E7" s="420" t="n">
        <v>100</v>
      </c>
      <c r="F7" s="1152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19" customHeight="1">
      <c r="B8" s="46" t="n"/>
      <c r="C8" s="836" t="inlineStr">
        <is>
          <t>On-Boarding Users</t>
        </is>
      </c>
      <c r="D8" s="500" t="n">
        <v>500</v>
      </c>
      <c r="E8" s="420" t="n">
        <v>100</v>
      </c>
      <c r="F8" s="1152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19" customHeight="1">
      <c r="B9" s="46" t="n"/>
      <c r="C9" s="838" t="inlineStr">
        <is>
          <t>Import</t>
        </is>
      </c>
      <c r="D9" s="861">
        <f>'Pricing Calcuator'!D86</f>
        <v/>
      </c>
      <c r="E9" s="421" t="n">
        <v>600</v>
      </c>
      <c r="F9" s="1265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20" customHeight="1" thickBot="1">
      <c r="B10" s="46" t="n"/>
      <c r="C10" s="840" t="inlineStr">
        <is>
          <t>Support</t>
        </is>
      </c>
      <c r="D10" s="502" t="n">
        <v>100</v>
      </c>
      <c r="E10" s="431" t="n">
        <v>50</v>
      </c>
      <c r="F10" s="1266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18" customHeight="1">
      <c r="B11" s="46" t="n"/>
      <c r="C11" s="842" t="inlineStr">
        <is>
          <t>Industry Break Down</t>
        </is>
      </c>
      <c r="D11" s="503" t="inlineStr">
        <is>
          <t xml:space="preserve"> </t>
        </is>
      </c>
      <c r="E11" s="504">
        <f>'COGS Analysis'!D18</f>
        <v/>
      </c>
      <c r="F11" s="1267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18" customHeight="1">
      <c r="B12" s="46" t="n"/>
      <c r="C12" s="809" t="inlineStr">
        <is>
          <t>Hospitality</t>
        </is>
      </c>
      <c r="D12" s="74" t="n">
        <v>250</v>
      </c>
      <c r="E12" s="501">
        <f>'Revenue 2030'!Q210</f>
        <v/>
      </c>
      <c r="F12" s="1265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18" customHeight="1">
      <c r="B13" s="46" t="n"/>
      <c r="C13" s="809" t="inlineStr">
        <is>
          <t>Hospitality- Reseller</t>
        </is>
      </c>
      <c r="D13" s="74" t="n">
        <v>100</v>
      </c>
      <c r="E13" s="501">
        <f>'Revenue 2030'!$Q$210</f>
        <v/>
      </c>
      <c r="F13" s="1265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18" customHeight="1">
      <c r="B14" s="46" t="n"/>
      <c r="C14" s="811" t="inlineStr">
        <is>
          <t>Real Estate Development</t>
        </is>
      </c>
      <c r="D14" s="92" t="n">
        <v>400</v>
      </c>
      <c r="E14" s="766">
        <f>'Revenue 2030'!$Q$210</f>
        <v/>
      </c>
      <c r="F14" s="1268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18" customHeight="1">
      <c r="B15" s="46" t="n"/>
      <c r="C15" s="811" t="inlineStr">
        <is>
          <t>Real Estate Development- Reseller</t>
        </is>
      </c>
      <c r="D15" s="92" t="n">
        <v>250</v>
      </c>
      <c r="E15" s="766">
        <f>'Revenue 2030'!$Q$210</f>
        <v/>
      </c>
      <c r="F15" s="1268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18" customHeight="1">
      <c r="B16" s="46" t="n"/>
      <c r="C16" s="809" t="inlineStr">
        <is>
          <t>Pharma</t>
        </is>
      </c>
      <c r="D16" s="74" t="n">
        <v>400</v>
      </c>
      <c r="E16" s="501">
        <f>'Revenue 2030'!$Q$210</f>
        <v/>
      </c>
      <c r="F16" s="1265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18" customHeight="1">
      <c r="B17" s="46" t="n"/>
      <c r="C17" s="809" t="inlineStr">
        <is>
          <t>Pharma- Reseller</t>
        </is>
      </c>
      <c r="D17" s="74" t="n">
        <v>250</v>
      </c>
      <c r="E17" s="501">
        <f>'Revenue 2030'!$Q$210</f>
        <v/>
      </c>
      <c r="F17" s="1265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18" customHeight="1">
      <c r="B18" s="46" t="n"/>
      <c r="C18" s="811" t="inlineStr">
        <is>
          <t>Start up - Small Firms</t>
        </is>
      </c>
      <c r="D18" s="92" t="n">
        <v>200</v>
      </c>
      <c r="E18" s="766">
        <f>'Revenue 2030'!$Q$210</f>
        <v/>
      </c>
      <c r="F18" s="1268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19" customHeight="1" thickBot="1">
      <c r="B19" s="46" t="n"/>
      <c r="C19" s="813" t="inlineStr">
        <is>
          <t>Start up Reseller</t>
        </is>
      </c>
      <c r="D19" s="845" t="n">
        <v>100</v>
      </c>
      <c r="E19" s="846">
        <f>'Revenue 2030'!$Q$210</f>
        <v/>
      </c>
      <c r="F19" s="1269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18" customHeight="1">
      <c r="B20" s="46" t="n"/>
      <c r="C20" s="461" t="inlineStr">
        <is>
          <t>Training / Consultancy Training as a Service</t>
        </is>
      </c>
      <c r="D20" s="832" t="n"/>
      <c r="E20" s="832" t="n"/>
      <c r="F20" s="1270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33" customHeight="1">
      <c r="B21" s="46" t="n"/>
      <c r="C21" s="505" t="inlineStr">
        <is>
          <t>Thought Library</t>
        </is>
      </c>
      <c r="D21" s="92" t="n">
        <v>50</v>
      </c>
      <c r="E21" s="92" t="n">
        <v>25</v>
      </c>
      <c r="F21" s="1271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19" customHeight="1" thickBot="1">
      <c r="B22" s="46" t="n"/>
      <c r="C22" s="506" t="inlineStr">
        <is>
          <t>Consultancy Services</t>
        </is>
      </c>
      <c r="D22" s="95" t="n">
        <v>225</v>
      </c>
      <c r="E22" s="95" t="n">
        <v>125</v>
      </c>
      <c r="F22" s="1162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23.25" customHeight="1" thickBot="1">
      <c r="B23" s="46" t="n"/>
      <c r="C23" s="106" t="n"/>
      <c r="D23" s="253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37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55" t="inlineStr">
        <is>
          <t>Profit margin comparison</t>
        </is>
      </c>
      <c r="S24" s="901" t="inlineStr">
        <is>
          <t>Churn</t>
        </is>
      </c>
    </row>
    <row r="25" ht="15" customHeight="1" thickBo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</row>
    <row r="26" ht="17" customHeight="1" thickBot="1">
      <c r="B26" s="1163" t="inlineStr">
        <is>
          <t>Hospitality</t>
        </is>
      </c>
      <c r="C26" s="1164">
        <f>C12</f>
        <v/>
      </c>
      <c r="R26" s="1165" t="n"/>
      <c r="T26" s="1260" t="inlineStr">
        <is>
          <t>Assumptions</t>
        </is>
      </c>
      <c r="U26" s="1167" t="n"/>
      <c r="V26" s="1167" t="n"/>
      <c r="W26" s="1167" t="n"/>
      <c r="X26" s="1167" t="n"/>
      <c r="Y26" s="1167" t="n"/>
      <c r="Z26" s="1167" t="n"/>
      <c r="AA26" s="1168" t="n"/>
    </row>
    <row r="27" ht="23" customHeight="1" thickBot="1">
      <c r="B27" s="1169" t="n"/>
      <c r="C27" s="116" t="inlineStr">
        <is>
          <t>Licences Sold</t>
        </is>
      </c>
      <c r="D27" s="1170" t="n">
        <v>500</v>
      </c>
      <c r="E27" s="1170" t="n">
        <v>525</v>
      </c>
      <c r="F27" s="1170" t="n">
        <v>540</v>
      </c>
      <c r="G27" s="1170" t="n">
        <v>600</v>
      </c>
      <c r="H27" s="1170" t="n">
        <v>625</v>
      </c>
      <c r="I27" s="1170" t="n">
        <v>680</v>
      </c>
      <c r="J27" s="1170" t="n">
        <v>700</v>
      </c>
      <c r="K27" s="1170" t="n">
        <v>725</v>
      </c>
      <c r="L27" s="1170" t="n">
        <v>725</v>
      </c>
      <c r="M27" s="1170" t="n">
        <v>725</v>
      </c>
      <c r="N27" s="1170" t="n">
        <v>725</v>
      </c>
      <c r="O27" s="1170" t="n">
        <v>750</v>
      </c>
      <c r="P27" s="1171">
        <f>O27</f>
        <v/>
      </c>
      <c r="Q27" s="323" t="n"/>
      <c r="R27" s="324" t="n"/>
      <c r="S27" s="912" t="n">
        <v>0.03</v>
      </c>
      <c r="T27" s="1172" t="n"/>
      <c r="U27" s="1145" t="n"/>
      <c r="V27" s="1145" t="n"/>
      <c r="W27" s="1145" t="n"/>
      <c r="X27" s="1145" t="n"/>
      <c r="Y27" s="1145" t="n"/>
      <c r="Z27" s="1145" t="n"/>
      <c r="AA27" s="705" t="n"/>
    </row>
    <row r="28" hidden="1" ht="23" customHeigh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174" t="n"/>
      <c r="Q28" s="909" t="n"/>
      <c r="R28" s="910" t="n"/>
      <c r="S28" s="912" t="n"/>
      <c r="T28" s="958" t="n"/>
      <c r="U28" s="959" t="n"/>
      <c r="V28" s="959" t="n"/>
      <c r="W28" s="959" t="n"/>
      <c r="X28" s="959" t="n"/>
      <c r="Y28" s="959" t="n"/>
      <c r="Z28" s="959" t="n"/>
      <c r="AA28" s="960" t="n"/>
    </row>
    <row r="29" ht="27" customHeight="1">
      <c r="B29" s="1169" t="n"/>
      <c r="C29" s="117" t="inlineStr">
        <is>
          <t>Total Sales</t>
        </is>
      </c>
      <c r="D29" s="194">
        <f>(D27-D28)*$D$12</f>
        <v/>
      </c>
      <c r="E29" s="194">
        <f>(E27-E28)*$D$12</f>
        <v/>
      </c>
      <c r="F29" s="194">
        <f>(F27-F28)*$D$12</f>
        <v/>
      </c>
      <c r="G29" s="194">
        <f>(G27-G28)*$D$12</f>
        <v/>
      </c>
      <c r="H29" s="194">
        <f>(H27-H28)*$D$12</f>
        <v/>
      </c>
      <c r="I29" s="194">
        <f>(I27-I28)*$D$12</f>
        <v/>
      </c>
      <c r="J29" s="194">
        <f>(J27-J28)*$D$12</f>
        <v/>
      </c>
      <c r="K29" s="194">
        <f>(K27-K28)*$D$12</f>
        <v/>
      </c>
      <c r="L29" s="194">
        <f>(L27-L28)*$D$12</f>
        <v/>
      </c>
      <c r="M29" s="194">
        <f>(M27-M28)*$D$12</f>
        <v/>
      </c>
      <c r="N29" s="194">
        <f>(N27-N28)*$D$12</f>
        <v/>
      </c>
      <c r="O29" s="194">
        <f>(O27-O28)*$D$12</f>
        <v/>
      </c>
      <c r="P29" s="319">
        <f>SUM(D29:O29)</f>
        <v/>
      </c>
      <c r="Q29" s="1175">
        <f>(Q30+Q31)</f>
        <v/>
      </c>
      <c r="R29" s="1176" t="inlineStr">
        <is>
          <t xml:space="preserve"> </t>
        </is>
      </c>
      <c r="S29" s="912" t="n"/>
      <c r="T29" s="1188" t="n"/>
      <c r="AA29" s="707" t="n"/>
    </row>
    <row r="30" ht="27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320">
        <f>SUM(D30:O30)</f>
        <v/>
      </c>
      <c r="Q30" s="1178">
        <f>IF(P29=0,0,P30/P29)</f>
        <v/>
      </c>
      <c r="R30" s="1179" t="inlineStr">
        <is>
          <t xml:space="preserve"> </t>
        </is>
      </c>
      <c r="S30" s="913" t="n"/>
      <c r="T30" s="1184" t="inlineStr">
        <is>
          <t xml:space="preserve">t Additional sales person added to focus on Start ups and Pharma </t>
        </is>
      </c>
      <c r="AA30" s="707" t="n"/>
    </row>
    <row r="31" ht="27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321">
        <f>SUM(D31:O31)</f>
        <v/>
      </c>
      <c r="Q31" s="1181">
        <f>IF(P29=0,0,P31/P29)</f>
        <v/>
      </c>
      <c r="R31" s="1182" t="inlineStr">
        <is>
          <t xml:space="preserve"> </t>
        </is>
      </c>
      <c r="S31" s="913" t="n"/>
      <c r="T31" s="1196" t="n"/>
      <c r="AA31" s="707" t="n"/>
    </row>
    <row r="32" ht="24" customHeight="1">
      <c r="B32" s="1169" t="n"/>
      <c r="C32" s="1183" t="inlineStr">
        <is>
          <t xml:space="preserve"> </t>
        </is>
      </c>
      <c r="S32" s="913" t="n"/>
      <c r="T32" s="1184" t="inlineStr">
        <is>
          <t>t Thought library usage is based on 35% of new users purchasing the thought library access</t>
        </is>
      </c>
      <c r="AA32" s="707" t="n"/>
    </row>
    <row r="33" ht="27" customHeight="1" thickBot="1">
      <c r="B33" s="1169" t="n"/>
      <c r="C33" s="1185">
        <f>C13</f>
        <v/>
      </c>
      <c r="R33" s="707" t="n"/>
      <c r="S33" s="913" t="n"/>
      <c r="T33" s="1184" t="n"/>
      <c r="AA33" s="707" t="n"/>
    </row>
    <row r="34" ht="27" customHeight="1" thickBot="1">
      <c r="B34" s="1169" t="n"/>
      <c r="C34" s="116" t="inlineStr">
        <is>
          <t>Licences Sold</t>
        </is>
      </c>
      <c r="D34" s="1170" t="n">
        <v>210</v>
      </c>
      <c r="E34" s="1170" t="n">
        <v>450</v>
      </c>
      <c r="F34" s="1170" t="n">
        <v>465</v>
      </c>
      <c r="G34" s="1170" t="n">
        <v>480</v>
      </c>
      <c r="H34" s="1170" t="n">
        <v>480</v>
      </c>
      <c r="I34" s="1170" t="n">
        <v>500</v>
      </c>
      <c r="J34" s="1170" t="n">
        <v>425</v>
      </c>
      <c r="K34" s="1170" t="n">
        <v>425</v>
      </c>
      <c r="L34" s="1170" t="n">
        <v>450</v>
      </c>
      <c r="M34" s="1170" t="n">
        <v>460</v>
      </c>
      <c r="N34" s="1170" t="n">
        <v>470</v>
      </c>
      <c r="O34" s="1170" t="n">
        <v>470</v>
      </c>
      <c r="P34" s="1187">
        <f>O34</f>
        <v/>
      </c>
      <c r="Q34" s="72" t="n"/>
      <c r="R34" s="318" t="n"/>
      <c r="S34" s="912" t="n">
        <v>0.03</v>
      </c>
      <c r="T34" s="1184" t="inlineStr">
        <is>
          <t>t Consultancy as a Service based upon 25% of new users</t>
        </is>
      </c>
      <c r="AA34" s="707" t="n"/>
    </row>
    <row r="35" hidden="1" ht="27" customHeight="1">
      <c r="B35" s="1169" t="n"/>
      <c r="C35" s="906" t="n"/>
      <c r="D35" s="1173">
        <f>D34*$S$34</f>
        <v/>
      </c>
      <c r="E35" s="1173">
        <f>E34*$S$34</f>
        <v/>
      </c>
      <c r="F35" s="1173">
        <f>F34*$S$34</f>
        <v/>
      </c>
      <c r="G35" s="1173">
        <f>G34*$S$34</f>
        <v/>
      </c>
      <c r="H35" s="1173">
        <f>H34*$S$34</f>
        <v/>
      </c>
      <c r="I35" s="1173">
        <f>I34*$S$34</f>
        <v/>
      </c>
      <c r="J35" s="1173">
        <f>J34*$S$34</f>
        <v/>
      </c>
      <c r="K35" s="1173">
        <f>K34*$S$34</f>
        <v/>
      </c>
      <c r="L35" s="1173">
        <f>L34*$S$34</f>
        <v/>
      </c>
      <c r="M35" s="1173">
        <f>M34*$S$34</f>
        <v/>
      </c>
      <c r="N35" s="1173">
        <f>N34*$S$34</f>
        <v/>
      </c>
      <c r="O35" s="1173">
        <f>O34*$S$34</f>
        <v/>
      </c>
      <c r="P35" s="1174" t="n"/>
      <c r="Q35" s="909" t="n"/>
      <c r="R35" s="910" t="n"/>
      <c r="S35" s="913" t="n"/>
      <c r="T35" s="979" t="n"/>
      <c r="U35" s="980" t="n"/>
      <c r="V35" s="980" t="n"/>
      <c r="W35" s="980" t="n"/>
      <c r="X35" s="980" t="n"/>
      <c r="Y35" s="980" t="n"/>
      <c r="Z35" s="980" t="n"/>
      <c r="AA35" s="981" t="n"/>
    </row>
    <row r="36" ht="18" customHeight="1">
      <c r="B36" s="1169" t="n"/>
      <c r="C36" s="117" t="inlineStr">
        <is>
          <t>Total Sales</t>
        </is>
      </c>
      <c r="D36" s="194">
        <f>(D34-D35)*$D$13</f>
        <v/>
      </c>
      <c r="E36" s="194">
        <f>(E34-E35)*$D$13</f>
        <v/>
      </c>
      <c r="F36" s="194">
        <f>(F34-F35)*$D$13</f>
        <v/>
      </c>
      <c r="G36" s="194">
        <f>(G34-G35)*$D$13</f>
        <v/>
      </c>
      <c r="H36" s="194">
        <f>(H34-H35)*$D$13</f>
        <v/>
      </c>
      <c r="I36" s="194">
        <f>(I34-I35)*$D$13</f>
        <v/>
      </c>
      <c r="J36" s="194">
        <f>(J34-J35)*$D$13</f>
        <v/>
      </c>
      <c r="K36" s="194">
        <f>(K34-K35)*$D$13</f>
        <v/>
      </c>
      <c r="L36" s="194">
        <f>(L34-L35)*$D$13</f>
        <v/>
      </c>
      <c r="M36" s="194">
        <f>(M34-M35)*$D$13</f>
        <v/>
      </c>
      <c r="N36" s="194">
        <f>(N34-N35)*$D$13</f>
        <v/>
      </c>
      <c r="O36" s="194">
        <f>(O34-O35)*$D$13</f>
        <v/>
      </c>
      <c r="P36" s="319">
        <f>SUM(D36:O36)</f>
        <v/>
      </c>
      <c r="Q36" s="1175">
        <f>(Q37+Q38)</f>
        <v/>
      </c>
      <c r="R36" s="1176" t="inlineStr">
        <is>
          <t xml:space="preserve"> </t>
        </is>
      </c>
      <c r="S36" s="912" t="inlineStr">
        <is>
          <t xml:space="preserve"> </t>
        </is>
      </c>
      <c r="T36" s="1188" t="n"/>
      <c r="AA36" s="707" t="n"/>
    </row>
    <row r="37" ht="23.25" customHeight="1">
      <c r="B37" s="1169" t="n"/>
      <c r="C37" s="118" t="inlineStr">
        <is>
          <t>Total COGS</t>
        </is>
      </c>
      <c r="D37" s="193">
        <f>D34*$E$13</f>
        <v/>
      </c>
      <c r="E37" s="193">
        <f>E34*$E$13</f>
        <v/>
      </c>
      <c r="F37" s="193">
        <f>F34*$E$13</f>
        <v/>
      </c>
      <c r="G37" s="193">
        <f>G34*$E$13</f>
        <v/>
      </c>
      <c r="H37" s="193">
        <f>H34*$E$13</f>
        <v/>
      </c>
      <c r="I37" s="193">
        <f>I34*$E$13</f>
        <v/>
      </c>
      <c r="J37" s="193">
        <f>J34*$E$13</f>
        <v/>
      </c>
      <c r="K37" s="193">
        <f>K34*$E$13</f>
        <v/>
      </c>
      <c r="L37" s="193">
        <f>L34*$E$13</f>
        <v/>
      </c>
      <c r="M37" s="193">
        <f>M34*$E$13</f>
        <v/>
      </c>
      <c r="N37" s="193">
        <f>N34*$E$13</f>
        <v/>
      </c>
      <c r="O37" s="273">
        <f>O34*$E$13</f>
        <v/>
      </c>
      <c r="P37" s="320">
        <f>SUM(D37:O37)</f>
        <v/>
      </c>
      <c r="Q37" s="1178">
        <f>IF(P36=0,0,P37/P36)</f>
        <v/>
      </c>
      <c r="R37" s="1179" t="inlineStr">
        <is>
          <t xml:space="preserve"> </t>
        </is>
      </c>
      <c r="S37" s="912" t="n"/>
      <c r="T37" s="1184" t="inlineStr">
        <is>
          <t>t Sales Person added for Life Sciences / Pharma</t>
        </is>
      </c>
      <c r="AA37" s="707" t="n"/>
    </row>
    <row r="38" ht="20" customHeight="1" thickBot="1">
      <c r="B38" s="1169" t="n"/>
      <c r="C38" s="119" t="inlineStr">
        <is>
          <t>Total Margin</t>
        </is>
      </c>
      <c r="D38" s="68">
        <f>D36-D37</f>
        <v/>
      </c>
      <c r="E38" s="68">
        <f>E36-E37</f>
        <v/>
      </c>
      <c r="F38" s="68">
        <f>F36-F37</f>
        <v/>
      </c>
      <c r="G38" s="68">
        <f>G36-G37</f>
        <v/>
      </c>
      <c r="H38" s="68">
        <f>H36-H37</f>
        <v/>
      </c>
      <c r="I38" s="68">
        <f>I36-I37</f>
        <v/>
      </c>
      <c r="J38" s="68">
        <f>J36-J37</f>
        <v/>
      </c>
      <c r="K38" s="68">
        <f>K36-K37</f>
        <v/>
      </c>
      <c r="L38" s="68">
        <f>L36-L37</f>
        <v/>
      </c>
      <c r="M38" s="68">
        <f>M36-M37</f>
        <v/>
      </c>
      <c r="N38" s="68">
        <f>N36-N37</f>
        <v/>
      </c>
      <c r="O38" s="69">
        <f>O36-O37</f>
        <v/>
      </c>
      <c r="P38" s="321">
        <f>SUM(D38:O38)</f>
        <v/>
      </c>
      <c r="Q38" s="1181">
        <f>IF(P36=0,0,P38/P36)</f>
        <v/>
      </c>
      <c r="R38" s="1182" t="inlineStr">
        <is>
          <t xml:space="preserve"> </t>
        </is>
      </c>
      <c r="S38" s="913" t="n"/>
      <c r="T38" s="1188" t="n"/>
      <c r="AA38" s="707" t="n"/>
    </row>
    <row r="39" ht="15" customHeight="1" thickBot="1">
      <c r="B39" s="1189" t="n"/>
      <c r="C39" s="1190" t="inlineStr">
        <is>
          <t xml:space="preserve"> </t>
        </is>
      </c>
      <c r="R39" s="1191" t="n"/>
      <c r="S39" s="913" t="n"/>
      <c r="T39" s="1177" t="inlineStr">
        <is>
          <t>t ABM Benefit Realized</t>
        </is>
      </c>
      <c r="AA39" s="707" t="n"/>
    </row>
    <row r="40" ht="15" customHeight="1" thickBot="1">
      <c r="B40" s="1192" t="inlineStr">
        <is>
          <t>Real Estate</t>
        </is>
      </c>
      <c r="C40" s="1193">
        <f>C14</f>
        <v/>
      </c>
      <c r="D40" s="1145" t="n"/>
      <c r="E40" s="1145" t="n"/>
      <c r="F40" s="1145" t="n"/>
      <c r="G40" s="1145" t="n"/>
      <c r="H40" s="1145" t="n"/>
      <c r="I40" s="1145" t="n"/>
      <c r="J40" s="1145" t="n"/>
      <c r="K40" s="1145" t="n"/>
      <c r="L40" s="1145" t="n"/>
      <c r="M40" s="1145" t="n"/>
      <c r="N40" s="1145" t="n"/>
      <c r="O40" s="1145" t="n"/>
      <c r="P40" s="1145" t="n"/>
      <c r="Q40" s="1145" t="n"/>
      <c r="R40" s="705" t="n"/>
      <c r="S40" s="913" t="n"/>
      <c r="T40" s="1188" t="n"/>
      <c r="AA40" s="707" t="n"/>
    </row>
    <row r="41" ht="15" customHeight="1" thickBot="1">
      <c r="B41" s="1194" t="n"/>
      <c r="C41" s="325" t="inlineStr">
        <is>
          <t>Licences Sold</t>
        </is>
      </c>
      <c r="D41" s="1170" t="n">
        <v>400</v>
      </c>
      <c r="E41" s="1170" t="n">
        <v>500</v>
      </c>
      <c r="F41" s="1170" t="n">
        <v>510</v>
      </c>
      <c r="G41" s="1170" t="n">
        <v>530</v>
      </c>
      <c r="H41" s="1170" t="n">
        <v>540</v>
      </c>
      <c r="I41" s="1170" t="n">
        <v>570</v>
      </c>
      <c r="J41" s="1170" t="n">
        <v>580</v>
      </c>
      <c r="K41" s="1170" t="n">
        <v>570</v>
      </c>
      <c r="L41" s="1170" t="n">
        <v>600</v>
      </c>
      <c r="M41" s="1170" t="n">
        <v>625</v>
      </c>
      <c r="N41" s="1170" t="n">
        <v>625</v>
      </c>
      <c r="O41" s="1170" t="n">
        <v>625</v>
      </c>
      <c r="P41" s="1187">
        <f>O41</f>
        <v/>
      </c>
      <c r="Q41" s="72" t="n"/>
      <c r="R41" s="318" t="n"/>
      <c r="S41" s="912" t="n">
        <v>0.03</v>
      </c>
      <c r="T41" s="1188" t="n"/>
      <c r="AA41" s="707" t="n"/>
    </row>
    <row r="42" hidden="1" ht="15" customHeight="1">
      <c r="B42" s="1194" t="n"/>
      <c r="C42" s="911" t="n"/>
      <c r="D42" s="1173">
        <f>D41*$S$41</f>
        <v/>
      </c>
      <c r="E42" s="1173">
        <f>E41*$S$41</f>
        <v/>
      </c>
      <c r="F42" s="1173">
        <f>F41*$S$41</f>
        <v/>
      </c>
      <c r="G42" s="1173">
        <f>G41*$S$41</f>
        <v/>
      </c>
      <c r="H42" s="1173">
        <f>H41*$S$41</f>
        <v/>
      </c>
      <c r="I42" s="1173">
        <f>I41*$S$41</f>
        <v/>
      </c>
      <c r="J42" s="1173">
        <f>J41*$S$41</f>
        <v/>
      </c>
      <c r="K42" s="1173">
        <f>K41*$S$41</f>
        <v/>
      </c>
      <c r="L42" s="1173">
        <f>L41*$S$41</f>
        <v/>
      </c>
      <c r="M42" s="1173">
        <f>M41*$S$41</f>
        <v/>
      </c>
      <c r="N42" s="1173">
        <f>N41*$S$41</f>
        <v/>
      </c>
      <c r="O42" s="1173">
        <f>O41*$S$41</f>
        <v/>
      </c>
      <c r="P42" s="1174" t="n"/>
      <c r="Q42" s="909" t="n"/>
      <c r="R42" s="910" t="n"/>
      <c r="S42" s="913" t="n"/>
      <c r="T42" s="958" t="n"/>
      <c r="U42" s="959" t="n"/>
      <c r="V42" s="959" t="n"/>
      <c r="W42" s="959" t="n"/>
      <c r="X42" s="959" t="n"/>
      <c r="Y42" s="959" t="n"/>
      <c r="Z42" s="959" t="n"/>
      <c r="AA42" s="960" t="n"/>
    </row>
    <row r="43" ht="19" customHeight="1">
      <c r="B43" s="1194" t="n"/>
      <c r="C43" s="297" t="inlineStr">
        <is>
          <t>Total Sales</t>
        </is>
      </c>
      <c r="D43" s="194">
        <f>(D41-D42)*$D$14</f>
        <v/>
      </c>
      <c r="E43" s="194">
        <f>(E41-E42)*$D$14</f>
        <v/>
      </c>
      <c r="F43" s="194">
        <f>(F41-F42)*$D$14</f>
        <v/>
      </c>
      <c r="G43" s="194">
        <f>(G41-G42)*$D$14</f>
        <v/>
      </c>
      <c r="H43" s="194">
        <f>(H41-H42)*$D$14</f>
        <v/>
      </c>
      <c r="I43" s="194">
        <f>(I41-I42)*$D$14</f>
        <v/>
      </c>
      <c r="J43" s="194">
        <f>(J41-J42)*$D$14</f>
        <v/>
      </c>
      <c r="K43" s="194">
        <f>(K41-K42)*$D$14</f>
        <v/>
      </c>
      <c r="L43" s="194">
        <f>(L41-L42)*$D$14</f>
        <v/>
      </c>
      <c r="M43" s="194">
        <f>(M41-M42)*$D$14</f>
        <v/>
      </c>
      <c r="N43" s="194">
        <f>(N41-N42)*$D$14</f>
        <v/>
      </c>
      <c r="O43" s="194">
        <f>(O41-O42)*$D$14</f>
        <v/>
      </c>
      <c r="P43" s="319">
        <f>SUM(D43:O43)</f>
        <v/>
      </c>
      <c r="Q43" s="1175">
        <f>(Q44+Q45)</f>
        <v/>
      </c>
      <c r="R43" s="1176" t="inlineStr">
        <is>
          <t xml:space="preserve"> </t>
        </is>
      </c>
      <c r="S43" s="913" t="n"/>
      <c r="T43" s="1188" t="n"/>
      <c r="AA43" s="707" t="n"/>
    </row>
    <row r="44" ht="19" customHeight="1">
      <c r="B44" s="1194" t="n"/>
      <c r="C44" s="299" t="inlineStr">
        <is>
          <t>Total COGS</t>
        </is>
      </c>
      <c r="D44" s="193">
        <f>D41*$E$14</f>
        <v/>
      </c>
      <c r="E44" s="193">
        <f>E41*$E$14</f>
        <v/>
      </c>
      <c r="F44" s="193">
        <f>F41*$E$14</f>
        <v/>
      </c>
      <c r="G44" s="193">
        <f>G41*$E$14</f>
        <v/>
      </c>
      <c r="H44" s="193">
        <f>H41*$E$14</f>
        <v/>
      </c>
      <c r="I44" s="193">
        <f>I41*$E$14</f>
        <v/>
      </c>
      <c r="J44" s="193">
        <f>J41*$E$14</f>
        <v/>
      </c>
      <c r="K44" s="193">
        <f>K41*$E$14</f>
        <v/>
      </c>
      <c r="L44" s="193">
        <f>L41*$E$14</f>
        <v/>
      </c>
      <c r="M44" s="193">
        <f>M41*$E$14</f>
        <v/>
      </c>
      <c r="N44" s="193">
        <f>N41*$E$14</f>
        <v/>
      </c>
      <c r="O44" s="273">
        <f>O41*$E$14</f>
        <v/>
      </c>
      <c r="P44" s="320">
        <f>SUM(D44:O44)</f>
        <v/>
      </c>
      <c r="Q44" s="1178">
        <f>IF(P43=0,0,P44/P43)</f>
        <v/>
      </c>
      <c r="R44" s="1179" t="inlineStr">
        <is>
          <t xml:space="preserve"> </t>
        </is>
      </c>
      <c r="S44" s="912" t="inlineStr">
        <is>
          <t xml:space="preserve"> </t>
        </is>
      </c>
      <c r="T44" s="1188" t="n"/>
      <c r="AA44" s="707" t="n"/>
    </row>
    <row r="45" ht="19" customHeight="1">
      <c r="B45" s="1194" t="n"/>
      <c r="C45" s="326" t="inlineStr">
        <is>
          <t>Total Margin</t>
        </is>
      </c>
      <c r="D45" s="68">
        <f>D43-D44</f>
        <v/>
      </c>
      <c r="E45" s="68">
        <f>E43-E44</f>
        <v/>
      </c>
      <c r="F45" s="68">
        <f>F43-F44</f>
        <v/>
      </c>
      <c r="G45" s="68">
        <f>G43-G44</f>
        <v/>
      </c>
      <c r="H45" s="68">
        <f>H43-H44</f>
        <v/>
      </c>
      <c r="I45" s="68">
        <f>I43-I44</f>
        <v/>
      </c>
      <c r="J45" s="68">
        <f>J43-J44</f>
        <v/>
      </c>
      <c r="K45" s="68">
        <f>K43-K44</f>
        <v/>
      </c>
      <c r="L45" s="68">
        <f>L43-L44</f>
        <v/>
      </c>
      <c r="M45" s="68">
        <f>M43-M44</f>
        <v/>
      </c>
      <c r="N45" s="68">
        <f>N43-N44</f>
        <v/>
      </c>
      <c r="O45" s="69">
        <f>O43-O44</f>
        <v/>
      </c>
      <c r="P45" s="320">
        <f>SUM(D45:O45)</f>
        <v/>
      </c>
      <c r="Q45" s="1178">
        <f>IF(P43=0,0,P45/P43)</f>
        <v/>
      </c>
      <c r="R45" s="1179" t="inlineStr">
        <is>
          <t xml:space="preserve"> </t>
        </is>
      </c>
      <c r="S45" s="912" t="n"/>
      <c r="T45" s="1188" t="n"/>
      <c r="AA45" s="707" t="n"/>
    </row>
    <row r="46" ht="15" customHeight="1">
      <c r="B46" s="1194" t="n"/>
      <c r="C46" s="1195" t="inlineStr">
        <is>
          <t xml:space="preserve"> </t>
        </is>
      </c>
      <c r="R46" s="707" t="n"/>
      <c r="S46" s="913" t="n"/>
      <c r="T46" s="1196" t="n"/>
      <c r="AA46" s="707" t="n"/>
    </row>
    <row r="47" ht="15" customHeight="1" thickBot="1">
      <c r="B47" s="1194" t="n"/>
      <c r="C47" s="1197">
        <f>C15</f>
        <v/>
      </c>
      <c r="R47" s="707" t="n"/>
      <c r="S47" s="913" t="n"/>
      <c r="T47" s="1188" t="n"/>
      <c r="AA47" s="707" t="n"/>
    </row>
    <row r="48" ht="15" customHeight="1" thickBot="1">
      <c r="B48" s="1194" t="n"/>
      <c r="C48" s="325" t="inlineStr">
        <is>
          <t>Licences Sold</t>
        </is>
      </c>
      <c r="D48" s="1170" t="n">
        <v>150</v>
      </c>
      <c r="E48" s="1170" t="n">
        <v>150</v>
      </c>
      <c r="F48" s="1170" t="n">
        <v>170</v>
      </c>
      <c r="G48" s="1170" t="n">
        <v>180</v>
      </c>
      <c r="H48" s="1170" t="n">
        <v>190</v>
      </c>
      <c r="I48" s="1170" t="n">
        <v>200</v>
      </c>
      <c r="J48" s="1170" t="n">
        <v>210</v>
      </c>
      <c r="K48" s="1170" t="n">
        <v>215</v>
      </c>
      <c r="L48" s="1170" t="n">
        <v>215</v>
      </c>
      <c r="M48" s="1170" t="n">
        <v>225</v>
      </c>
      <c r="N48" s="1170" t="n">
        <v>225</v>
      </c>
      <c r="O48" s="1170" t="n">
        <v>225</v>
      </c>
      <c r="P48" s="1187">
        <f>O48</f>
        <v/>
      </c>
      <c r="Q48" s="72" t="n"/>
      <c r="R48" s="318" t="inlineStr">
        <is>
          <t xml:space="preserve"> </t>
        </is>
      </c>
      <c r="S48" s="912" t="n">
        <v>0.03</v>
      </c>
      <c r="T48" s="1188" t="n"/>
      <c r="AA48" s="707" t="n"/>
    </row>
    <row r="49" hidden="1" ht="15" customHeight="1">
      <c r="B49" s="1194" t="n"/>
      <c r="C49" s="911" t="n"/>
      <c r="D49" s="1173">
        <f>D48*$S$48</f>
        <v/>
      </c>
      <c r="E49" s="1173">
        <f>E48*$S$48</f>
        <v/>
      </c>
      <c r="F49" s="1173">
        <f>F48*$S$48</f>
        <v/>
      </c>
      <c r="G49" s="1173">
        <f>G48*$S$48</f>
        <v/>
      </c>
      <c r="H49" s="1173">
        <f>H48*$S$48</f>
        <v/>
      </c>
      <c r="I49" s="1173">
        <f>I48*$S$48</f>
        <v/>
      </c>
      <c r="J49" s="1173">
        <f>J48*$S$48</f>
        <v/>
      </c>
      <c r="K49" s="1173">
        <f>K48*$S$48</f>
        <v/>
      </c>
      <c r="L49" s="1173">
        <f>L48*$S$48</f>
        <v/>
      </c>
      <c r="M49" s="1173">
        <f>M48*$S$48</f>
        <v/>
      </c>
      <c r="N49" s="1173">
        <f>N48*$S$48</f>
        <v/>
      </c>
      <c r="O49" s="1173">
        <f>O48*$S$48</f>
        <v/>
      </c>
      <c r="P49" s="1174" t="n"/>
      <c r="Q49" s="909" t="n"/>
      <c r="R49" s="910" t="n"/>
      <c r="S49" s="912" t="n"/>
      <c r="T49" s="958" t="n"/>
      <c r="U49" s="959" t="n"/>
      <c r="V49" s="959" t="n"/>
      <c r="W49" s="959" t="n"/>
      <c r="X49" s="959" t="n"/>
      <c r="Y49" s="959" t="n"/>
      <c r="Z49" s="959" t="n"/>
      <c r="AA49" s="960" t="n"/>
    </row>
    <row r="50" ht="19" customHeight="1">
      <c r="B50" s="1194" t="n"/>
      <c r="C50" s="297" t="inlineStr">
        <is>
          <t>Total Sales</t>
        </is>
      </c>
      <c r="D50" s="194">
        <f>(D48-D49)*$D$15</f>
        <v/>
      </c>
      <c r="E50" s="194">
        <f>(E48-E49)*$D$15</f>
        <v/>
      </c>
      <c r="F50" s="194">
        <f>(F48-F49)*$D$15</f>
        <v/>
      </c>
      <c r="G50" s="194">
        <f>(G48-G49)*$D$15</f>
        <v/>
      </c>
      <c r="H50" s="194">
        <f>(H48-H49)*$D$15</f>
        <v/>
      </c>
      <c r="I50" s="194">
        <f>(I48-I49)*$D$15</f>
        <v/>
      </c>
      <c r="J50" s="194">
        <f>(J48-J49)*$D$15</f>
        <v/>
      </c>
      <c r="K50" s="194">
        <f>(K48-K49)*$D$15</f>
        <v/>
      </c>
      <c r="L50" s="194">
        <f>(L48-L49)*$D$15</f>
        <v/>
      </c>
      <c r="M50" s="194">
        <f>(M48-M49)*$D$15</f>
        <v/>
      </c>
      <c r="N50" s="194">
        <f>(N48-N49)*$D$15</f>
        <v/>
      </c>
      <c r="O50" s="194">
        <f>(O48-O49)*$D$15</f>
        <v/>
      </c>
      <c r="P50" s="319">
        <f>SUM(D50:O50)</f>
        <v/>
      </c>
      <c r="Q50" s="1175">
        <f>(Q51+Q52)</f>
        <v/>
      </c>
      <c r="R50" s="1176" t="inlineStr">
        <is>
          <t xml:space="preserve"> </t>
        </is>
      </c>
      <c r="S50" s="913" t="n"/>
      <c r="T50" s="1188" t="n"/>
      <c r="AA50" s="707" t="n"/>
    </row>
    <row r="51" ht="23.25" customHeight="1">
      <c r="B51" s="1194" t="n"/>
      <c r="C51" s="299" t="inlineStr">
        <is>
          <t>Total COGS</t>
        </is>
      </c>
      <c r="D51" s="193">
        <f>D48*$E$15</f>
        <v/>
      </c>
      <c r="E51" s="193">
        <f>E48*$E$15</f>
        <v/>
      </c>
      <c r="F51" s="193">
        <f>F48*$E$15</f>
        <v/>
      </c>
      <c r="G51" s="193">
        <f>G48*$E$15</f>
        <v/>
      </c>
      <c r="H51" s="193">
        <f>H48*$E$15</f>
        <v/>
      </c>
      <c r="I51" s="193">
        <f>I48*$E$15</f>
        <v/>
      </c>
      <c r="J51" s="193">
        <f>J48*$E$15</f>
        <v/>
      </c>
      <c r="K51" s="193">
        <f>K48*$E$15</f>
        <v/>
      </c>
      <c r="L51" s="193">
        <f>L48*$E$15</f>
        <v/>
      </c>
      <c r="M51" s="193">
        <f>M48*$E$15</f>
        <v/>
      </c>
      <c r="N51" s="193">
        <f>N48*$E$15</f>
        <v/>
      </c>
      <c r="O51" s="273">
        <f>O48*$E$15</f>
        <v/>
      </c>
      <c r="P51" s="320">
        <f>SUM(D51:O51)</f>
        <v/>
      </c>
      <c r="Q51" s="1178">
        <f>IF(P50=0,0,P51/P50)</f>
        <v/>
      </c>
      <c r="R51" s="1179" t="inlineStr">
        <is>
          <t xml:space="preserve"> </t>
        </is>
      </c>
      <c r="S51" s="913" t="n"/>
      <c r="T51" s="1188" t="n"/>
      <c r="AA51" s="707" t="n"/>
    </row>
    <row r="52" ht="20" customHeight="1">
      <c r="B52" s="1194" t="n"/>
      <c r="C52" s="326" t="inlineStr">
        <is>
          <t>Total Margin</t>
        </is>
      </c>
      <c r="D52" s="68">
        <f>D50-D51</f>
        <v/>
      </c>
      <c r="E52" s="68">
        <f>E50-E51</f>
        <v/>
      </c>
      <c r="F52" s="68">
        <f>F50-F51</f>
        <v/>
      </c>
      <c r="G52" s="68">
        <f>G50-G51</f>
        <v/>
      </c>
      <c r="H52" s="68">
        <f>H50-H51</f>
        <v/>
      </c>
      <c r="I52" s="68">
        <f>I50-I51</f>
        <v/>
      </c>
      <c r="J52" s="68">
        <f>J50-J51</f>
        <v/>
      </c>
      <c r="K52" s="68">
        <f>K50-K51</f>
        <v/>
      </c>
      <c r="L52" s="68">
        <f>L50-L51</f>
        <v/>
      </c>
      <c r="M52" s="68">
        <f>M50-M51</f>
        <v/>
      </c>
      <c r="N52" s="68">
        <f>N50-N51</f>
        <v/>
      </c>
      <c r="O52" s="69">
        <f>O50-O51</f>
        <v/>
      </c>
      <c r="P52" s="320">
        <f>SUM(D52:O52)</f>
        <v/>
      </c>
      <c r="Q52" s="1178">
        <f>IF(P50=0,0,P52/P50)</f>
        <v/>
      </c>
      <c r="R52" s="1179" t="inlineStr">
        <is>
          <t xml:space="preserve"> </t>
        </is>
      </c>
      <c r="S52" s="912" t="inlineStr">
        <is>
          <t xml:space="preserve"> </t>
        </is>
      </c>
      <c r="T52" s="1188" t="n"/>
      <c r="AA52" s="707" t="n"/>
    </row>
    <row r="53" ht="15" customHeight="1" thickBot="1">
      <c r="B53" s="1202" t="n"/>
      <c r="C53" s="1203" t="inlineStr">
        <is>
          <t xml:space="preserve"> </t>
        </is>
      </c>
      <c r="D53" s="711" t="n"/>
      <c r="E53" s="711" t="n"/>
      <c r="F53" s="711" t="n"/>
      <c r="G53" s="711" t="n"/>
      <c r="H53" s="711" t="n"/>
      <c r="I53" s="711" t="n"/>
      <c r="J53" s="711" t="n"/>
      <c r="K53" s="711" t="n"/>
      <c r="L53" s="711" t="n"/>
      <c r="M53" s="711" t="n"/>
      <c r="N53" s="711" t="n"/>
      <c r="O53" s="711" t="n"/>
      <c r="P53" s="711" t="n"/>
      <c r="Q53" s="711" t="n"/>
      <c r="R53" s="1204" t="n"/>
      <c r="S53" s="912" t="n"/>
      <c r="T53" s="1188" t="n"/>
      <c r="AA53" s="707" t="n"/>
    </row>
    <row r="54" ht="15" customHeight="1" thickBot="1">
      <c r="B54" s="1163" t="inlineStr">
        <is>
          <t>Pharma</t>
        </is>
      </c>
      <c r="C54" s="1205">
        <f>C16</f>
        <v/>
      </c>
      <c r="R54" s="1191" t="n"/>
      <c r="S54" s="913" t="n"/>
      <c r="T54" s="1188" t="n"/>
      <c r="AA54" s="707" t="n"/>
    </row>
    <row r="55" ht="21" customHeight="1" thickBot="1">
      <c r="B55" s="1169" t="n"/>
      <c r="C55" s="116" t="inlineStr">
        <is>
          <t>Licences Sold</t>
        </is>
      </c>
      <c r="D55" s="1170" t="n">
        <v>40</v>
      </c>
      <c r="E55" s="1170" t="n">
        <v>100</v>
      </c>
      <c r="F55" s="1170" t="n">
        <v>120</v>
      </c>
      <c r="G55" s="1170" t="n">
        <v>150</v>
      </c>
      <c r="H55" s="1170" t="n">
        <v>150</v>
      </c>
      <c r="I55" s="1170" t="n">
        <v>150</v>
      </c>
      <c r="J55" s="1170" t="n">
        <v>150</v>
      </c>
      <c r="K55" s="1170" t="n">
        <v>150</v>
      </c>
      <c r="L55" s="1170" t="n">
        <v>200</v>
      </c>
      <c r="M55" s="1170" t="n">
        <v>200</v>
      </c>
      <c r="N55" s="1170" t="n">
        <v>200</v>
      </c>
      <c r="O55" s="1170" t="n">
        <v>200</v>
      </c>
      <c r="P55" s="1171">
        <f>O55</f>
        <v/>
      </c>
      <c r="Q55" s="323" t="n"/>
      <c r="R55" s="324" t="n"/>
      <c r="S55" s="912" t="n">
        <v>0.03</v>
      </c>
      <c r="T55" s="1206" t="n"/>
      <c r="U55" s="711" t="n"/>
      <c r="V55" s="711" t="n"/>
      <c r="W55" s="711" t="n"/>
      <c r="X55" s="711" t="n"/>
      <c r="Y55" s="711" t="n"/>
      <c r="Z55" s="711" t="n"/>
      <c r="AA55" s="1204" t="n"/>
    </row>
    <row r="56" hidden="1" ht="21" customHeight="1">
      <c r="B56" s="1169" t="n"/>
      <c r="C56" s="906" t="n"/>
      <c r="D56" s="1173">
        <f>D55*$S$55</f>
        <v/>
      </c>
      <c r="E56" s="1173">
        <f>E55*$S$55</f>
        <v/>
      </c>
      <c r="F56" s="1173">
        <f>F55*$S$55</f>
        <v/>
      </c>
      <c r="G56" s="1173">
        <f>G55*$S$55</f>
        <v/>
      </c>
      <c r="H56" s="1173">
        <f>H55*$S$55</f>
        <v/>
      </c>
      <c r="I56" s="1173">
        <f>I55*$S$55</f>
        <v/>
      </c>
      <c r="J56" s="1173">
        <f>J55*$S$55</f>
        <v/>
      </c>
      <c r="K56" s="1173">
        <f>K55*$S$55</f>
        <v/>
      </c>
      <c r="L56" s="1173">
        <f>L55*$S$55</f>
        <v/>
      </c>
      <c r="M56" s="1173">
        <f>M55*$S$55</f>
        <v/>
      </c>
      <c r="N56" s="1173">
        <f>N55*$S$55</f>
        <v/>
      </c>
      <c r="O56" s="1173">
        <f>O55*$S$55</f>
        <v/>
      </c>
      <c r="P56" s="1174" t="n"/>
      <c r="Q56" s="909" t="n"/>
      <c r="R56" s="910" t="n"/>
      <c r="S56" s="912" t="n"/>
      <c r="T56" s="959" t="n"/>
      <c r="U56" s="959" t="n"/>
      <c r="V56" s="959" t="n"/>
      <c r="W56" s="959" t="n"/>
      <c r="X56" s="959" t="n"/>
      <c r="Y56" s="959" t="n"/>
      <c r="Z56" s="959" t="n"/>
      <c r="AA56" s="959" t="n"/>
    </row>
    <row r="57" ht="15" customHeight="1">
      <c r="B57" s="1169" t="n"/>
      <c r="C57" s="117" t="inlineStr">
        <is>
          <t>Total Sales</t>
        </is>
      </c>
      <c r="D57" s="194">
        <f>(D55-D56)*$D$16</f>
        <v/>
      </c>
      <c r="E57" s="194">
        <f>(E55-E56)*$D$16</f>
        <v/>
      </c>
      <c r="F57" s="194">
        <f>(F55-F56)*$D$16</f>
        <v/>
      </c>
      <c r="G57" s="194">
        <f>(G55-G56)*$D$16</f>
        <v/>
      </c>
      <c r="H57" s="194">
        <f>(H55-H56)*$D$16</f>
        <v/>
      </c>
      <c r="I57" s="194">
        <f>(I55-I56)*$D$16</f>
        <v/>
      </c>
      <c r="J57" s="194">
        <f>(J55-J56)*$D$16</f>
        <v/>
      </c>
      <c r="K57" s="194">
        <f>(K55-K56)*$D$16</f>
        <v/>
      </c>
      <c r="L57" s="194">
        <f>(L55-L56)*$D$16</f>
        <v/>
      </c>
      <c r="M57" s="194">
        <f>(M55-M56)*$D$16</f>
        <v/>
      </c>
      <c r="N57" s="194">
        <f>(N55-N56)*$D$16</f>
        <v/>
      </c>
      <c r="O57" s="194">
        <f>(O55-O56)*$D$16</f>
        <v/>
      </c>
      <c r="P57" s="319">
        <f>SUM(D57:O57)</f>
        <v/>
      </c>
      <c r="Q57" s="1175">
        <f>(Q58+Q59)</f>
        <v/>
      </c>
      <c r="R57" s="1176" t="inlineStr">
        <is>
          <t xml:space="preserve"> </t>
        </is>
      </c>
      <c r="S57" s="913" t="n"/>
    </row>
    <row r="58" ht="19" customHeight="1">
      <c r="B58" s="1169" t="n"/>
      <c r="C58" s="118" t="inlineStr">
        <is>
          <t>Total COGS</t>
        </is>
      </c>
      <c r="D58" s="193">
        <f>D55*$E$16</f>
        <v/>
      </c>
      <c r="E58" s="193">
        <f>E55*$E$16</f>
        <v/>
      </c>
      <c r="F58" s="193">
        <f>F55*$E$16</f>
        <v/>
      </c>
      <c r="G58" s="193">
        <f>G55*$E$16</f>
        <v/>
      </c>
      <c r="H58" s="193">
        <f>H55*$E$16</f>
        <v/>
      </c>
      <c r="I58" s="193">
        <f>I55*$E$16</f>
        <v/>
      </c>
      <c r="J58" s="193">
        <f>J55*$E$16</f>
        <v/>
      </c>
      <c r="K58" s="193">
        <f>K55*$E$16</f>
        <v/>
      </c>
      <c r="L58" s="193">
        <f>L55*$E$16</f>
        <v/>
      </c>
      <c r="M58" s="193">
        <f>M55*$E$16</f>
        <v/>
      </c>
      <c r="N58" s="193">
        <f>N55*$E$16</f>
        <v/>
      </c>
      <c r="O58" s="273">
        <f>O55*$E$16</f>
        <v/>
      </c>
      <c r="P58" s="320">
        <f>SUM(D58:O58)</f>
        <v/>
      </c>
      <c r="Q58" s="1178">
        <f>IF(P57=0,0,P58/P57)</f>
        <v/>
      </c>
      <c r="R58" s="1179" t="inlineStr">
        <is>
          <t xml:space="preserve"> </t>
        </is>
      </c>
      <c r="S58" s="913" t="n"/>
    </row>
    <row r="59" ht="20" customHeight="1" thickBot="1">
      <c r="B59" s="1169" t="n"/>
      <c r="C59" s="119" t="inlineStr">
        <is>
          <t>Total Margin</t>
        </is>
      </c>
      <c r="D59" s="68">
        <f>D57-D58</f>
        <v/>
      </c>
      <c r="E59" s="68">
        <f>E57-E58</f>
        <v/>
      </c>
      <c r="F59" s="68">
        <f>F57-F58</f>
        <v/>
      </c>
      <c r="G59" s="68">
        <f>G57-G58</f>
        <v/>
      </c>
      <c r="H59" s="68">
        <f>H57-H58</f>
        <v/>
      </c>
      <c r="I59" s="68">
        <f>I57-I58</f>
        <v/>
      </c>
      <c r="J59" s="68">
        <f>J57-J58</f>
        <v/>
      </c>
      <c r="K59" s="68">
        <f>K57-K58</f>
        <v/>
      </c>
      <c r="L59" s="68">
        <f>L57-L58</f>
        <v/>
      </c>
      <c r="M59" s="68">
        <f>M57-M58</f>
        <v/>
      </c>
      <c r="N59" s="68">
        <f>N57-N58</f>
        <v/>
      </c>
      <c r="O59" s="69">
        <f>O57-O58</f>
        <v/>
      </c>
      <c r="P59" s="321">
        <f>SUM(D59:O59)</f>
        <v/>
      </c>
      <c r="Q59" s="1181">
        <f>IF(P57=0,0,P59/P57)</f>
        <v/>
      </c>
      <c r="R59" s="1182" t="inlineStr">
        <is>
          <t xml:space="preserve"> </t>
        </is>
      </c>
      <c r="S59" s="913" t="n"/>
    </row>
    <row r="60" ht="15" customHeight="1">
      <c r="B60" s="1169" t="n"/>
      <c r="C60" s="1207" t="n"/>
      <c r="R60" s="1191" t="n"/>
      <c r="S60" s="912" t="inlineStr">
        <is>
          <t xml:space="preserve"> </t>
        </is>
      </c>
    </row>
    <row r="61" ht="15" customHeight="1" thickBot="1">
      <c r="B61" s="1169" t="n"/>
      <c r="C61" s="1185">
        <f>C17</f>
        <v/>
      </c>
      <c r="R61" s="707" t="n"/>
      <c r="S61" s="912" t="n"/>
    </row>
    <row r="62" ht="15" customHeight="1" thickBot="1">
      <c r="B62" s="1169" t="n"/>
      <c r="C62" s="116" t="inlineStr">
        <is>
          <t>Licences Sold</t>
        </is>
      </c>
      <c r="D62" s="1170" t="n">
        <v>0</v>
      </c>
      <c r="E62" s="1170" t="n">
        <v>0</v>
      </c>
      <c r="F62" s="1170" t="n">
        <v>0</v>
      </c>
      <c r="G62" s="1170" t="n">
        <v>0</v>
      </c>
      <c r="H62" s="1170" t="n">
        <v>0</v>
      </c>
      <c r="I62" s="1170" t="n">
        <v>0</v>
      </c>
      <c r="J62" s="1170" t="n">
        <v>0</v>
      </c>
      <c r="K62" s="1170" t="n">
        <v>0</v>
      </c>
      <c r="L62" s="1170" t="n">
        <v>0</v>
      </c>
      <c r="M62" s="1170" t="n">
        <v>0</v>
      </c>
      <c r="N62" s="1170" t="n">
        <v>0</v>
      </c>
      <c r="O62" s="1170" t="n">
        <v>0</v>
      </c>
      <c r="P62" s="1187">
        <f>O62</f>
        <v/>
      </c>
      <c r="Q62" s="72" t="n"/>
      <c r="R62" s="318" t="n"/>
      <c r="S62" s="912" t="n">
        <v>0.03</v>
      </c>
    </row>
    <row r="63" hidden="1" ht="15" customHeight="1">
      <c r="B63" s="1169" t="n"/>
      <c r="C63" s="906" t="n"/>
      <c r="D63" s="1173">
        <f>D62*$S$62</f>
        <v/>
      </c>
      <c r="E63" s="1173">
        <f>E62*$S$62</f>
        <v/>
      </c>
      <c r="F63" s="1173">
        <f>F62*$S$62</f>
        <v/>
      </c>
      <c r="G63" s="1173">
        <f>G62*$S$62</f>
        <v/>
      </c>
      <c r="H63" s="1173">
        <f>H62*$S$62</f>
        <v/>
      </c>
      <c r="I63" s="1173">
        <f>I62*$S$62</f>
        <v/>
      </c>
      <c r="J63" s="1173">
        <f>J62*$S$62</f>
        <v/>
      </c>
      <c r="K63" s="1173">
        <f>K62*$S$62</f>
        <v/>
      </c>
      <c r="L63" s="1173">
        <f>L62*$S$62</f>
        <v/>
      </c>
      <c r="M63" s="1173">
        <f>M62*$S$62</f>
        <v/>
      </c>
      <c r="N63" s="1173">
        <f>N62*$S$62</f>
        <v/>
      </c>
      <c r="O63" s="1173">
        <f>O62*$S$62</f>
        <v/>
      </c>
      <c r="P63" s="1174" t="n"/>
      <c r="Q63" s="909" t="n"/>
      <c r="R63" s="910" t="n"/>
      <c r="S63" s="912" t="n"/>
    </row>
    <row r="64" ht="15" customHeight="1">
      <c r="B64" s="1169" t="n"/>
      <c r="C64" s="117" t="inlineStr">
        <is>
          <t>Total Sales</t>
        </is>
      </c>
      <c r="D64" s="194">
        <f>(D62-D63*$D$17)</f>
        <v/>
      </c>
      <c r="E64" s="194">
        <f>(E62-E63*$D$17)</f>
        <v/>
      </c>
      <c r="F64" s="194">
        <f>(F62-F63*$D$17)</f>
        <v/>
      </c>
      <c r="G64" s="194">
        <f>(G62-G63*$D$17)</f>
        <v/>
      </c>
      <c r="H64" s="194">
        <f>(H62-H63*$D$17)</f>
        <v/>
      </c>
      <c r="I64" s="194">
        <f>(I62-I63*$D$17)</f>
        <v/>
      </c>
      <c r="J64" s="194">
        <f>(J62-J63*$D$17)</f>
        <v/>
      </c>
      <c r="K64" s="194">
        <f>(K62-K63*$D$17)</f>
        <v/>
      </c>
      <c r="L64" s="194">
        <f>(L62-L63*$D$17)</f>
        <v/>
      </c>
      <c r="M64" s="194">
        <f>(M62-M63*$D$17)</f>
        <v/>
      </c>
      <c r="N64" s="194">
        <f>(N62-N63*$D$17)</f>
        <v/>
      </c>
      <c r="O64" s="194">
        <f>(O62-O63*$D$17)</f>
        <v/>
      </c>
      <c r="P64" s="319">
        <f>SUM(D64:O64)</f>
        <v/>
      </c>
      <c r="Q64" s="1175">
        <f>(Q65+Q66)</f>
        <v/>
      </c>
      <c r="R64" s="1176" t="inlineStr">
        <is>
          <t xml:space="preserve"> </t>
        </is>
      </c>
      <c r="S64" s="913" t="n"/>
    </row>
    <row r="65" ht="23.25" customHeight="1">
      <c r="B65" s="1169" t="n"/>
      <c r="C65" s="118" t="inlineStr">
        <is>
          <t>Total COGS</t>
        </is>
      </c>
      <c r="D65" s="193">
        <f>D62*$E$17</f>
        <v/>
      </c>
      <c r="E65" s="193">
        <f>E62*$E$17</f>
        <v/>
      </c>
      <c r="F65" s="193">
        <f>F62*$E$17</f>
        <v/>
      </c>
      <c r="G65" s="193">
        <f>G62*$E$17</f>
        <v/>
      </c>
      <c r="H65" s="193">
        <f>H62*$E$17</f>
        <v/>
      </c>
      <c r="I65" s="193">
        <f>I62*$E$17</f>
        <v/>
      </c>
      <c r="J65" s="193">
        <f>J62*$E$17</f>
        <v/>
      </c>
      <c r="K65" s="193">
        <f>K62*$E$17</f>
        <v/>
      </c>
      <c r="L65" s="193">
        <f>L62*$E$17</f>
        <v/>
      </c>
      <c r="M65" s="193">
        <f>M62*$E$17</f>
        <v/>
      </c>
      <c r="N65" s="193">
        <f>N62*$E$17</f>
        <v/>
      </c>
      <c r="O65" s="273">
        <f>O62*$E$17</f>
        <v/>
      </c>
      <c r="P65" s="320">
        <f>SUM(D65:O65)</f>
        <v/>
      </c>
      <c r="Q65" s="1178">
        <f>IF(P64=0,0,P65/P64)</f>
        <v/>
      </c>
      <c r="R65" s="1179" t="inlineStr">
        <is>
          <t xml:space="preserve"> </t>
        </is>
      </c>
      <c r="S65" s="913" t="n"/>
    </row>
    <row r="66" ht="20" customHeight="1" thickBot="1">
      <c r="B66" s="1169" t="n"/>
      <c r="C66" s="119" t="inlineStr">
        <is>
          <t>Total Margin</t>
        </is>
      </c>
      <c r="D66" s="68">
        <f>D64-D65</f>
        <v/>
      </c>
      <c r="E66" s="68">
        <f>E64-E65</f>
        <v/>
      </c>
      <c r="F66" s="68">
        <f>F64-F65</f>
        <v/>
      </c>
      <c r="G66" s="68">
        <f>G64-G65</f>
        <v/>
      </c>
      <c r="H66" s="68">
        <f>H64-H65</f>
        <v/>
      </c>
      <c r="I66" s="68">
        <f>I64-I65</f>
        <v/>
      </c>
      <c r="J66" s="68">
        <f>J64-J65</f>
        <v/>
      </c>
      <c r="K66" s="68">
        <f>K64-K65</f>
        <v/>
      </c>
      <c r="L66" s="68">
        <f>L64-L65</f>
        <v/>
      </c>
      <c r="M66" s="68">
        <f>M64-M65</f>
        <v/>
      </c>
      <c r="N66" s="68">
        <f>N64-N65</f>
        <v/>
      </c>
      <c r="O66" s="69">
        <f>O64-O65</f>
        <v/>
      </c>
      <c r="P66" s="321">
        <f>SUM(D66:O66)</f>
        <v/>
      </c>
      <c r="Q66" s="1181">
        <f>IF(P64=0,0,P66/P64)</f>
        <v/>
      </c>
      <c r="R66" s="1182" t="inlineStr">
        <is>
          <t xml:space="preserve"> </t>
        </is>
      </c>
      <c r="S66" s="913" t="n"/>
    </row>
    <row r="67" ht="15" customHeight="1" thickBot="1">
      <c r="B67" s="1189" t="n"/>
      <c r="C67" s="101" t="n"/>
      <c r="D67" s="340" t="n"/>
      <c r="E67" s="340" t="n"/>
      <c r="F67" s="340" t="n"/>
      <c r="G67" s="340" t="n"/>
      <c r="H67" s="340" t="n"/>
      <c r="I67" s="340" t="n"/>
      <c r="J67" s="340" t="n"/>
      <c r="K67" s="340" t="n"/>
      <c r="L67" s="340" t="n"/>
      <c r="M67" s="340" t="n"/>
      <c r="N67" s="340" t="n"/>
      <c r="O67" s="340" t="n"/>
      <c r="P67" s="103" t="n"/>
      <c r="Q67" s="1208" t="n"/>
      <c r="R67" s="1209" t="inlineStr">
        <is>
          <t xml:space="preserve"> </t>
        </is>
      </c>
      <c r="S67" s="913" t="n"/>
    </row>
    <row r="68" ht="15" customHeight="1" thickBot="1">
      <c r="B68" s="1012" t="inlineStr">
        <is>
          <t>Start ups</t>
        </is>
      </c>
      <c r="C68" s="1193">
        <f>C18</f>
        <v/>
      </c>
      <c r="D68" s="1145" t="n"/>
      <c r="E68" s="1145" t="n"/>
      <c r="F68" s="1145" t="n"/>
      <c r="G68" s="1145" t="n"/>
      <c r="H68" s="1145" t="n"/>
      <c r="I68" s="1145" t="n"/>
      <c r="J68" s="1145" t="n"/>
      <c r="K68" s="1145" t="n"/>
      <c r="L68" s="1145" t="n"/>
      <c r="M68" s="1145" t="n"/>
      <c r="N68" s="1145" t="n"/>
      <c r="O68" s="1145" t="n"/>
      <c r="P68" s="1145" t="n"/>
      <c r="Q68" s="1145" t="n"/>
      <c r="R68" s="705" t="n"/>
      <c r="S68" s="912" t="inlineStr">
        <is>
          <t xml:space="preserve"> </t>
        </is>
      </c>
    </row>
    <row r="69" ht="15" customHeight="1" thickBot="1">
      <c r="B69" s="1194" t="n"/>
      <c r="C69" s="325" t="inlineStr">
        <is>
          <t>Licences Sold</t>
        </is>
      </c>
      <c r="D69" s="1170" t="n">
        <v>325</v>
      </c>
      <c r="E69" s="1170" t="n">
        <v>330</v>
      </c>
      <c r="F69" s="1170" t="n">
        <v>335</v>
      </c>
      <c r="G69" s="1170" t="n">
        <v>340</v>
      </c>
      <c r="H69" s="1170" t="n">
        <v>350</v>
      </c>
      <c r="I69" s="1170" t="n">
        <v>360</v>
      </c>
      <c r="J69" s="1170" t="n">
        <v>370</v>
      </c>
      <c r="K69" s="1170" t="n">
        <v>380</v>
      </c>
      <c r="L69" s="1170" t="n">
        <v>390</v>
      </c>
      <c r="M69" s="1170" t="n">
        <v>310</v>
      </c>
      <c r="N69" s="1170" t="n">
        <v>320</v>
      </c>
      <c r="O69" s="1170" t="n">
        <v>320</v>
      </c>
      <c r="P69" s="1187">
        <f>O69</f>
        <v/>
      </c>
      <c r="Q69" s="72" t="n"/>
      <c r="R69" s="318" t="n"/>
      <c r="S69" s="912" t="n">
        <v>0.05</v>
      </c>
    </row>
    <row r="70" hidden="1" ht="15" customHeight="1">
      <c r="B70" s="1194" t="n"/>
      <c r="C70" s="911" t="n"/>
      <c r="D70" s="1173">
        <f>D69*$S$69</f>
        <v/>
      </c>
      <c r="E70" s="1173">
        <f>E69*$S$69</f>
        <v/>
      </c>
      <c r="F70" s="1173">
        <f>F69*$S$69</f>
        <v/>
      </c>
      <c r="G70" s="1173">
        <f>G69*$S$69</f>
        <v/>
      </c>
      <c r="H70" s="1173">
        <f>H69*$S$69</f>
        <v/>
      </c>
      <c r="I70" s="1173">
        <f>I69*$S$69</f>
        <v/>
      </c>
      <c r="J70" s="1173">
        <f>J69*$S$69</f>
        <v/>
      </c>
      <c r="K70" s="1173">
        <f>K69*$S$69</f>
        <v/>
      </c>
      <c r="L70" s="1173">
        <f>L69*$S$69</f>
        <v/>
      </c>
      <c r="M70" s="1173">
        <f>M69*$S$69</f>
        <v/>
      </c>
      <c r="N70" s="1173">
        <f>N69*$S$69</f>
        <v/>
      </c>
      <c r="O70" s="1173">
        <f>O69*$S$69</f>
        <v/>
      </c>
      <c r="P70" s="1174" t="n"/>
      <c r="Q70" s="909" t="n"/>
      <c r="R70" s="910" t="n"/>
      <c r="S70" s="912" t="n"/>
    </row>
    <row r="71" ht="15" customHeight="1">
      <c r="B71" s="1194" t="n"/>
      <c r="C71" s="297" t="inlineStr">
        <is>
          <t>Total Sales</t>
        </is>
      </c>
      <c r="D71" s="194">
        <f>(D69-D70)*$D$18</f>
        <v/>
      </c>
      <c r="E71" s="194">
        <f>(E69-E70)*$D$18</f>
        <v/>
      </c>
      <c r="F71" s="194">
        <f>(F69-F70)*$D$18</f>
        <v/>
      </c>
      <c r="G71" s="194">
        <f>(G69-G70)*$D$18</f>
        <v/>
      </c>
      <c r="H71" s="194">
        <f>(H69-H70)*$D$18</f>
        <v/>
      </c>
      <c r="I71" s="194">
        <f>(I69-I70)*$D$18</f>
        <v/>
      </c>
      <c r="J71" s="194">
        <f>(J69-J70)*$D$18</f>
        <v/>
      </c>
      <c r="K71" s="194">
        <f>(K69-K70)*$D$18</f>
        <v/>
      </c>
      <c r="L71" s="194">
        <f>(L69-L70)*$D$18</f>
        <v/>
      </c>
      <c r="M71" s="194">
        <f>(M69-M70)*$D$18</f>
        <v/>
      </c>
      <c r="N71" s="194">
        <f>(N69-N70)*$D$18</f>
        <v/>
      </c>
      <c r="O71" s="194">
        <f>(O69-O70)*$D$18</f>
        <v/>
      </c>
      <c r="P71" s="319">
        <f>SUM(D71:O71)</f>
        <v/>
      </c>
      <c r="Q71" s="1175">
        <f>(Q72+Q73)</f>
        <v/>
      </c>
      <c r="R71" s="1176" t="inlineStr">
        <is>
          <t xml:space="preserve"> </t>
        </is>
      </c>
      <c r="S71" s="913" t="n"/>
    </row>
    <row r="72" ht="19" customHeight="1">
      <c r="B72" s="1194" t="n"/>
      <c r="C72" s="299" t="inlineStr">
        <is>
          <t>Total COGS</t>
        </is>
      </c>
      <c r="D72" s="193">
        <f>D69*$E$18</f>
        <v/>
      </c>
      <c r="E72" s="193">
        <f>E69*$E$18</f>
        <v/>
      </c>
      <c r="F72" s="193">
        <f>F69*$E$18</f>
        <v/>
      </c>
      <c r="G72" s="193">
        <f>G69*$E$18</f>
        <v/>
      </c>
      <c r="H72" s="193">
        <f>H69*$E$18</f>
        <v/>
      </c>
      <c r="I72" s="193">
        <f>I69*$E$18</f>
        <v/>
      </c>
      <c r="J72" s="193">
        <f>J69*$E$18</f>
        <v/>
      </c>
      <c r="K72" s="193">
        <f>K69*$E$18</f>
        <v/>
      </c>
      <c r="L72" s="193">
        <f>L69*$E$18</f>
        <v/>
      </c>
      <c r="M72" s="193">
        <f>M69*$E$18</f>
        <v/>
      </c>
      <c r="N72" s="193">
        <f>N69*$E$18</f>
        <v/>
      </c>
      <c r="O72" s="273">
        <f>O69*$E$18</f>
        <v/>
      </c>
      <c r="P72" s="320">
        <f>SUM(D72:O72)</f>
        <v/>
      </c>
      <c r="Q72" s="1178">
        <f>IF(P71=0,0,P72/P71)</f>
        <v/>
      </c>
      <c r="R72" s="1179" t="inlineStr">
        <is>
          <t xml:space="preserve"> </t>
        </is>
      </c>
      <c r="S72" s="913" t="n"/>
    </row>
    <row r="73" ht="20" customHeight="1" thickBot="1">
      <c r="B73" s="1194" t="n"/>
      <c r="C73" s="326" t="inlineStr">
        <is>
          <t>Total Margin</t>
        </is>
      </c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9">
        <f>O71-O72</f>
        <v/>
      </c>
      <c r="P73" s="321">
        <f>SUM(D73:O73)</f>
        <v/>
      </c>
      <c r="Q73" s="1181">
        <f>IF(P71=0,0,P73/P71)</f>
        <v/>
      </c>
      <c r="R73" s="1182" t="inlineStr">
        <is>
          <t xml:space="preserve"> </t>
        </is>
      </c>
      <c r="S73" s="913" t="n"/>
    </row>
    <row r="74" ht="15" customHeight="1">
      <c r="B74" s="1194" t="n"/>
      <c r="C74" s="1211" t="n"/>
      <c r="R74" s="707" t="n"/>
      <c r="S74" s="913" t="n"/>
    </row>
    <row r="75" ht="15" customHeight="1" thickBot="1">
      <c r="B75" s="1194" t="n"/>
      <c r="C75" s="1197">
        <f>C19</f>
        <v/>
      </c>
      <c r="R75" s="707" t="n"/>
      <c r="S75" s="913" t="n"/>
    </row>
    <row r="76" ht="15" customHeight="1" thickBot="1">
      <c r="B76" s="1194" t="n"/>
      <c r="C76" s="325" t="inlineStr">
        <is>
          <t>Licences Sold</t>
        </is>
      </c>
      <c r="D76" s="1170" t="n">
        <v>0</v>
      </c>
      <c r="E76" s="1170" t="n">
        <v>0</v>
      </c>
      <c r="F76" s="1170" t="n">
        <v>0</v>
      </c>
      <c r="G76" s="1170" t="n">
        <v>0</v>
      </c>
      <c r="H76" s="1170" t="n">
        <v>0</v>
      </c>
      <c r="I76" s="1170" t="n">
        <v>0</v>
      </c>
      <c r="J76" s="1170" t="n">
        <v>0</v>
      </c>
      <c r="K76" s="1170" t="n">
        <v>0</v>
      </c>
      <c r="L76" s="1170" t="n">
        <v>0</v>
      </c>
      <c r="M76" s="1170" t="n">
        <v>0</v>
      </c>
      <c r="N76" s="1170" t="n">
        <v>0</v>
      </c>
      <c r="O76" s="1170" t="n">
        <v>0</v>
      </c>
      <c r="P76" s="1187">
        <f>O76</f>
        <v/>
      </c>
      <c r="Q76" s="72" t="n"/>
      <c r="R76" s="318" t="n"/>
      <c r="S76" s="912" t="n">
        <v>0.05</v>
      </c>
    </row>
    <row r="77" hidden="1" ht="15" customHeight="1">
      <c r="B77" s="1194" t="n"/>
      <c r="C77" s="911" t="n"/>
      <c r="D77" s="1173">
        <f>D76*S76</f>
        <v/>
      </c>
      <c r="E77" s="1173">
        <f>E76*T76</f>
        <v/>
      </c>
      <c r="F77" s="1173">
        <f>F76*U76</f>
        <v/>
      </c>
      <c r="G77" s="1173">
        <f>G76*V76</f>
        <v/>
      </c>
      <c r="H77" s="1173">
        <f>H76*W76</f>
        <v/>
      </c>
      <c r="I77" s="1173">
        <f>I76*X76</f>
        <v/>
      </c>
      <c r="J77" s="1173">
        <f>J76*Y76</f>
        <v/>
      </c>
      <c r="K77" s="1173">
        <f>K76*Z76</f>
        <v/>
      </c>
      <c r="L77" s="1173">
        <f>L76*AA76</f>
        <v/>
      </c>
      <c r="M77" s="1173">
        <f>M76*AB76</f>
        <v/>
      </c>
      <c r="N77" s="1173">
        <f>N76*AC76</f>
        <v/>
      </c>
      <c r="O77" s="1173">
        <f>O76*AD76</f>
        <v/>
      </c>
      <c r="P77" s="1174" t="n"/>
      <c r="Q77" s="909" t="n"/>
      <c r="R77" s="910" t="n"/>
      <c r="S77" s="912" t="n"/>
    </row>
    <row r="78" ht="15" customHeight="1">
      <c r="B78" s="1194" t="n"/>
      <c r="C78" s="297" t="inlineStr">
        <is>
          <t>Total Sales</t>
        </is>
      </c>
      <c r="D78" s="194">
        <f>(D76-D77)*$D$19</f>
        <v/>
      </c>
      <c r="E78" s="194">
        <f>(E76-E77)*$D$19</f>
        <v/>
      </c>
      <c r="F78" s="194">
        <f>(F76-F77)*$D$19</f>
        <v/>
      </c>
      <c r="G78" s="194">
        <f>(G76-G77)*$D$19</f>
        <v/>
      </c>
      <c r="H78" s="194">
        <f>(H76-H77)*$D$19</f>
        <v/>
      </c>
      <c r="I78" s="194">
        <f>(I76-I77)*$D$19</f>
        <v/>
      </c>
      <c r="J78" s="194">
        <f>(J76-J77)*$D$19</f>
        <v/>
      </c>
      <c r="K78" s="194">
        <f>(K76-K77)*$D$19</f>
        <v/>
      </c>
      <c r="L78" s="194">
        <f>(L76-L77)*$D$19</f>
        <v/>
      </c>
      <c r="M78" s="194">
        <f>(M76-M77)*$D$19</f>
        <v/>
      </c>
      <c r="N78" s="194">
        <f>(N76-N77)*$D$19</f>
        <v/>
      </c>
      <c r="O78" s="194">
        <f>(O76-O77)*$D$19</f>
        <v/>
      </c>
      <c r="P78" s="319">
        <f>SUM(D78:O78)</f>
        <v/>
      </c>
      <c r="Q78" s="1175">
        <f>(Q79+Q80)</f>
        <v/>
      </c>
      <c r="R78" s="1176" t="inlineStr">
        <is>
          <t xml:space="preserve"> </t>
        </is>
      </c>
      <c r="S78" s="912" t="n"/>
    </row>
    <row r="79" ht="19" customHeight="1">
      <c r="B79" s="1194" t="n"/>
      <c r="C79" s="299" t="inlineStr">
        <is>
          <t>Total COGS</t>
        </is>
      </c>
      <c r="D79" s="193">
        <f>D76*$E$19</f>
        <v/>
      </c>
      <c r="E79" s="193">
        <f>E76*$E$19</f>
        <v/>
      </c>
      <c r="F79" s="193">
        <f>F76*$E$19</f>
        <v/>
      </c>
      <c r="G79" s="193">
        <f>G76*$E$19</f>
        <v/>
      </c>
      <c r="H79" s="193">
        <f>H76*$E$19</f>
        <v/>
      </c>
      <c r="I79" s="193">
        <f>I76*$E$19</f>
        <v/>
      </c>
      <c r="J79" s="193">
        <f>J76*$E$19</f>
        <v/>
      </c>
      <c r="K79" s="193">
        <f>K76*$E$19</f>
        <v/>
      </c>
      <c r="L79" s="193">
        <f>L76*$E$19</f>
        <v/>
      </c>
      <c r="M79" s="193">
        <f>M76*$E$19</f>
        <v/>
      </c>
      <c r="N79" s="193">
        <f>N76*$E$19</f>
        <v/>
      </c>
      <c r="O79" s="273">
        <f>O76*$E$19</f>
        <v/>
      </c>
      <c r="P79" s="320">
        <f>SUM(D79:O79)</f>
        <v/>
      </c>
      <c r="Q79" s="1178">
        <f>IF(P78=0,0,P79/P78)</f>
        <v/>
      </c>
      <c r="R79" s="1179" t="inlineStr">
        <is>
          <t xml:space="preserve"> </t>
        </is>
      </c>
      <c r="S79" s="913" t="n"/>
    </row>
    <row r="80" ht="23.25" customHeight="1" thickBot="1">
      <c r="B80" s="1194" t="n"/>
      <c r="C80" s="301" t="inlineStr">
        <is>
          <t>Total Margin</t>
        </is>
      </c>
      <c r="D80" s="308">
        <f>D78-D79</f>
        <v/>
      </c>
      <c r="E80" s="308">
        <f>E78-E79</f>
        <v/>
      </c>
      <c r="F80" s="308">
        <f>F78-F79</f>
        <v/>
      </c>
      <c r="G80" s="308">
        <f>G78-G79</f>
        <v/>
      </c>
      <c r="H80" s="308">
        <f>H78-H79</f>
        <v/>
      </c>
      <c r="I80" s="308">
        <f>I78-I79</f>
        <v/>
      </c>
      <c r="J80" s="308">
        <f>J78-J79</f>
        <v/>
      </c>
      <c r="K80" s="308">
        <f>K78-K79</f>
        <v/>
      </c>
      <c r="L80" s="308">
        <f>L78-L79</f>
        <v/>
      </c>
      <c r="M80" s="308">
        <f>M78-M79</f>
        <v/>
      </c>
      <c r="N80" s="308">
        <f>N78-N79</f>
        <v/>
      </c>
      <c r="O80" s="532">
        <f>O78-O79</f>
        <v/>
      </c>
      <c r="P80" s="321">
        <f>SUM(D80:O80)</f>
        <v/>
      </c>
      <c r="Q80" s="1181">
        <f>IF(P78=0,0,P80/P78)</f>
        <v/>
      </c>
      <c r="R80" s="1182" t="inlineStr">
        <is>
          <t xml:space="preserve"> </t>
        </is>
      </c>
      <c r="S80" s="913" t="n"/>
    </row>
    <row r="81" ht="20" customHeight="1">
      <c r="B81" s="1018" t="inlineStr">
        <is>
          <t xml:space="preserve"> </t>
        </is>
      </c>
      <c r="S81" s="913" t="n"/>
    </row>
    <row r="82" ht="15" customHeight="1">
      <c r="B82" s="129" t="n"/>
      <c r="C82" s="207" t="n"/>
      <c r="D82" s="207" t="n"/>
      <c r="E82" s="207" t="n"/>
      <c r="F82" s="207" t="n"/>
      <c r="G82" s="207" t="inlineStr">
        <is>
          <t xml:space="preserve"> </t>
        </is>
      </c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913" t="n"/>
    </row>
    <row r="83" ht="15" customHeight="1" thickBot="1">
      <c r="B83" s="1005" t="inlineStr">
        <is>
          <t>Consultancy / Training</t>
        </is>
      </c>
      <c r="C83" s="1185">
        <f>C21</f>
        <v/>
      </c>
      <c r="R83" s="707" t="n"/>
      <c r="S83" s="913" t="n"/>
    </row>
    <row r="84" ht="15" customHeight="1" thickBot="1">
      <c r="B84" s="1169" t="n"/>
      <c r="C84" s="116" t="inlineStr">
        <is>
          <t>Access Sold</t>
        </is>
      </c>
      <c r="D84" s="1170">
        <f>D175*0.35</f>
        <v/>
      </c>
      <c r="E84" s="1170">
        <f>E175*0.35</f>
        <v/>
      </c>
      <c r="F84" s="1170">
        <f>F175*0.35</f>
        <v/>
      </c>
      <c r="G84" s="1170">
        <f>G175*0.35</f>
        <v/>
      </c>
      <c r="H84" s="1170">
        <f>H175*0.35</f>
        <v/>
      </c>
      <c r="I84" s="1170">
        <f>I175*0.35</f>
        <v/>
      </c>
      <c r="J84" s="1170">
        <f>J175*0.35</f>
        <v/>
      </c>
      <c r="K84" s="1170">
        <f>K175*0.35</f>
        <v/>
      </c>
      <c r="L84" s="1170">
        <f>L175*0.35</f>
        <v/>
      </c>
      <c r="M84" s="1170">
        <f>M175*0.35</f>
        <v/>
      </c>
      <c r="N84" s="1170">
        <f>N175*0.35</f>
        <v/>
      </c>
      <c r="O84" s="1170">
        <f>O175*0.35</f>
        <v/>
      </c>
      <c r="P84" s="322" t="n"/>
      <c r="Q84" s="323" t="n"/>
      <c r="R84" s="324" t="n"/>
      <c r="S84" s="912" t="inlineStr">
        <is>
          <t xml:space="preserve"> </t>
        </is>
      </c>
    </row>
    <row r="85" ht="15" customHeight="1">
      <c r="B85" s="1169" t="n"/>
      <c r="C85" s="117" t="inlineStr">
        <is>
          <t>Total Sales</t>
        </is>
      </c>
      <c r="D85" s="194">
        <f>D84*$D$21</f>
        <v/>
      </c>
      <c r="E85" s="194">
        <f>E84*$D$21</f>
        <v/>
      </c>
      <c r="F85" s="194">
        <f>F84*$D$21</f>
        <v/>
      </c>
      <c r="G85" s="194">
        <f>G84*$D$21</f>
        <v/>
      </c>
      <c r="H85" s="194">
        <f>H84*$D$21</f>
        <v/>
      </c>
      <c r="I85" s="194">
        <f>I84*$D$21</f>
        <v/>
      </c>
      <c r="J85" s="194">
        <f>J84*$D$21</f>
        <v/>
      </c>
      <c r="K85" s="194">
        <f>K84*$D$21</f>
        <v/>
      </c>
      <c r="L85" s="194">
        <f>L84*$D$21</f>
        <v/>
      </c>
      <c r="M85" s="194">
        <f>M84*$D$21</f>
        <v/>
      </c>
      <c r="N85" s="194">
        <f>N84*$D$21</f>
        <v/>
      </c>
      <c r="O85" s="523">
        <f>O84*$D$21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1169" t="n"/>
      <c r="C86" s="118" t="inlineStr">
        <is>
          <t>Total COGS</t>
        </is>
      </c>
      <c r="D86" s="107">
        <f>D84*$E$21</f>
        <v/>
      </c>
      <c r="E86" s="107">
        <f>E84*$E$21</f>
        <v/>
      </c>
      <c r="F86" s="107">
        <f>F84*$E$21</f>
        <v/>
      </c>
      <c r="G86" s="107">
        <f>G84*$E$21</f>
        <v/>
      </c>
      <c r="H86" s="107">
        <f>H84*$E$21</f>
        <v/>
      </c>
      <c r="I86" s="107">
        <f>I84*$E$21</f>
        <v/>
      </c>
      <c r="J86" s="107">
        <f>J84*$E$21</f>
        <v/>
      </c>
      <c r="K86" s="107">
        <f>K84*$E$21</f>
        <v/>
      </c>
      <c r="L86" s="107">
        <f>L84*$E$21</f>
        <v/>
      </c>
      <c r="M86" s="107">
        <f>M84*$E$21</f>
        <v/>
      </c>
      <c r="N86" s="107">
        <f>N84*$E$21</f>
        <v/>
      </c>
      <c r="O86" s="316">
        <f>O84*$E$21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9" customHeight="1" thickBot="1">
      <c r="B87" s="116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15" customHeight="1">
      <c r="B88" s="1169" t="n"/>
      <c r="C88" s="1190" t="inlineStr">
        <is>
          <t xml:space="preserve"> </t>
        </is>
      </c>
      <c r="R88" s="1191" t="n"/>
    </row>
    <row r="89" ht="15" customHeight="1" thickBot="1">
      <c r="B89" s="1169" t="n"/>
      <c r="C89" s="1185">
        <f>C22</f>
        <v/>
      </c>
      <c r="R89" s="707" t="n"/>
    </row>
    <row r="90" ht="15" customHeight="1" thickBot="1">
      <c r="B90" s="1169" t="n"/>
      <c r="C90" s="116" t="inlineStr">
        <is>
          <t>Hours Sold</t>
        </is>
      </c>
      <c r="D90" s="1170">
        <f>D175*0.25</f>
        <v/>
      </c>
      <c r="E90" s="1170">
        <f>E175*0.25</f>
        <v/>
      </c>
      <c r="F90" s="1170">
        <f>F175*0.25</f>
        <v/>
      </c>
      <c r="G90" s="1170">
        <f>G175*0.25</f>
        <v/>
      </c>
      <c r="H90" s="1170">
        <f>H175*0.25</f>
        <v/>
      </c>
      <c r="I90" s="1170">
        <f>I175*0.25</f>
        <v/>
      </c>
      <c r="J90" s="1170">
        <f>J175*0.25</f>
        <v/>
      </c>
      <c r="K90" s="1170">
        <f>K175*0.25</f>
        <v/>
      </c>
      <c r="L90" s="1170">
        <f>L175*0.25</f>
        <v/>
      </c>
      <c r="M90" s="1170">
        <f>M175*0.25</f>
        <v/>
      </c>
      <c r="N90" s="1170">
        <f>N175*0.25</f>
        <v/>
      </c>
      <c r="O90" s="1170">
        <f>O175*0.25</f>
        <v/>
      </c>
      <c r="P90" s="317" t="n"/>
      <c r="Q90" s="72" t="n"/>
      <c r="R90" s="318" t="n"/>
    </row>
    <row r="91" ht="15" customHeight="1">
      <c r="B91" s="1169" t="n"/>
      <c r="C91" s="117" t="inlineStr">
        <is>
          <t>Total Sales</t>
        </is>
      </c>
      <c r="D91" s="194">
        <f>D90*$D$22</f>
        <v/>
      </c>
      <c r="E91" s="194">
        <f>E90*$D$22</f>
        <v/>
      </c>
      <c r="F91" s="194">
        <f>F90*$D$22</f>
        <v/>
      </c>
      <c r="G91" s="194">
        <f>G90*$D$22</f>
        <v/>
      </c>
      <c r="H91" s="194">
        <f>H90*$D$22</f>
        <v/>
      </c>
      <c r="I91" s="194">
        <f>I90*$D$22</f>
        <v/>
      </c>
      <c r="J91" s="194">
        <f>J90*$D$22</f>
        <v/>
      </c>
      <c r="K91" s="194">
        <f>K90*$D$22</f>
        <v/>
      </c>
      <c r="L91" s="194">
        <f>L90*$D$22</f>
        <v/>
      </c>
      <c r="M91" s="194">
        <f>M90*$D$22</f>
        <v/>
      </c>
      <c r="N91" s="194">
        <f>N90*$D$22</f>
        <v/>
      </c>
      <c r="O91" s="523">
        <f>O90*$D$22</f>
        <v/>
      </c>
      <c r="P91" s="319">
        <f>SUM(D91:O91)</f>
        <v/>
      </c>
      <c r="Q91" s="1175">
        <f>(Q92+Q93)</f>
        <v/>
      </c>
      <c r="R91" s="1176" t="inlineStr">
        <is>
          <t xml:space="preserve"> </t>
        </is>
      </c>
    </row>
    <row r="92" ht="18" customHeight="1">
      <c r="B92" s="1169" t="n"/>
      <c r="C92" s="118" t="inlineStr">
        <is>
          <t>Total COGS</t>
        </is>
      </c>
      <c r="D92" s="107">
        <f>D90*$E$22</f>
        <v/>
      </c>
      <c r="E92" s="107">
        <f>E90*$E$22</f>
        <v/>
      </c>
      <c r="F92" s="107">
        <f>F90*$E$22</f>
        <v/>
      </c>
      <c r="G92" s="107">
        <f>G90*$E$22</f>
        <v/>
      </c>
      <c r="H92" s="107">
        <f>H90*$E$22</f>
        <v/>
      </c>
      <c r="I92" s="107">
        <f>I90*$E$22</f>
        <v/>
      </c>
      <c r="J92" s="107">
        <f>J90*$E$22</f>
        <v/>
      </c>
      <c r="K92" s="107">
        <f>K90*$E$22</f>
        <v/>
      </c>
      <c r="L92" s="107">
        <f>L90*$E$22</f>
        <v/>
      </c>
      <c r="M92" s="107">
        <f>M90*$E$22</f>
        <v/>
      </c>
      <c r="N92" s="107">
        <f>N90*$E$22</f>
        <v/>
      </c>
      <c r="O92" s="316">
        <f>O90*$E$22</f>
        <v/>
      </c>
      <c r="P92" s="320">
        <f>SUM(D92:O92)</f>
        <v/>
      </c>
      <c r="Q92" s="1178">
        <f>IF(P91=0,0,P92/P91)</f>
        <v/>
      </c>
      <c r="R92" s="1179" t="inlineStr">
        <is>
          <t xml:space="preserve"> </t>
        </is>
      </c>
    </row>
    <row r="93" ht="15" customHeight="1" thickBot="1">
      <c r="B93" s="1169" t="n"/>
      <c r="C93" s="119" t="inlineStr">
        <is>
          <t>Total Margin</t>
        </is>
      </c>
      <c r="D93" s="68">
        <f>D91-D92</f>
        <v/>
      </c>
      <c r="E93" s="68">
        <f>E91-E92</f>
        <v/>
      </c>
      <c r="F93" s="68">
        <f>F91-F92</f>
        <v/>
      </c>
      <c r="G93" s="68">
        <f>G91-G92</f>
        <v/>
      </c>
      <c r="H93" s="68">
        <f>H91-H92</f>
        <v/>
      </c>
      <c r="I93" s="68">
        <f>I91-I92</f>
        <v/>
      </c>
      <c r="J93" s="68">
        <f>J91-J92</f>
        <v/>
      </c>
      <c r="K93" s="68">
        <f>K91-K92</f>
        <v/>
      </c>
      <c r="L93" s="68">
        <f>L91-L92</f>
        <v/>
      </c>
      <c r="M93" s="68">
        <f>M91-M92</f>
        <v/>
      </c>
      <c r="N93" s="68">
        <f>N91-N92</f>
        <v/>
      </c>
      <c r="O93" s="69">
        <f>O91-O92</f>
        <v/>
      </c>
      <c r="P93" s="321">
        <f>SUM(D93:O93)</f>
        <v/>
      </c>
      <c r="Q93" s="1181">
        <f>IF(P91=0,0,P93/P91)</f>
        <v/>
      </c>
      <c r="R93" s="1182" t="inlineStr">
        <is>
          <t xml:space="preserve"> </t>
        </is>
      </c>
    </row>
    <row r="94" ht="15" customHeight="1">
      <c r="B94" s="1169" t="n"/>
      <c r="C94" s="1190" t="inlineStr">
        <is>
          <t xml:space="preserve"> </t>
        </is>
      </c>
      <c r="R94" s="1191" t="n"/>
    </row>
    <row r="95" ht="15" customHeight="1">
      <c r="B95" s="1169" t="n"/>
      <c r="C95" s="1185" t="inlineStr">
        <is>
          <t>Total Training Consultancy</t>
        </is>
      </c>
      <c r="R95" s="707" t="n"/>
    </row>
    <row r="96" ht="18" customHeight="1">
      <c r="B96" s="1169" t="n"/>
      <c r="C96" s="117" t="inlineStr">
        <is>
          <t>Total Sales</t>
        </is>
      </c>
      <c r="D96" s="194">
        <f>D91+D85</f>
        <v/>
      </c>
      <c r="E96" s="194">
        <f>E91+E85</f>
        <v/>
      </c>
      <c r="F96" s="194">
        <f>F91+F85</f>
        <v/>
      </c>
      <c r="G96" s="194">
        <f>G91+G85</f>
        <v/>
      </c>
      <c r="H96" s="194">
        <f>H91+H85</f>
        <v/>
      </c>
      <c r="I96" s="194">
        <f>I91+I85</f>
        <v/>
      </c>
      <c r="J96" s="194">
        <f>J91+J85</f>
        <v/>
      </c>
      <c r="K96" s="194">
        <f>K91+K85</f>
        <v/>
      </c>
      <c r="L96" s="194">
        <f>L91+L85</f>
        <v/>
      </c>
      <c r="M96" s="194">
        <f>M91+M85</f>
        <v/>
      </c>
      <c r="N96" s="194">
        <f>N91+N85</f>
        <v/>
      </c>
      <c r="O96" s="523">
        <f>O91+O85</f>
        <v/>
      </c>
      <c r="P96" s="319">
        <f>SUM(D96:O96)</f>
        <v/>
      </c>
      <c r="Q96" s="1175">
        <f>(Q97+Q98)</f>
        <v/>
      </c>
      <c r="R96" s="1176" t="inlineStr">
        <is>
          <t xml:space="preserve"> </t>
        </is>
      </c>
    </row>
    <row r="97" ht="23.25" customHeight="1">
      <c r="B97" s="1169" t="n"/>
      <c r="C97" s="118" t="inlineStr">
        <is>
          <t>Total COGS</t>
        </is>
      </c>
      <c r="D97" s="193">
        <f>D92+D86</f>
        <v/>
      </c>
      <c r="E97" s="193">
        <f>E92+E86</f>
        <v/>
      </c>
      <c r="F97" s="193">
        <f>F92+F86</f>
        <v/>
      </c>
      <c r="G97" s="193">
        <f>G92+G86</f>
        <v/>
      </c>
      <c r="H97" s="193">
        <f>H92+H86</f>
        <v/>
      </c>
      <c r="I97" s="193">
        <f>I92+I86</f>
        <v/>
      </c>
      <c r="J97" s="193">
        <f>J92+J86</f>
        <v/>
      </c>
      <c r="K97" s="193">
        <f>K92+K86</f>
        <v/>
      </c>
      <c r="L97" s="193">
        <f>L92+L86</f>
        <v/>
      </c>
      <c r="M97" s="193">
        <f>M92+M86</f>
        <v/>
      </c>
      <c r="N97" s="193">
        <f>N92+N86</f>
        <v/>
      </c>
      <c r="O97" s="273">
        <f>O92+O86</f>
        <v/>
      </c>
      <c r="P97" s="320">
        <f>SUM(D97:O97)</f>
        <v/>
      </c>
      <c r="Q97" s="1178">
        <f>IF(P96=0,0,P97/P96)</f>
        <v/>
      </c>
      <c r="R97" s="1179" t="inlineStr">
        <is>
          <t xml:space="preserve"> </t>
        </is>
      </c>
    </row>
    <row r="98" ht="20" customHeight="1" thickBot="1">
      <c r="B98" s="1169" t="n"/>
      <c r="C98" s="119" t="inlineStr">
        <is>
          <t>Total Margin</t>
        </is>
      </c>
      <c r="D98" s="68">
        <f>D96-D97</f>
        <v/>
      </c>
      <c r="E98" s="68">
        <f>E96-E97</f>
        <v/>
      </c>
      <c r="F98" s="68">
        <f>F96-F97</f>
        <v/>
      </c>
      <c r="G98" s="68">
        <f>G96-G97</f>
        <v/>
      </c>
      <c r="H98" s="68">
        <f>H96-H97</f>
        <v/>
      </c>
      <c r="I98" s="68">
        <f>I96-I97</f>
        <v/>
      </c>
      <c r="J98" s="68">
        <f>J96-J97</f>
        <v/>
      </c>
      <c r="K98" s="68">
        <f>K96-K97</f>
        <v/>
      </c>
      <c r="L98" s="68">
        <f>L96-L97</f>
        <v/>
      </c>
      <c r="M98" s="68">
        <f>M96-M97</f>
        <v/>
      </c>
      <c r="N98" s="68">
        <f>N96-N97</f>
        <v/>
      </c>
      <c r="O98" s="69">
        <f>O96-O97</f>
        <v/>
      </c>
      <c r="P98" s="321">
        <f>SUM(D98:O98)</f>
        <v/>
      </c>
      <c r="Q98" s="1181">
        <f>IF(P96=0,0,P98/P96)</f>
        <v/>
      </c>
      <c r="R98" s="1182" t="inlineStr">
        <is>
          <t xml:space="preserve"> </t>
        </is>
      </c>
    </row>
    <row r="99" ht="19" customHeight="1" thickBot="1">
      <c r="B99" s="272" t="n"/>
      <c r="C99" s="289" t="n"/>
      <c r="D99" s="290">
        <f>D76+D69+D62+D55+D48+D41+D34+D27</f>
        <v/>
      </c>
      <c r="E99" s="290">
        <f>E76+E69+E62+E55+E48+E41+E34+E27</f>
        <v/>
      </c>
      <c r="F99" s="290">
        <f>F76+F69+F62+F55+F48+F41+F34+F27</f>
        <v/>
      </c>
      <c r="G99" s="290">
        <f>G76+G69+G62+G55+G48+G41+G34+G27</f>
        <v/>
      </c>
      <c r="H99" s="290">
        <f>H76+H69+H62+H55+H48+H41+H34+H27</f>
        <v/>
      </c>
      <c r="I99" s="290">
        <f>I76+I69+I62+I55+I48+I41+I34+I27</f>
        <v/>
      </c>
      <c r="J99" s="290">
        <f>J76+J69+J62+J55+J48+J41+J34+J27</f>
        <v/>
      </c>
      <c r="K99" s="290">
        <f>K76+K69+K62+K55+K48+K41+K34+K27</f>
        <v/>
      </c>
      <c r="L99" s="290">
        <f>L76+L69+L62+L55+L48+L41+L34+L27</f>
        <v/>
      </c>
      <c r="M99" s="290">
        <f>M76+M69+M62+M55+M48+M41+M34+M27</f>
        <v/>
      </c>
      <c r="N99" s="290">
        <f>N76+N69+N62+N55+N48+N41+N34+N27</f>
        <v/>
      </c>
      <c r="O99" s="290">
        <f>O76+O69+O62+O55+O48+O41+O34+O27</f>
        <v/>
      </c>
      <c r="P99" s="185" t="n"/>
      <c r="Q99" s="1213" t="n"/>
      <c r="R99" s="1214" t="n"/>
      <c r="T99" s="682" t="inlineStr">
        <is>
          <t xml:space="preserve">Assumptions </t>
        </is>
      </c>
    </row>
    <row r="100" ht="15" customHeight="1" thickBot="1">
      <c r="B100" s="288" t="n"/>
      <c r="C100" s="287" t="inlineStr">
        <is>
          <t>Net New</t>
        </is>
      </c>
      <c r="D100" s="283">
        <f>'Revenue 2026'!O99-D99</f>
        <v/>
      </c>
      <c r="E100" s="283">
        <f>E99-D99</f>
        <v/>
      </c>
      <c r="F100" s="283">
        <f>F99-E99</f>
        <v/>
      </c>
      <c r="G100" s="283">
        <f>G99-F99</f>
        <v/>
      </c>
      <c r="H100" s="283">
        <f>H99-G99</f>
        <v/>
      </c>
      <c r="I100" s="283">
        <f>I99-H99</f>
        <v/>
      </c>
      <c r="J100" s="283">
        <f>J99-I99</f>
        <v/>
      </c>
      <c r="K100" s="283">
        <f>K99-J99</f>
        <v/>
      </c>
      <c r="L100" s="283">
        <f>L99-K99</f>
        <v/>
      </c>
      <c r="M100" s="283">
        <f>M99-L99</f>
        <v/>
      </c>
      <c r="N100" s="283">
        <f>N99-M99</f>
        <v/>
      </c>
      <c r="O100" s="283">
        <f>O99-N99</f>
        <v/>
      </c>
      <c r="P100" s="284" t="n"/>
      <c r="Q100" s="1215" t="n"/>
      <c r="R100" s="1216" t="n"/>
      <c r="T100" s="682" t="inlineStr">
        <is>
          <t xml:space="preserve">work hours </t>
        </is>
      </c>
    </row>
    <row r="101" ht="15" customHeight="1" thickBot="1">
      <c r="B101" s="1039" t="inlineStr">
        <is>
          <t>Administrative</t>
        </is>
      </c>
      <c r="C101" s="1217">
        <f>C6</f>
        <v/>
      </c>
      <c r="D101" s="1218" t="n"/>
      <c r="E101" s="1218" t="n"/>
      <c r="F101" s="1218" t="n"/>
      <c r="G101" s="1218" t="n"/>
      <c r="H101" s="1218" t="n"/>
      <c r="I101" s="1218" t="n"/>
      <c r="J101" s="1218" t="n"/>
      <c r="K101" s="1218" t="n"/>
      <c r="L101" s="1218" t="n"/>
      <c r="M101" s="1218" t="n"/>
      <c r="N101" s="1218" t="n"/>
      <c r="O101" s="1218" t="n"/>
      <c r="P101" s="1218" t="n"/>
      <c r="Q101" s="1218" t="n"/>
      <c r="R101" s="1219" t="n"/>
      <c r="T101" s="682" t="inlineStr">
        <is>
          <t>per new acct</t>
        </is>
      </c>
    </row>
    <row r="102" ht="19" customHeight="1" thickBot="1">
      <c r="B102" s="1220" t="n"/>
      <c r="C102" s="56" t="inlineStr">
        <is>
          <t>Net New Licences Sold</t>
        </is>
      </c>
      <c r="D102" s="1170">
        <f>D100*$T$102</f>
        <v/>
      </c>
      <c r="E102" s="1170">
        <f>E100*$T$102</f>
        <v/>
      </c>
      <c r="F102" s="1170">
        <f>F100*$T$102</f>
        <v/>
      </c>
      <c r="G102" s="1170">
        <f>G100*$T$102</f>
        <v/>
      </c>
      <c r="H102" s="1170">
        <f>H100*$T$102</f>
        <v/>
      </c>
      <c r="I102" s="1170">
        <f>I100*$T$102</f>
        <v/>
      </c>
      <c r="J102" s="1170">
        <f>J100*$T$102</f>
        <v/>
      </c>
      <c r="K102" s="1170">
        <f>K100*$T$102</f>
        <v/>
      </c>
      <c r="L102" s="1170">
        <f>L100*$T$102</f>
        <v/>
      </c>
      <c r="M102" s="1170">
        <f>M100*$T$102</f>
        <v/>
      </c>
      <c r="N102" s="1170">
        <f>N100*$T$102</f>
        <v/>
      </c>
      <c r="O102" s="1170">
        <f>O100*$T$102</f>
        <v/>
      </c>
      <c r="P102" s="71" t="n"/>
      <c r="Q102" s="72" t="n"/>
      <c r="R102" s="73" t="n"/>
      <c r="T102" s="314" t="n">
        <v>1</v>
      </c>
    </row>
    <row r="103" ht="18" customHeight="1">
      <c r="B103" s="1220" t="n"/>
      <c r="C103" s="57" t="inlineStr">
        <is>
          <t>Total Sales</t>
        </is>
      </c>
      <c r="D103" s="194">
        <f>D102*$D$6</f>
        <v/>
      </c>
      <c r="E103" s="194">
        <f>E102*$D$6</f>
        <v/>
      </c>
      <c r="F103" s="194">
        <f>F102*$D$6</f>
        <v/>
      </c>
      <c r="G103" s="194">
        <f>G102*$D$6</f>
        <v/>
      </c>
      <c r="H103" s="194">
        <f>H102*$D$6</f>
        <v/>
      </c>
      <c r="I103" s="194">
        <f>I102*$D$6</f>
        <v/>
      </c>
      <c r="J103" s="194">
        <f>J102*$D$6</f>
        <v/>
      </c>
      <c r="K103" s="194">
        <f>K102*$D$6</f>
        <v/>
      </c>
      <c r="L103" s="194">
        <f>L102*$D$6</f>
        <v/>
      </c>
      <c r="M103" s="194">
        <f>M102*$D$6</f>
        <v/>
      </c>
      <c r="N103" s="194">
        <f>N102*$D$6</f>
        <v/>
      </c>
      <c r="O103" s="194">
        <f>O102*$D$6</f>
        <v/>
      </c>
      <c r="P103" s="59">
        <f>SUM(D103:O103)</f>
        <v/>
      </c>
      <c r="Q103" s="1175">
        <f>(Q104+Q105)</f>
        <v/>
      </c>
      <c r="R103" s="1221" t="inlineStr">
        <is>
          <t xml:space="preserve"> </t>
        </is>
      </c>
      <c r="T103" s="315" t="n"/>
    </row>
    <row r="104" ht="18" customHeight="1">
      <c r="B104" s="1220" t="n"/>
      <c r="C104" s="62" t="inlineStr">
        <is>
          <t>Total COGS</t>
        </is>
      </c>
      <c r="D104" s="193">
        <f>D102*$E$6</f>
        <v/>
      </c>
      <c r="E104" s="193">
        <f>E102*$E$6</f>
        <v/>
      </c>
      <c r="F104" s="193">
        <f>F102*$E$6</f>
        <v/>
      </c>
      <c r="G104" s="193">
        <f>G102*$E$6</f>
        <v/>
      </c>
      <c r="H104" s="193">
        <f>H102*$E$6</f>
        <v/>
      </c>
      <c r="I104" s="193">
        <f>I102*$E$6</f>
        <v/>
      </c>
      <c r="J104" s="193">
        <f>J102*$E$6</f>
        <v/>
      </c>
      <c r="K104" s="193">
        <f>K102*$E$6</f>
        <v/>
      </c>
      <c r="L104" s="193">
        <f>L102*$E$6</f>
        <v/>
      </c>
      <c r="M104" s="193">
        <f>M102*$E$6</f>
        <v/>
      </c>
      <c r="N104" s="193">
        <f>N102*$E$6</f>
        <v/>
      </c>
      <c r="O104" s="193">
        <f>O102*$E$6</f>
        <v/>
      </c>
      <c r="P104" s="64">
        <f>SUM(D104:O104)</f>
        <v/>
      </c>
      <c r="Q104" s="1178">
        <f>IF(P103=0,0,P104/P103)</f>
        <v/>
      </c>
      <c r="R104" s="1222" t="inlineStr">
        <is>
          <t xml:space="preserve"> </t>
        </is>
      </c>
      <c r="T104" s="315" t="n"/>
    </row>
    <row r="105" ht="18" customHeight="1">
      <c r="B105" s="1220" t="n"/>
      <c r="C105" s="67" t="inlineStr">
        <is>
          <t>Total Margin</t>
        </is>
      </c>
      <c r="D105" s="68">
        <f>D103-D104</f>
        <v/>
      </c>
      <c r="E105" s="68">
        <f>E103-E104</f>
        <v/>
      </c>
      <c r="F105" s="68">
        <f>F103-F104</f>
        <v/>
      </c>
      <c r="G105" s="68">
        <f>G103-G104</f>
        <v/>
      </c>
      <c r="H105" s="68">
        <f>H103-H104</f>
        <v/>
      </c>
      <c r="I105" s="68">
        <f>I103-I104</f>
        <v/>
      </c>
      <c r="J105" s="68">
        <f>J103-J104</f>
        <v/>
      </c>
      <c r="K105" s="68">
        <f>K103-K104</f>
        <v/>
      </c>
      <c r="L105" s="68">
        <f>L103-L104</f>
        <v/>
      </c>
      <c r="M105" s="68">
        <f>M103-M104</f>
        <v/>
      </c>
      <c r="N105" s="68">
        <f>N103-N104</f>
        <v/>
      </c>
      <c r="O105" s="69">
        <f>O103-O104</f>
        <v/>
      </c>
      <c r="P105" s="64">
        <f>SUM(D105:O105)</f>
        <v/>
      </c>
      <c r="Q105" s="1178">
        <f>IF(P103=0,0,P105/P103)</f>
        <v/>
      </c>
      <c r="R105" s="1222" t="inlineStr">
        <is>
          <t xml:space="preserve"> </t>
        </is>
      </c>
      <c r="T105" s="315" t="n"/>
    </row>
    <row r="106" ht="15" customHeight="1">
      <c r="B106" s="1220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1223" t="inlineStr">
        <is>
          <t xml:space="preserve"> </t>
        </is>
      </c>
      <c r="T106" s="315" t="n"/>
    </row>
    <row r="107" ht="15" customHeight="1" thickBot="1">
      <c r="B107" s="1220" t="n"/>
      <c r="C107" s="1224">
        <f>C7</f>
        <v/>
      </c>
      <c r="R107" s="1191" t="n"/>
      <c r="T107" s="315" t="n"/>
    </row>
    <row r="108" ht="19" customHeight="1" thickBot="1">
      <c r="B108" s="1220" t="n"/>
      <c r="C108" s="56" t="inlineStr">
        <is>
          <t>Net New Licences Sold</t>
        </is>
      </c>
      <c r="D108" s="1170">
        <f>D100*$T$108</f>
        <v/>
      </c>
      <c r="E108" s="1170">
        <f>E100*$T$108</f>
        <v/>
      </c>
      <c r="F108" s="1170">
        <f>F100*$T$108</f>
        <v/>
      </c>
      <c r="G108" s="1170">
        <f>G100*$T$108</f>
        <v/>
      </c>
      <c r="H108" s="1170">
        <f>H100*$T$108</f>
        <v/>
      </c>
      <c r="I108" s="1170">
        <f>I100*$T$108</f>
        <v/>
      </c>
      <c r="J108" s="1170">
        <f>J100*$T$108</f>
        <v/>
      </c>
      <c r="K108" s="1170">
        <f>K100*$T$108</f>
        <v/>
      </c>
      <c r="L108" s="1170">
        <f>L100*$T$108</f>
        <v/>
      </c>
      <c r="M108" s="1170">
        <f>M100*$T$108</f>
        <v/>
      </c>
      <c r="N108" s="1170">
        <f>N100*$T$108</f>
        <v/>
      </c>
      <c r="O108" s="1170">
        <f>O100*$T$108</f>
        <v/>
      </c>
      <c r="P108" s="71" t="n"/>
      <c r="Q108" s="72" t="n"/>
      <c r="R108" s="73" t="n"/>
      <c r="T108" s="315" t="n">
        <v>1</v>
      </c>
    </row>
    <row r="109" ht="18" customHeight="1">
      <c r="B109" s="1220" t="n"/>
      <c r="C109" s="57" t="inlineStr">
        <is>
          <t>Total Sales</t>
        </is>
      </c>
      <c r="D109" s="194">
        <f>D108*$D$7</f>
        <v/>
      </c>
      <c r="E109" s="194">
        <f>E108*$D$7</f>
        <v/>
      </c>
      <c r="F109" s="194">
        <f>F108*$D$7</f>
        <v/>
      </c>
      <c r="G109" s="194">
        <f>G108*$D$7</f>
        <v/>
      </c>
      <c r="H109" s="194">
        <f>H108*$D$7</f>
        <v/>
      </c>
      <c r="I109" s="194">
        <f>I108*$D$7</f>
        <v/>
      </c>
      <c r="J109" s="194">
        <f>J108*$D$7</f>
        <v/>
      </c>
      <c r="K109" s="194">
        <f>K108*$D$7</f>
        <v/>
      </c>
      <c r="L109" s="194">
        <f>L108*$D$7</f>
        <v/>
      </c>
      <c r="M109" s="194">
        <f>M108*$D$7</f>
        <v/>
      </c>
      <c r="N109" s="194">
        <f>N108*$D$7</f>
        <v/>
      </c>
      <c r="O109" s="194">
        <f>O108*$D$7</f>
        <v/>
      </c>
      <c r="P109" s="59">
        <f>SUM(D109:O109)</f>
        <v/>
      </c>
      <c r="Q109" s="1175">
        <f>(Q110+Q111)</f>
        <v/>
      </c>
      <c r="R109" s="1221" t="inlineStr">
        <is>
          <t xml:space="preserve"> </t>
        </is>
      </c>
      <c r="T109" s="315" t="n"/>
    </row>
    <row r="110" ht="18" customHeight="1">
      <c r="B110" s="1220" t="n"/>
      <c r="C110" s="62" t="inlineStr">
        <is>
          <t>Total COGS</t>
        </is>
      </c>
      <c r="D110" s="193">
        <f>D108*$E$7</f>
        <v/>
      </c>
      <c r="E110" s="193">
        <f>E108*$E$7</f>
        <v/>
      </c>
      <c r="F110" s="193">
        <f>F108*$E$7</f>
        <v/>
      </c>
      <c r="G110" s="193">
        <f>G108*$E$7</f>
        <v/>
      </c>
      <c r="H110" s="193">
        <f>H108*$E$7</f>
        <v/>
      </c>
      <c r="I110" s="193">
        <f>I108*$E$7</f>
        <v/>
      </c>
      <c r="J110" s="193">
        <f>J108*$E$7</f>
        <v/>
      </c>
      <c r="K110" s="193">
        <f>K108*$E$7</f>
        <v/>
      </c>
      <c r="L110" s="193">
        <f>L108*$E$7</f>
        <v/>
      </c>
      <c r="M110" s="193">
        <f>M108*$E$7</f>
        <v/>
      </c>
      <c r="N110" s="193">
        <f>N108*$E$7</f>
        <v/>
      </c>
      <c r="O110" s="193">
        <f>O108*$E$7</f>
        <v/>
      </c>
      <c r="P110" s="64">
        <f>SUM(D110:O110)</f>
        <v/>
      </c>
      <c r="Q110" s="1178">
        <f>IF(P109=0,0,P110/P109)</f>
        <v/>
      </c>
      <c r="R110" s="1222" t="inlineStr">
        <is>
          <t xml:space="preserve"> </t>
        </is>
      </c>
      <c r="T110" s="315" t="n"/>
    </row>
    <row r="111" ht="18" customHeight="1">
      <c r="B111" s="1220" t="n"/>
      <c r="C111" s="67" t="inlineStr">
        <is>
          <t>Total Margin</t>
        </is>
      </c>
      <c r="D111" s="68">
        <f>D109-D110</f>
        <v/>
      </c>
      <c r="E111" s="68">
        <f>E109-E110</f>
        <v/>
      </c>
      <c r="F111" s="68">
        <f>F109-F110</f>
        <v/>
      </c>
      <c r="G111" s="68">
        <f>G109-G110</f>
        <v/>
      </c>
      <c r="H111" s="68">
        <f>H109-H110</f>
        <v/>
      </c>
      <c r="I111" s="68">
        <f>I109-I110</f>
        <v/>
      </c>
      <c r="J111" s="68">
        <f>J109-J110</f>
        <v/>
      </c>
      <c r="K111" s="68">
        <f>K109-K110</f>
        <v/>
      </c>
      <c r="L111" s="68">
        <f>L109-L110</f>
        <v/>
      </c>
      <c r="M111" s="68">
        <f>M109-M110</f>
        <v/>
      </c>
      <c r="N111" s="68">
        <f>N109-N110</f>
        <v/>
      </c>
      <c r="O111" s="68">
        <f>O109-O110</f>
        <v/>
      </c>
      <c r="P111" s="64">
        <f>SUM(D111:O111)</f>
        <v/>
      </c>
      <c r="Q111" s="1178">
        <f>IF(P109=0,0,P111/P109)</f>
        <v/>
      </c>
      <c r="R111" s="1222" t="inlineStr">
        <is>
          <t xml:space="preserve"> </t>
        </is>
      </c>
      <c r="T111" s="315" t="n"/>
    </row>
    <row r="112" ht="15" customHeight="1">
      <c r="B112" s="1220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1223" t="inlineStr">
        <is>
          <t xml:space="preserve"> </t>
        </is>
      </c>
      <c r="T112" s="315" t="n"/>
    </row>
    <row r="113" ht="15" customHeight="1" thickBot="1">
      <c r="B113" s="1220" t="n"/>
      <c r="C113" s="1224">
        <f>C8</f>
        <v/>
      </c>
      <c r="R113" s="1191" t="n"/>
      <c r="T113" s="315" t="n"/>
    </row>
    <row r="114" ht="19" customHeight="1" thickBot="1">
      <c r="B114" s="1220" t="n"/>
      <c r="C114" s="56" t="inlineStr">
        <is>
          <t>Net New Licences Sold</t>
        </is>
      </c>
      <c r="D114" s="1170">
        <f>D100*$T$114</f>
        <v/>
      </c>
      <c r="E114" s="1170">
        <f>E100*$T$114</f>
        <v/>
      </c>
      <c r="F114" s="1170">
        <f>F100*$T$114</f>
        <v/>
      </c>
      <c r="G114" s="1170">
        <f>G100*$T$114</f>
        <v/>
      </c>
      <c r="H114" s="1170">
        <f>H100*$T$114</f>
        <v/>
      </c>
      <c r="I114" s="1170">
        <f>I100*$T$114</f>
        <v/>
      </c>
      <c r="J114" s="1170">
        <f>J100*$T$114</f>
        <v/>
      </c>
      <c r="K114" s="1170">
        <f>K100*$T$114</f>
        <v/>
      </c>
      <c r="L114" s="1170">
        <f>L100*$T$114</f>
        <v/>
      </c>
      <c r="M114" s="1170">
        <f>M100*$T$114</f>
        <v/>
      </c>
      <c r="N114" s="1170">
        <f>N100*$T$114</f>
        <v/>
      </c>
      <c r="O114" s="1170">
        <f>O100*$T$114</f>
        <v/>
      </c>
      <c r="P114" s="71" t="n"/>
      <c r="Q114" s="72" t="n"/>
      <c r="R114" s="73" t="n"/>
      <c r="T114" s="315" t="n">
        <v>2</v>
      </c>
    </row>
    <row r="115" ht="18" customHeight="1">
      <c r="B115" s="1220" t="n"/>
      <c r="C115" s="57" t="inlineStr">
        <is>
          <t>Total Sales</t>
        </is>
      </c>
      <c r="D115" s="194">
        <f>D114*$D$8</f>
        <v/>
      </c>
      <c r="E115" s="194">
        <f>E114*$D$8</f>
        <v/>
      </c>
      <c r="F115" s="194">
        <f>F114*$D$8</f>
        <v/>
      </c>
      <c r="G115" s="194">
        <f>G114*$D$8</f>
        <v/>
      </c>
      <c r="H115" s="194">
        <f>H114*$D$8</f>
        <v/>
      </c>
      <c r="I115" s="194">
        <f>I114*$D$8</f>
        <v/>
      </c>
      <c r="J115" s="194">
        <f>J114*$D$8</f>
        <v/>
      </c>
      <c r="K115" s="194">
        <f>K114*$D$8</f>
        <v/>
      </c>
      <c r="L115" s="194">
        <f>L114*$D$8</f>
        <v/>
      </c>
      <c r="M115" s="194">
        <f>M114*$D$8</f>
        <v/>
      </c>
      <c r="N115" s="194">
        <f>N114*$D$8</f>
        <v/>
      </c>
      <c r="O115" s="194">
        <f>O114*$D$8</f>
        <v/>
      </c>
      <c r="P115" s="59">
        <f>SUM(D115:O115)</f>
        <v/>
      </c>
      <c r="Q115" s="1175">
        <f>(Q116+Q117)</f>
        <v/>
      </c>
      <c r="R115" s="1221" t="inlineStr">
        <is>
          <t xml:space="preserve"> </t>
        </is>
      </c>
      <c r="T115" s="315" t="n"/>
    </row>
    <row r="116" ht="18" customHeight="1">
      <c r="B116" s="1220" t="n"/>
      <c r="C116" s="62" t="inlineStr">
        <is>
          <t>Total COGS</t>
        </is>
      </c>
      <c r="D116" s="193">
        <f>D114*$E$8</f>
        <v/>
      </c>
      <c r="E116" s="193">
        <f>E114*$E$8</f>
        <v/>
      </c>
      <c r="F116" s="193">
        <f>F114*$E$8</f>
        <v/>
      </c>
      <c r="G116" s="193">
        <f>G114*$E$8</f>
        <v/>
      </c>
      <c r="H116" s="193">
        <f>H114*$E$8</f>
        <v/>
      </c>
      <c r="I116" s="193">
        <f>I114*$E$8</f>
        <v/>
      </c>
      <c r="J116" s="193">
        <f>J114*$E$8</f>
        <v/>
      </c>
      <c r="K116" s="193">
        <f>K114*$E$8</f>
        <v/>
      </c>
      <c r="L116" s="193">
        <f>L114*$E$8</f>
        <v/>
      </c>
      <c r="M116" s="193">
        <f>M114*$E$8</f>
        <v/>
      </c>
      <c r="N116" s="193">
        <f>N114*$E$8</f>
        <v/>
      </c>
      <c r="O116" s="193">
        <f>O114*$E$8</f>
        <v/>
      </c>
      <c r="P116" s="64">
        <f>SUM(D116:O116)</f>
        <v/>
      </c>
      <c r="Q116" s="1178">
        <f>IF(P115=0,0,P116/P115)</f>
        <v/>
      </c>
      <c r="R116" s="1222" t="inlineStr">
        <is>
          <t xml:space="preserve"> </t>
        </is>
      </c>
      <c r="T116" s="315" t="n"/>
    </row>
    <row r="117" ht="18" customHeight="1">
      <c r="B117" s="1220" t="n"/>
      <c r="C117" s="67" t="inlineStr">
        <is>
          <t>Total Margin</t>
        </is>
      </c>
      <c r="D117" s="68">
        <f>D115-D116</f>
        <v/>
      </c>
      <c r="E117" s="68">
        <f>E115-E116</f>
        <v/>
      </c>
      <c r="F117" s="68">
        <f>F115-F116</f>
        <v/>
      </c>
      <c r="G117" s="68">
        <f>G115-G116</f>
        <v/>
      </c>
      <c r="H117" s="68">
        <f>H115-H116</f>
        <v/>
      </c>
      <c r="I117" s="68">
        <f>I115-I116</f>
        <v/>
      </c>
      <c r="J117" s="68">
        <f>J115-J116</f>
        <v/>
      </c>
      <c r="K117" s="68">
        <f>K115-K116</f>
        <v/>
      </c>
      <c r="L117" s="68">
        <f>L115-L116</f>
        <v/>
      </c>
      <c r="M117" s="68">
        <f>M115-M116</f>
        <v/>
      </c>
      <c r="N117" s="68">
        <f>N115-N116</f>
        <v/>
      </c>
      <c r="O117" s="68">
        <f>O115-O116</f>
        <v/>
      </c>
      <c r="P117" s="64">
        <f>SUM(D117:O117)</f>
        <v/>
      </c>
      <c r="Q117" s="1178">
        <f>IF(P115=0,0,P117/P115)</f>
        <v/>
      </c>
      <c r="R117" s="1222" t="inlineStr">
        <is>
          <t xml:space="preserve"> </t>
        </is>
      </c>
      <c r="T117" s="315" t="n"/>
    </row>
    <row r="118" ht="18" customHeight="1">
      <c r="B118" s="1220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1223" t="inlineStr">
        <is>
          <t xml:space="preserve"> </t>
        </is>
      </c>
      <c r="T118" s="315" t="n"/>
    </row>
    <row r="119" ht="19" customHeight="1" thickBot="1">
      <c r="B119" s="1220" t="n"/>
      <c r="C119" s="1224">
        <f>C9</f>
        <v/>
      </c>
      <c r="R119" s="1191" t="n"/>
      <c r="T119" s="315" t="n"/>
    </row>
    <row r="120" ht="15.75" customHeight="1" thickBot="1">
      <c r="B120" s="1220" t="n"/>
      <c r="C120" s="56" t="inlineStr">
        <is>
          <t>Net New Licences Sold</t>
        </is>
      </c>
      <c r="D120" s="1170">
        <f>D100*$T$120</f>
        <v/>
      </c>
      <c r="E120" s="1170">
        <f>E100*$T$120</f>
        <v/>
      </c>
      <c r="F120" s="1170">
        <f>F100*$T$120</f>
        <v/>
      </c>
      <c r="G120" s="1170">
        <f>G100*$T$120</f>
        <v/>
      </c>
      <c r="H120" s="1170">
        <f>H100*$T$120</f>
        <v/>
      </c>
      <c r="I120" s="1170">
        <f>I100*$T$120</f>
        <v/>
      </c>
      <c r="J120" s="1170">
        <f>J100*$T$120</f>
        <v/>
      </c>
      <c r="K120" s="1170">
        <f>K100*$T$120</f>
        <v/>
      </c>
      <c r="L120" s="1170">
        <f>L100*$T$120</f>
        <v/>
      </c>
      <c r="M120" s="1170">
        <f>M100*$T$120</f>
        <v/>
      </c>
      <c r="N120" s="1170">
        <f>N100*$T$120</f>
        <v/>
      </c>
      <c r="O120" s="1170">
        <f>O100*$T$120</f>
        <v/>
      </c>
      <c r="P120" s="71" t="n"/>
      <c r="Q120" s="72" t="n"/>
      <c r="R120" s="73" t="n"/>
      <c r="T120" s="315" t="n">
        <v>1</v>
      </c>
    </row>
    <row r="121" ht="18" customHeight="1">
      <c r="B121" s="1220" t="n"/>
      <c r="C121" s="57" t="inlineStr">
        <is>
          <t>Total Sales</t>
        </is>
      </c>
      <c r="D121" s="194">
        <f>D120*$D$9</f>
        <v/>
      </c>
      <c r="E121" s="194">
        <f>E120*$D$9</f>
        <v/>
      </c>
      <c r="F121" s="194">
        <f>F120*$D$9</f>
        <v/>
      </c>
      <c r="G121" s="194">
        <f>G120*$D$9</f>
        <v/>
      </c>
      <c r="H121" s="194">
        <f>H120*$D$9</f>
        <v/>
      </c>
      <c r="I121" s="194">
        <f>I120*$D$9</f>
        <v/>
      </c>
      <c r="J121" s="194">
        <f>J120*$D$9</f>
        <v/>
      </c>
      <c r="K121" s="194">
        <f>K120*$D$9</f>
        <v/>
      </c>
      <c r="L121" s="194">
        <f>L120*$D$9</f>
        <v/>
      </c>
      <c r="M121" s="194">
        <f>M120*$D$9</f>
        <v/>
      </c>
      <c r="N121" s="194">
        <f>N120*$D$9</f>
        <v/>
      </c>
      <c r="O121" s="194">
        <f>O120*$D$9</f>
        <v/>
      </c>
      <c r="P121" s="59">
        <f>SUM(D121:O121)</f>
        <v/>
      </c>
      <c r="Q121" s="1175">
        <f>(Q122+Q123)</f>
        <v/>
      </c>
      <c r="R121" s="1221" t="inlineStr">
        <is>
          <t xml:space="preserve"> </t>
        </is>
      </c>
      <c r="T121" s="315" t="n"/>
    </row>
    <row r="122" ht="19" customHeight="1">
      <c r="B122" s="1220" t="n"/>
      <c r="C122" s="62" t="inlineStr">
        <is>
          <t>Total COGS</t>
        </is>
      </c>
      <c r="D122" s="193">
        <f>D120*$E$9</f>
        <v/>
      </c>
      <c r="E122" s="193">
        <f>E120*$E$9</f>
        <v/>
      </c>
      <c r="F122" s="193">
        <f>F120*$E$9</f>
        <v/>
      </c>
      <c r="G122" s="193">
        <f>G120*$E$9</f>
        <v/>
      </c>
      <c r="H122" s="193">
        <f>H120*$E$9</f>
        <v/>
      </c>
      <c r="I122" s="193">
        <f>I120*$E$9</f>
        <v/>
      </c>
      <c r="J122" s="193">
        <f>J120*$E$9</f>
        <v/>
      </c>
      <c r="K122" s="193">
        <f>K120*$E$9</f>
        <v/>
      </c>
      <c r="L122" s="193">
        <f>L120*$E$9</f>
        <v/>
      </c>
      <c r="M122" s="193">
        <f>M120*$E$9</f>
        <v/>
      </c>
      <c r="N122" s="193">
        <f>N120*$E$9</f>
        <v/>
      </c>
      <c r="O122" s="193">
        <f>O120*$E$9</f>
        <v/>
      </c>
      <c r="P122" s="64">
        <f>SUM(D122:O122)</f>
        <v/>
      </c>
      <c r="Q122" s="1178">
        <f>IF(P121=0,0,P122/P121)</f>
        <v/>
      </c>
      <c r="R122" s="1222" t="inlineStr">
        <is>
          <t xml:space="preserve"> </t>
        </is>
      </c>
      <c r="T122" s="315" t="n"/>
    </row>
    <row r="123" ht="18" customHeight="1">
      <c r="B123" s="1220" t="n"/>
      <c r="C123" s="67" t="inlineStr">
        <is>
          <t>Total Margin</t>
        </is>
      </c>
      <c r="D123" s="68">
        <f>D121-D122</f>
        <v/>
      </c>
      <c r="E123" s="68">
        <f>E121-E122</f>
        <v/>
      </c>
      <c r="F123" s="68">
        <f>F121-F122</f>
        <v/>
      </c>
      <c r="G123" s="68">
        <f>G121-G122</f>
        <v/>
      </c>
      <c r="H123" s="68">
        <f>H121-H122</f>
        <v/>
      </c>
      <c r="I123" s="68">
        <f>I121-I122</f>
        <v/>
      </c>
      <c r="J123" s="68">
        <f>J121-J122</f>
        <v/>
      </c>
      <c r="K123" s="68">
        <f>K121-K122</f>
        <v/>
      </c>
      <c r="L123" s="68">
        <f>L121-L122</f>
        <v/>
      </c>
      <c r="M123" s="68">
        <f>M121-M122</f>
        <v/>
      </c>
      <c r="N123" s="68">
        <f>N121-N122</f>
        <v/>
      </c>
      <c r="O123" s="68">
        <f>O121-O122</f>
        <v/>
      </c>
      <c r="P123" s="64">
        <f>SUM(D123:O123)</f>
        <v/>
      </c>
      <c r="Q123" s="1178">
        <f>IF(P121=0,0,P123/P121)</f>
        <v/>
      </c>
      <c r="R123" s="1222" t="inlineStr">
        <is>
          <t xml:space="preserve"> </t>
        </is>
      </c>
      <c r="T123" s="315" t="n"/>
    </row>
    <row r="124" ht="18" customHeight="1">
      <c r="B124" s="1220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1223" t="inlineStr">
        <is>
          <t xml:space="preserve"> </t>
        </is>
      </c>
    </row>
    <row r="125" ht="16" customHeight="1" thickBot="1"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</row>
    <row r="126" ht="18" customHeight="1">
      <c r="B126" s="1225" t="inlineStr">
        <is>
          <t>Total Distribution</t>
        </is>
      </c>
      <c r="C126" s="1193" t="inlineStr">
        <is>
          <t>Total Distribution / Reseller</t>
        </is>
      </c>
      <c r="D126" s="1145" t="n"/>
      <c r="E126" s="1145" t="n"/>
      <c r="F126" s="1145" t="n"/>
      <c r="G126" s="1145" t="n"/>
      <c r="H126" s="1145" t="n"/>
      <c r="I126" s="1145" t="n"/>
      <c r="J126" s="1145" t="n"/>
      <c r="K126" s="1145" t="n"/>
      <c r="L126" s="1145" t="n"/>
      <c r="M126" s="1145" t="n"/>
      <c r="N126" s="1145" t="n"/>
      <c r="O126" s="1145" t="n"/>
      <c r="P126" s="1145" t="n"/>
      <c r="Q126" s="1145" t="n"/>
      <c r="R126" s="705" t="n"/>
    </row>
    <row r="127" ht="18" customHeight="1">
      <c r="B127" s="1180" t="n"/>
      <c r="C127" s="295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99" t="n"/>
      <c r="P127" s="182" t="n"/>
      <c r="Q127" s="180" t="n"/>
      <c r="R127" s="296" t="n"/>
    </row>
    <row r="128" ht="18" customHeight="1">
      <c r="B128" s="1180" t="n"/>
      <c r="C128" s="297" t="inlineStr">
        <is>
          <t>Total Sales</t>
        </is>
      </c>
      <c r="D128" s="194">
        <f>D36+D50+D64+D78</f>
        <v/>
      </c>
      <c r="E128" s="194">
        <f>E36+E50+E64+E78</f>
        <v/>
      </c>
      <c r="F128" s="194">
        <f>F36+F50+F64+F78</f>
        <v/>
      </c>
      <c r="G128" s="194">
        <f>G36+G50+G64+G78</f>
        <v/>
      </c>
      <c r="H128" s="194">
        <f>H36+H50+H64+H78</f>
        <v/>
      </c>
      <c r="I128" s="194">
        <f>I36+I50+I64+I78</f>
        <v/>
      </c>
      <c r="J128" s="194">
        <f>J36+J50+J64+J78</f>
        <v/>
      </c>
      <c r="K128" s="194">
        <f>K36+K50+K64+K78</f>
        <v/>
      </c>
      <c r="L128" s="194">
        <f>L36+L50+L64+L78</f>
        <v/>
      </c>
      <c r="M128" s="194">
        <f>M36+M50+M64+M78</f>
        <v/>
      </c>
      <c r="N128" s="194">
        <f>N36+N50+N64+N78</f>
        <v/>
      </c>
      <c r="O128" s="217">
        <f>O36+O50+O64+O78</f>
        <v/>
      </c>
      <c r="P128" s="59">
        <f>SUM(D128:O128)</f>
        <v/>
      </c>
      <c r="Q128" s="1175">
        <f>(Q129+Q130)</f>
        <v/>
      </c>
      <c r="R128" s="1176" t="inlineStr">
        <is>
          <t xml:space="preserve"> </t>
        </is>
      </c>
    </row>
    <row r="129" ht="18" customHeight="1">
      <c r="B129" s="1180" t="n"/>
      <c r="C129" s="299" t="inlineStr">
        <is>
          <t>Total COGS</t>
        </is>
      </c>
      <c r="D129" s="108">
        <f>D37+D44+D51+D79</f>
        <v/>
      </c>
      <c r="E129" s="108">
        <f>E37+E44+E51+E79</f>
        <v/>
      </c>
      <c r="F129" s="108">
        <f>F37+F44+F51+F79</f>
        <v/>
      </c>
      <c r="G129" s="108">
        <f>G37+G44+G51+G79</f>
        <v/>
      </c>
      <c r="H129" s="108">
        <f>H37+H44+H51+H79</f>
        <v/>
      </c>
      <c r="I129" s="108">
        <f>I37+I44+I51+I79</f>
        <v/>
      </c>
      <c r="J129" s="108">
        <f>J37+J44+J51+J79</f>
        <v/>
      </c>
      <c r="K129" s="108">
        <f>K37+K44+K51+K79</f>
        <v/>
      </c>
      <c r="L129" s="108">
        <f>L37+L44+L51+L79</f>
        <v/>
      </c>
      <c r="M129" s="108">
        <f>M37+M44+M51+M79</f>
        <v/>
      </c>
      <c r="N129" s="108">
        <f>N37+N44+N51+N79</f>
        <v/>
      </c>
      <c r="O129" s="221">
        <f>O37+O44+O51+O79</f>
        <v/>
      </c>
      <c r="P129" s="64">
        <f>SUM(D129:O129)</f>
        <v/>
      </c>
      <c r="Q129" s="1178">
        <f>IF(P128=0,0,P129/P128)</f>
        <v/>
      </c>
      <c r="R129" s="1179" t="inlineStr">
        <is>
          <t xml:space="preserve"> </t>
        </is>
      </c>
    </row>
    <row r="130" ht="19" customHeight="1" thickBot="1">
      <c r="B130" s="712" t="n"/>
      <c r="C130" s="301" t="inlineStr">
        <is>
          <t>Total Margin</t>
        </is>
      </c>
      <c r="D130" s="308">
        <f>D128-D129</f>
        <v/>
      </c>
      <c r="E130" s="308">
        <f>E128-E129</f>
        <v/>
      </c>
      <c r="F130" s="308">
        <f>F128-F129</f>
        <v/>
      </c>
      <c r="G130" s="308">
        <f>G128-G129</f>
        <v/>
      </c>
      <c r="H130" s="308">
        <f>H128-H129</f>
        <v/>
      </c>
      <c r="I130" s="308">
        <f>I128-I129</f>
        <v/>
      </c>
      <c r="J130" s="308">
        <f>J128-J129</f>
        <v/>
      </c>
      <c r="K130" s="308">
        <f>K128-K129</f>
        <v/>
      </c>
      <c r="L130" s="308">
        <f>L128-L129</f>
        <v/>
      </c>
      <c r="M130" s="308">
        <f>M128-M129</f>
        <v/>
      </c>
      <c r="N130" s="308">
        <f>N128-N129</f>
        <v/>
      </c>
      <c r="O130" s="309">
        <f>O128-O129</f>
        <v/>
      </c>
      <c r="P130" s="303">
        <f>SUM(D130:O130)</f>
        <v/>
      </c>
      <c r="Q130" s="1181">
        <f>IF(P128=0,0,P130/P128)</f>
        <v/>
      </c>
      <c r="R130" s="1182" t="inlineStr">
        <is>
          <t xml:space="preserve"> </t>
        </is>
      </c>
    </row>
    <row r="131" ht="16" customHeight="1" thickBot="1">
      <c r="B131" s="252" t="inlineStr">
        <is>
          <t xml:space="preserve"> </t>
        </is>
      </c>
      <c r="C131" s="252" t="n"/>
      <c r="D131" s="252" t="n"/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2" t="n"/>
      <c r="N131" s="252" t="n"/>
      <c r="O131" s="252" t="n"/>
      <c r="P131" s="252" t="n"/>
      <c r="Q131" s="252" t="n"/>
      <c r="R131" s="252" t="n"/>
    </row>
    <row r="132" ht="18" customHeight="1">
      <c r="B132" s="1226" t="inlineStr">
        <is>
          <t>Total Hospitality</t>
        </is>
      </c>
      <c r="C132" s="1193" t="inlineStr">
        <is>
          <t>Total Hospitality</t>
        </is>
      </c>
      <c r="D132" s="1145" t="n"/>
      <c r="E132" s="1145" t="n"/>
      <c r="F132" s="1145" t="n"/>
      <c r="G132" s="1145" t="n"/>
      <c r="H132" s="1145" t="n"/>
      <c r="I132" s="1145" t="n"/>
      <c r="J132" s="1145" t="n"/>
      <c r="K132" s="1145" t="n"/>
      <c r="L132" s="1145" t="n"/>
      <c r="M132" s="1145" t="n"/>
      <c r="N132" s="1145" t="n"/>
      <c r="O132" s="1145" t="n"/>
      <c r="P132" s="1145" t="n"/>
      <c r="Q132" s="1145" t="n"/>
      <c r="R132" s="705" t="n"/>
    </row>
    <row r="133" ht="18" customHeight="1">
      <c r="B133" s="1180" t="n"/>
      <c r="C133" s="1017" t="n"/>
      <c r="D133" s="997" t="n"/>
      <c r="E133" s="997" t="n"/>
      <c r="F133" s="997" t="n"/>
      <c r="G133" s="997" t="n"/>
      <c r="H133" s="997" t="n"/>
      <c r="I133" s="997" t="n"/>
      <c r="J133" s="997" t="n"/>
      <c r="K133" s="997" t="n"/>
      <c r="L133" s="997" t="n"/>
      <c r="M133" s="997" t="n"/>
      <c r="N133" s="997" t="n"/>
      <c r="O133" s="222" t="n"/>
      <c r="P133" s="182" t="n"/>
      <c r="Q133" s="180" t="n"/>
      <c r="R133" s="296" t="n"/>
    </row>
    <row r="134" ht="18" customHeight="1">
      <c r="B134" s="1180" t="n"/>
      <c r="C134" s="297" t="inlineStr">
        <is>
          <t>Total Sales</t>
        </is>
      </c>
      <c r="D134" s="194">
        <f>D29+D36</f>
        <v/>
      </c>
      <c r="E134" s="194">
        <f>E29+E36</f>
        <v/>
      </c>
      <c r="F134" s="194">
        <f>F29+F36</f>
        <v/>
      </c>
      <c r="G134" s="194">
        <f>G29+G36</f>
        <v/>
      </c>
      <c r="H134" s="194">
        <f>H29+H36</f>
        <v/>
      </c>
      <c r="I134" s="194">
        <f>I29+I36</f>
        <v/>
      </c>
      <c r="J134" s="194">
        <f>J29+J36</f>
        <v/>
      </c>
      <c r="K134" s="194">
        <f>K29+K36</f>
        <v/>
      </c>
      <c r="L134" s="194">
        <f>L29+L36</f>
        <v/>
      </c>
      <c r="M134" s="194">
        <f>M29+M36</f>
        <v/>
      </c>
      <c r="N134" s="194">
        <f>N29+N36</f>
        <v/>
      </c>
      <c r="O134" s="217">
        <f>O29+O36</f>
        <v/>
      </c>
      <c r="P134" s="59">
        <f>SUM(D134:O134)</f>
        <v/>
      </c>
      <c r="Q134" s="1175">
        <f>(Q135+Q136)</f>
        <v/>
      </c>
      <c r="R134" s="1176" t="inlineStr">
        <is>
          <t xml:space="preserve"> </t>
        </is>
      </c>
    </row>
    <row r="135" ht="18" customHeight="1">
      <c r="B135" s="1180" t="n"/>
      <c r="C135" s="299" t="inlineStr">
        <is>
          <t>Total COGS</t>
        </is>
      </c>
      <c r="D135" s="193">
        <f>D30+D37</f>
        <v/>
      </c>
      <c r="E135" s="193">
        <f>E30+E37</f>
        <v/>
      </c>
      <c r="F135" s="193">
        <f>F30+F37</f>
        <v/>
      </c>
      <c r="G135" s="193">
        <f>G30+G37</f>
        <v/>
      </c>
      <c r="H135" s="193">
        <f>H30+H37</f>
        <v/>
      </c>
      <c r="I135" s="193">
        <f>I30+I37</f>
        <v/>
      </c>
      <c r="J135" s="193">
        <f>J30+J37</f>
        <v/>
      </c>
      <c r="K135" s="193">
        <f>K30+K37</f>
        <v/>
      </c>
      <c r="L135" s="193">
        <f>L30+L37</f>
        <v/>
      </c>
      <c r="M135" s="193">
        <f>M30+M37</f>
        <v/>
      </c>
      <c r="N135" s="193">
        <f>N30+N37</f>
        <v/>
      </c>
      <c r="O135" s="218">
        <f>O30+O37</f>
        <v/>
      </c>
      <c r="P135" s="64">
        <f>SUM(D135:O135)</f>
        <v/>
      </c>
      <c r="Q135" s="1178">
        <f>IF(P134=0,0,P135/P134)</f>
        <v/>
      </c>
      <c r="R135" s="1179" t="inlineStr">
        <is>
          <t xml:space="preserve"> </t>
        </is>
      </c>
    </row>
    <row r="136" ht="19" customHeight="1" thickBot="1">
      <c r="B136" s="712" t="n"/>
      <c r="C136" s="301" t="inlineStr">
        <is>
          <t>Total Margin</t>
        </is>
      </c>
      <c r="D136" s="308">
        <f>D134-D135</f>
        <v/>
      </c>
      <c r="E136" s="308">
        <f>E134-E135</f>
        <v/>
      </c>
      <c r="F136" s="308">
        <f>F134-F135</f>
        <v/>
      </c>
      <c r="G136" s="308">
        <f>G134-G135</f>
        <v/>
      </c>
      <c r="H136" s="308">
        <f>H134-H135</f>
        <v/>
      </c>
      <c r="I136" s="308">
        <f>I134-I135</f>
        <v/>
      </c>
      <c r="J136" s="308">
        <f>J134-J135</f>
        <v/>
      </c>
      <c r="K136" s="308">
        <f>K134-K135</f>
        <v/>
      </c>
      <c r="L136" s="308">
        <f>L134-L135</f>
        <v/>
      </c>
      <c r="M136" s="308">
        <f>M134-M135</f>
        <v/>
      </c>
      <c r="N136" s="308">
        <f>N134-N135</f>
        <v/>
      </c>
      <c r="O136" s="309">
        <f>O134-O135</f>
        <v/>
      </c>
      <c r="P136" s="303">
        <f>SUM(D136:O136)</f>
        <v/>
      </c>
      <c r="Q136" s="1181">
        <f>IF(P134=0,0,P136/P134)</f>
        <v/>
      </c>
      <c r="R136" s="1182" t="inlineStr">
        <is>
          <t xml:space="preserve"> </t>
        </is>
      </c>
    </row>
    <row r="137" ht="19" customHeight="1" thickBot="1">
      <c r="B137" s="128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1227" t="inlineStr">
        <is>
          <t xml:space="preserve"> </t>
        </is>
      </c>
    </row>
    <row r="138" ht="18" customHeight="1">
      <c r="B138" s="1226" t="inlineStr">
        <is>
          <t>Total Real Estate</t>
        </is>
      </c>
      <c r="C138" s="1193" t="inlineStr">
        <is>
          <t>Total Real Estate Development</t>
        </is>
      </c>
      <c r="D138" s="1145" t="n"/>
      <c r="E138" s="1145" t="n"/>
      <c r="F138" s="1145" t="n"/>
      <c r="G138" s="1145" t="n"/>
      <c r="H138" s="1145" t="n"/>
      <c r="I138" s="1145" t="n"/>
      <c r="J138" s="1145" t="n"/>
      <c r="K138" s="1145" t="n"/>
      <c r="L138" s="1145" t="n"/>
      <c r="M138" s="1145" t="n"/>
      <c r="N138" s="1145" t="n"/>
      <c r="O138" s="1145" t="n"/>
      <c r="P138" s="1145" t="n"/>
      <c r="Q138" s="1145" t="n"/>
      <c r="R138" s="705" t="n"/>
    </row>
    <row r="139" ht="18" customHeight="1">
      <c r="B139" s="1180" t="n"/>
      <c r="C139" s="310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99" t="n"/>
      <c r="P139" s="182" t="n"/>
      <c r="Q139" s="180" t="n"/>
      <c r="R139" s="296" t="n"/>
    </row>
    <row r="140" ht="18" customHeight="1">
      <c r="B140" s="1180" t="n"/>
      <c r="C140" s="299" t="inlineStr">
        <is>
          <t>Total Sales</t>
        </is>
      </c>
      <c r="D140" s="195">
        <f>D43+D50</f>
        <v/>
      </c>
      <c r="E140" s="194">
        <f>E43+E50</f>
        <v/>
      </c>
      <c r="F140" s="194">
        <f>F43+F50</f>
        <v/>
      </c>
      <c r="G140" s="194">
        <f>G43+G50</f>
        <v/>
      </c>
      <c r="H140" s="194">
        <f>H43+H50</f>
        <v/>
      </c>
      <c r="I140" s="194">
        <f>I43+I50</f>
        <v/>
      </c>
      <c r="J140" s="194">
        <f>J43+J50</f>
        <v/>
      </c>
      <c r="K140" s="194">
        <f>K43+K50</f>
        <v/>
      </c>
      <c r="L140" s="194">
        <f>L43+L50</f>
        <v/>
      </c>
      <c r="M140" s="194">
        <f>M43+M50</f>
        <v/>
      </c>
      <c r="N140" s="194">
        <f>N43+N50</f>
        <v/>
      </c>
      <c r="O140" s="217">
        <f>O43+O50</f>
        <v/>
      </c>
      <c r="P140" s="59">
        <f>SUM(D140:O140)</f>
        <v/>
      </c>
      <c r="Q140" s="1175">
        <f>(Q141+Q142)</f>
        <v/>
      </c>
      <c r="R140" s="1176" t="inlineStr">
        <is>
          <t xml:space="preserve"> </t>
        </is>
      </c>
    </row>
    <row r="141" ht="18" customHeight="1">
      <c r="B141" s="1180" t="n"/>
      <c r="C141" s="299" t="inlineStr">
        <is>
          <t>Total COGS</t>
        </is>
      </c>
      <c r="D141" s="196">
        <f>D44+D51</f>
        <v/>
      </c>
      <c r="E141" s="193">
        <f>E44+E51</f>
        <v/>
      </c>
      <c r="F141" s="193">
        <f>F44+F51</f>
        <v/>
      </c>
      <c r="G141" s="193">
        <f>G44+G51</f>
        <v/>
      </c>
      <c r="H141" s="193">
        <f>H44+H51</f>
        <v/>
      </c>
      <c r="I141" s="193">
        <f>I44+I51</f>
        <v/>
      </c>
      <c r="J141" s="193">
        <f>J44+J51</f>
        <v/>
      </c>
      <c r="K141" s="193">
        <f>K44+K51</f>
        <v/>
      </c>
      <c r="L141" s="193">
        <f>L44+L51</f>
        <v/>
      </c>
      <c r="M141" s="193">
        <f>M44+M51</f>
        <v/>
      </c>
      <c r="N141" s="193">
        <f>N44+N51</f>
        <v/>
      </c>
      <c r="O141" s="218">
        <f>O44+O51</f>
        <v/>
      </c>
      <c r="P141" s="64">
        <f>SUM(D141:O141)</f>
        <v/>
      </c>
      <c r="Q141" s="1178">
        <f>IF(P140=0,0,P141/P140)</f>
        <v/>
      </c>
      <c r="R141" s="1179" t="inlineStr">
        <is>
          <t xml:space="preserve"> </t>
        </is>
      </c>
    </row>
    <row r="142" ht="19" customHeight="1" thickBot="1">
      <c r="B142" s="712" t="n"/>
      <c r="C142" s="301" t="inlineStr">
        <is>
          <t>Total Margin</t>
        </is>
      </c>
      <c r="D142" s="311">
        <f>D140-D141</f>
        <v/>
      </c>
      <c r="E142" s="308">
        <f>E140-E141</f>
        <v/>
      </c>
      <c r="F142" s="308">
        <f>F140-F141</f>
        <v/>
      </c>
      <c r="G142" s="308">
        <f>G140-G141</f>
        <v/>
      </c>
      <c r="H142" s="308">
        <f>H140-H141</f>
        <v/>
      </c>
      <c r="I142" s="308">
        <f>I140-I141</f>
        <v/>
      </c>
      <c r="J142" s="308">
        <f>J140-J141</f>
        <v/>
      </c>
      <c r="K142" s="308">
        <f>K140-K141</f>
        <v/>
      </c>
      <c r="L142" s="308">
        <f>L140-L141</f>
        <v/>
      </c>
      <c r="M142" s="308">
        <f>M140-M141</f>
        <v/>
      </c>
      <c r="N142" s="308">
        <f>N140-N141</f>
        <v/>
      </c>
      <c r="O142" s="309">
        <f>O140-O141</f>
        <v/>
      </c>
      <c r="P142" s="303">
        <f>SUM(D142:O142)</f>
        <v/>
      </c>
      <c r="Q142" s="1181">
        <f>IF(P140=0,0,P142/P140)</f>
        <v/>
      </c>
      <c r="R142" s="1182" t="inlineStr">
        <is>
          <t xml:space="preserve"> </t>
        </is>
      </c>
    </row>
    <row r="143" ht="16" customHeight="1" thickBot="1">
      <c r="B143" s="128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</row>
    <row r="144" ht="18" customHeight="1">
      <c r="B144" s="1226" t="inlineStr">
        <is>
          <t>Total Pharma</t>
        </is>
      </c>
      <c r="C144" s="1193" t="inlineStr">
        <is>
          <t>Total Pharma</t>
        </is>
      </c>
      <c r="D144" s="1145" t="n"/>
      <c r="E144" s="1145" t="n"/>
      <c r="F144" s="1145" t="n"/>
      <c r="G144" s="1145" t="n"/>
      <c r="H144" s="1145" t="n"/>
      <c r="I144" s="1145" t="n"/>
      <c r="J144" s="1145" t="n"/>
      <c r="K144" s="1145" t="n"/>
      <c r="L144" s="1145" t="n"/>
      <c r="M144" s="1145" t="n"/>
      <c r="N144" s="1145" t="n"/>
      <c r="O144" s="1145" t="n"/>
      <c r="P144" s="1145" t="n"/>
      <c r="Q144" s="1145" t="n"/>
      <c r="R144" s="705" t="n"/>
    </row>
    <row r="145" ht="18" customHeight="1">
      <c r="B145" s="1180" t="n"/>
      <c r="C145" s="295" t="n"/>
      <c r="D145" s="183" t="n"/>
      <c r="E145" s="183" t="n"/>
      <c r="F145" s="183" t="n"/>
      <c r="G145" s="183" t="n"/>
      <c r="H145" s="183" t="n"/>
      <c r="I145" s="183" t="n"/>
      <c r="J145" s="183" t="n"/>
      <c r="K145" s="183" t="n"/>
      <c r="L145" s="183" t="n"/>
      <c r="M145" s="183" t="n"/>
      <c r="N145" s="183" t="n"/>
      <c r="O145" s="199" t="n"/>
      <c r="P145" s="182" t="n"/>
      <c r="Q145" s="180" t="n"/>
      <c r="R145" s="296" t="n"/>
    </row>
    <row r="146" ht="18" customHeight="1">
      <c r="B146" s="1180" t="n"/>
      <c r="C146" s="297" t="inlineStr">
        <is>
          <t>Total Sales</t>
        </is>
      </c>
      <c r="D146" s="194">
        <f>D57+D64</f>
        <v/>
      </c>
      <c r="E146" s="194">
        <f>E57+E64</f>
        <v/>
      </c>
      <c r="F146" s="194">
        <f>F57+F64</f>
        <v/>
      </c>
      <c r="G146" s="194">
        <f>G57+G64</f>
        <v/>
      </c>
      <c r="H146" s="194">
        <f>H57+H64</f>
        <v/>
      </c>
      <c r="I146" s="194">
        <f>I57+I64</f>
        <v/>
      </c>
      <c r="J146" s="194">
        <f>J57+J64</f>
        <v/>
      </c>
      <c r="K146" s="194">
        <f>K57+K64</f>
        <v/>
      </c>
      <c r="L146" s="194">
        <f>L57+L64</f>
        <v/>
      </c>
      <c r="M146" s="194">
        <f>M57+M64</f>
        <v/>
      </c>
      <c r="N146" s="194">
        <f>N57+N64</f>
        <v/>
      </c>
      <c r="O146" s="217">
        <f>O57+O64</f>
        <v/>
      </c>
      <c r="P146" s="59">
        <f>SUM(D146:O146)</f>
        <v/>
      </c>
      <c r="Q146" s="1175">
        <f>(Q147+Q148)</f>
        <v/>
      </c>
      <c r="R146" s="1176" t="inlineStr">
        <is>
          <t xml:space="preserve"> </t>
        </is>
      </c>
    </row>
    <row r="147" ht="18" customHeight="1">
      <c r="B147" s="1180" t="n"/>
      <c r="C147" s="299" t="inlineStr">
        <is>
          <t>Total COGS</t>
        </is>
      </c>
      <c r="D147" s="193">
        <f>D58+D65</f>
        <v/>
      </c>
      <c r="E147" s="193">
        <f>E58+E65</f>
        <v/>
      </c>
      <c r="F147" s="193">
        <f>F58+F65</f>
        <v/>
      </c>
      <c r="G147" s="193">
        <f>G58+G65</f>
        <v/>
      </c>
      <c r="H147" s="193">
        <f>H58+H65</f>
        <v/>
      </c>
      <c r="I147" s="193">
        <f>I58+I65</f>
        <v/>
      </c>
      <c r="J147" s="193">
        <f>J58+J65</f>
        <v/>
      </c>
      <c r="K147" s="193">
        <f>K58+K65</f>
        <v/>
      </c>
      <c r="L147" s="193">
        <f>L58+L65</f>
        <v/>
      </c>
      <c r="M147" s="193">
        <f>M58+M65</f>
        <v/>
      </c>
      <c r="N147" s="193">
        <f>N58+N65</f>
        <v/>
      </c>
      <c r="O147" s="218">
        <f>O58+O65</f>
        <v/>
      </c>
      <c r="P147" s="64">
        <f>SUM(D147:O147)</f>
        <v/>
      </c>
      <c r="Q147" s="1178">
        <f>IF(P146=0,0,P147/P146)</f>
        <v/>
      </c>
      <c r="R147" s="1179" t="inlineStr">
        <is>
          <t xml:space="preserve"> </t>
        </is>
      </c>
    </row>
    <row r="148" ht="19" customHeight="1" thickBot="1">
      <c r="B148" s="712" t="n"/>
      <c r="C148" s="301" t="inlineStr">
        <is>
          <t>Total Margin</t>
        </is>
      </c>
      <c r="D148" s="308">
        <f>D146-D147</f>
        <v/>
      </c>
      <c r="E148" s="308">
        <f>E146-E147</f>
        <v/>
      </c>
      <c r="F148" s="308">
        <f>F146-F147</f>
        <v/>
      </c>
      <c r="G148" s="308">
        <f>G146-G147</f>
        <v/>
      </c>
      <c r="H148" s="308">
        <f>H146-H147</f>
        <v/>
      </c>
      <c r="I148" s="308">
        <f>I146-I147</f>
        <v/>
      </c>
      <c r="J148" s="308">
        <f>J146-J147</f>
        <v/>
      </c>
      <c r="K148" s="308">
        <f>K146-K147</f>
        <v/>
      </c>
      <c r="L148" s="308">
        <f>L146-L147</f>
        <v/>
      </c>
      <c r="M148" s="308">
        <f>M146-M147</f>
        <v/>
      </c>
      <c r="N148" s="308">
        <f>N146-N147</f>
        <v/>
      </c>
      <c r="O148" s="309">
        <f>O146-O147</f>
        <v/>
      </c>
      <c r="P148" s="303">
        <f>SUM(D148:O148)</f>
        <v/>
      </c>
      <c r="Q148" s="1181">
        <f>IF(P146=0,0,P148/P146)</f>
        <v/>
      </c>
      <c r="R148" s="1182" t="inlineStr">
        <is>
          <t xml:space="preserve"> </t>
        </is>
      </c>
    </row>
    <row r="149" ht="16" customHeight="1" thickBot="1">
      <c r="B149" s="202" t="n"/>
      <c r="C149" s="209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215" t="n"/>
      <c r="P149" s="46" t="n"/>
      <c r="Q149" s="46" t="n"/>
      <c r="R149" s="46" t="n"/>
    </row>
    <row r="150" ht="18" customHeight="1">
      <c r="B150" s="1226" t="inlineStr">
        <is>
          <t>Total Professional Services</t>
        </is>
      </c>
      <c r="C150" s="1193" t="inlineStr">
        <is>
          <t>Total Professional Services</t>
        </is>
      </c>
      <c r="D150" s="1145" t="n"/>
      <c r="E150" s="1145" t="n"/>
      <c r="F150" s="1145" t="n"/>
      <c r="G150" s="1145" t="n"/>
      <c r="H150" s="1145" t="n"/>
      <c r="I150" s="1145" t="n"/>
      <c r="J150" s="1145" t="n"/>
      <c r="K150" s="1145" t="n"/>
      <c r="L150" s="1145" t="n"/>
      <c r="M150" s="1145" t="n"/>
      <c r="N150" s="1145" t="n"/>
      <c r="O150" s="1145" t="n"/>
      <c r="P150" s="1145" t="n"/>
      <c r="Q150" s="1145" t="n"/>
      <c r="R150" s="705" t="n"/>
    </row>
    <row r="151" ht="18" customHeight="1">
      <c r="B151" s="1180" t="n"/>
      <c r="C151" s="306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99" t="n"/>
      <c r="P151" s="182" t="n"/>
      <c r="Q151" s="180" t="n"/>
      <c r="R151" s="296" t="n"/>
    </row>
    <row r="152" ht="18" customHeight="1">
      <c r="B152" s="1180" t="n"/>
      <c r="C152" s="297" t="inlineStr">
        <is>
          <t>Total Sales</t>
        </is>
      </c>
      <c r="D152" s="194">
        <f>D71+D78</f>
        <v/>
      </c>
      <c r="E152" s="194">
        <f>E71+E78</f>
        <v/>
      </c>
      <c r="F152" s="194">
        <f>F71+F78</f>
        <v/>
      </c>
      <c r="G152" s="194">
        <f>G71+G78</f>
        <v/>
      </c>
      <c r="H152" s="194">
        <f>H71+H78</f>
        <v/>
      </c>
      <c r="I152" s="194">
        <f>I71+I78</f>
        <v/>
      </c>
      <c r="J152" s="194">
        <f>J71+J78</f>
        <v/>
      </c>
      <c r="K152" s="194">
        <f>K71+K78</f>
        <v/>
      </c>
      <c r="L152" s="194">
        <f>L71+L78</f>
        <v/>
      </c>
      <c r="M152" s="194">
        <f>M71+M78</f>
        <v/>
      </c>
      <c r="N152" s="194">
        <f>N71+N78</f>
        <v/>
      </c>
      <c r="O152" s="217">
        <f>O71+O78</f>
        <v/>
      </c>
      <c r="P152" s="59">
        <f>SUM(D152:O152)</f>
        <v/>
      </c>
      <c r="Q152" s="1175">
        <f>(Q153+Q154)</f>
        <v/>
      </c>
      <c r="R152" s="1176" t="inlineStr">
        <is>
          <t xml:space="preserve"> </t>
        </is>
      </c>
    </row>
    <row r="153" ht="18" customHeight="1">
      <c r="B153" s="1180" t="n"/>
      <c r="C153" s="299" t="inlineStr">
        <is>
          <t>Total COGS</t>
        </is>
      </c>
      <c r="D153" s="193">
        <f>D72+D79</f>
        <v/>
      </c>
      <c r="E153" s="193">
        <f>E72+E79</f>
        <v/>
      </c>
      <c r="F153" s="193">
        <f>F72+F79</f>
        <v/>
      </c>
      <c r="G153" s="193">
        <f>G72+G79</f>
        <v/>
      </c>
      <c r="H153" s="193">
        <f>H72+H79</f>
        <v/>
      </c>
      <c r="I153" s="193">
        <f>I72+I79</f>
        <v/>
      </c>
      <c r="J153" s="193">
        <f>J72+J79</f>
        <v/>
      </c>
      <c r="K153" s="193">
        <f>K72+K79</f>
        <v/>
      </c>
      <c r="L153" s="193">
        <f>L72+L79</f>
        <v/>
      </c>
      <c r="M153" s="193">
        <f>M72+M79</f>
        <v/>
      </c>
      <c r="N153" s="193">
        <f>N72+N79</f>
        <v/>
      </c>
      <c r="O153" s="218">
        <f>O72+O79</f>
        <v/>
      </c>
      <c r="P153" s="64">
        <f>SUM(D153:O153)</f>
        <v/>
      </c>
      <c r="Q153" s="1178">
        <f>IF(P152=0,0,P153/P152)</f>
        <v/>
      </c>
      <c r="R153" s="1179" t="inlineStr">
        <is>
          <t xml:space="preserve"> </t>
        </is>
      </c>
    </row>
    <row r="154" ht="19" customHeight="1" thickBot="1">
      <c r="B154" s="712" t="n"/>
      <c r="C154" s="301" t="inlineStr">
        <is>
          <t>Total Margin</t>
        </is>
      </c>
      <c r="D154" s="308">
        <f>D152-D153</f>
        <v/>
      </c>
      <c r="E154" s="308">
        <f>E152-E153</f>
        <v/>
      </c>
      <c r="F154" s="308">
        <f>F152-F153</f>
        <v/>
      </c>
      <c r="G154" s="308">
        <f>G152-G153</f>
        <v/>
      </c>
      <c r="H154" s="308">
        <f>H152-H153</f>
        <v/>
      </c>
      <c r="I154" s="308">
        <f>I152-I153</f>
        <v/>
      </c>
      <c r="J154" s="308">
        <f>J152-J153</f>
        <v/>
      </c>
      <c r="K154" s="308">
        <f>K152-K153</f>
        <v/>
      </c>
      <c r="L154" s="308">
        <f>L152-L153</f>
        <v/>
      </c>
      <c r="M154" s="308">
        <f>M152-M153</f>
        <v/>
      </c>
      <c r="N154" s="308">
        <f>N152-N153</f>
        <v/>
      </c>
      <c r="O154" s="309">
        <f>O152-O153</f>
        <v/>
      </c>
      <c r="P154" s="303">
        <f>SUM(D154:O154)</f>
        <v/>
      </c>
      <c r="Q154" s="1181">
        <f>IF(P152=0,0,P154/P152)</f>
        <v/>
      </c>
      <c r="R154" s="1182" t="inlineStr">
        <is>
          <t xml:space="preserve"> </t>
        </is>
      </c>
    </row>
    <row r="155" ht="16" customHeight="1" thickBot="1">
      <c r="B155" s="128" t="n"/>
      <c r="C155" s="209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</row>
    <row r="156" ht="18" customHeight="1">
      <c r="B156" s="1228" t="inlineStr">
        <is>
          <t>Consultancy</t>
        </is>
      </c>
      <c r="C156" s="1004" t="inlineStr">
        <is>
          <t>Consultancy</t>
        </is>
      </c>
      <c r="D156" s="1229" t="n"/>
      <c r="E156" s="1229" t="n"/>
      <c r="F156" s="1229" t="n"/>
      <c r="G156" s="1229" t="n"/>
      <c r="H156" s="1229" t="n"/>
      <c r="I156" s="1229" t="n"/>
      <c r="J156" s="1229" t="n"/>
      <c r="K156" s="1229" t="n"/>
      <c r="L156" s="1229" t="n"/>
      <c r="M156" s="1229" t="n"/>
      <c r="N156" s="1229" t="n"/>
      <c r="O156" s="1229" t="n"/>
      <c r="P156" s="1229" t="n"/>
      <c r="Q156" s="1229" t="n"/>
      <c r="R156" s="1230" t="n"/>
    </row>
    <row r="157" ht="18" customHeight="1">
      <c r="B157" s="1231" t="n"/>
      <c r="C157" s="342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1" t="n"/>
      <c r="P157" s="182" t="n"/>
      <c r="Q157" s="180" t="n"/>
      <c r="R157" s="346" t="n"/>
    </row>
    <row r="158" ht="18" customHeight="1">
      <c r="B158" s="1231" t="n"/>
      <c r="C158" s="117" t="inlineStr">
        <is>
          <t>Total Sales</t>
        </is>
      </c>
      <c r="D158" s="194">
        <f>D91+D85</f>
        <v/>
      </c>
      <c r="E158" s="194">
        <f>E91+E85</f>
        <v/>
      </c>
      <c r="F158" s="194">
        <f>F91+F85</f>
        <v/>
      </c>
      <c r="G158" s="194">
        <f>G91+G85</f>
        <v/>
      </c>
      <c r="H158" s="194">
        <f>H91+H85</f>
        <v/>
      </c>
      <c r="I158" s="194">
        <f>I91+I85</f>
        <v/>
      </c>
      <c r="J158" s="194">
        <f>J91+J85</f>
        <v/>
      </c>
      <c r="K158" s="194">
        <f>K91+K85</f>
        <v/>
      </c>
      <c r="L158" s="194">
        <f>L91+L85</f>
        <v/>
      </c>
      <c r="M158" s="194">
        <f>M91+M85</f>
        <v/>
      </c>
      <c r="N158" s="194">
        <f>N91+N85</f>
        <v/>
      </c>
      <c r="O158" s="217">
        <f>O91+O85</f>
        <v/>
      </c>
      <c r="P158" s="197">
        <f>SUM(D158:O158)</f>
        <v/>
      </c>
      <c r="Q158" s="1175">
        <f>(Q159+Q160)</f>
        <v/>
      </c>
      <c r="R158" s="1176" t="inlineStr">
        <is>
          <t xml:space="preserve"> </t>
        </is>
      </c>
    </row>
    <row r="159" ht="18" customHeight="1">
      <c r="B159" s="1231" t="n"/>
      <c r="C159" s="118" t="inlineStr">
        <is>
          <t>Total COGS</t>
        </is>
      </c>
      <c r="D159" s="193">
        <f>D86+D92</f>
        <v/>
      </c>
      <c r="E159" s="193">
        <f>E86+E92</f>
        <v/>
      </c>
      <c r="F159" s="193">
        <f>F86+F92</f>
        <v/>
      </c>
      <c r="G159" s="193">
        <f>G86+G92</f>
        <v/>
      </c>
      <c r="H159" s="193">
        <f>H86+H92</f>
        <v/>
      </c>
      <c r="I159" s="193">
        <f>I86+I92</f>
        <v/>
      </c>
      <c r="J159" s="193">
        <f>J86+J92</f>
        <v/>
      </c>
      <c r="K159" s="193">
        <f>K86+K92</f>
        <v/>
      </c>
      <c r="L159" s="193">
        <f>L86+L92</f>
        <v/>
      </c>
      <c r="M159" s="193">
        <f>M86+M92</f>
        <v/>
      </c>
      <c r="N159" s="193">
        <f>N86+N92</f>
        <v/>
      </c>
      <c r="O159" s="193">
        <f>O86+O92</f>
        <v/>
      </c>
      <c r="P159" s="198">
        <f>SUM(D158:O158)</f>
        <v/>
      </c>
      <c r="Q159" s="1178">
        <f>IF(P158=0,0,P159/P158)</f>
        <v/>
      </c>
      <c r="R159" s="1179" t="inlineStr">
        <is>
          <t xml:space="preserve"> </t>
        </is>
      </c>
    </row>
    <row r="160" ht="19" customHeight="1" thickBot="1">
      <c r="B160" s="1232" t="n"/>
      <c r="C160" s="347" t="inlineStr">
        <is>
          <t>Total Margin</t>
        </is>
      </c>
      <c r="D160" s="308">
        <f>D158-D159</f>
        <v/>
      </c>
      <c r="E160" s="308">
        <f>E158-E159</f>
        <v/>
      </c>
      <c r="F160" s="308">
        <f>F158-F159</f>
        <v/>
      </c>
      <c r="G160" s="308">
        <f>G158-G159</f>
        <v/>
      </c>
      <c r="H160" s="308">
        <f>H158-H159</f>
        <v/>
      </c>
      <c r="I160" s="308">
        <f>I158-I159</f>
        <v/>
      </c>
      <c r="J160" s="308">
        <f>J158-J159</f>
        <v/>
      </c>
      <c r="K160" s="308">
        <f>K158-K159</f>
        <v/>
      </c>
      <c r="L160" s="308">
        <f>L158-L159</f>
        <v/>
      </c>
      <c r="M160" s="308">
        <f>M158-M159</f>
        <v/>
      </c>
      <c r="N160" s="308">
        <f>N158-N159</f>
        <v/>
      </c>
      <c r="O160" s="309">
        <f>O158-O159</f>
        <v/>
      </c>
      <c r="P160" s="348">
        <f>SUM(D159:O159)</f>
        <v/>
      </c>
      <c r="Q160" s="1181">
        <f>IF(P158=0,0,P160/P158)</f>
        <v/>
      </c>
      <c r="R160" s="1182" t="inlineStr">
        <is>
          <t xml:space="preserve"> </t>
        </is>
      </c>
    </row>
    <row r="161" ht="16" customHeight="1" thickBot="1">
      <c r="B161" s="128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</row>
    <row r="162" ht="18" customHeight="1">
      <c r="B162" s="1233" t="inlineStr">
        <is>
          <t>Total Support</t>
        </is>
      </c>
      <c r="C162" s="986" t="inlineStr">
        <is>
          <t>Total Support</t>
        </is>
      </c>
      <c r="D162" s="1234" t="n"/>
      <c r="E162" s="1234" t="n"/>
      <c r="F162" s="1234" t="n"/>
      <c r="G162" s="1234" t="n"/>
      <c r="H162" s="1234" t="n"/>
      <c r="I162" s="1234" t="n"/>
      <c r="J162" s="1234" t="n"/>
      <c r="K162" s="1234" t="n"/>
      <c r="L162" s="1234" t="n"/>
      <c r="M162" s="1234" t="n"/>
      <c r="N162" s="1234" t="n"/>
      <c r="O162" s="1234" t="n"/>
      <c r="P162" s="1234" t="n"/>
      <c r="Q162" s="1234" t="n"/>
      <c r="R162" s="1235" t="n"/>
    </row>
    <row r="163" ht="18" customHeight="1">
      <c r="B163" s="359" t="n"/>
      <c r="C163" s="99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997" t="n"/>
      <c r="P163" s="997" t="n"/>
      <c r="Q163" s="997" t="n"/>
      <c r="R163" s="222" t="n"/>
    </row>
    <row r="164" ht="18" customHeight="1">
      <c r="B164" s="359" t="n"/>
      <c r="C164" s="349" t="inlineStr">
        <is>
          <t>Total Sales</t>
        </is>
      </c>
      <c r="D164" s="350">
        <f>(D76+D69+D62+D55+D48+D41+D34+D27)*$D$10</f>
        <v/>
      </c>
      <c r="E164" s="350">
        <f>(E76+E69+E62+E55+E48+E41+E34+E27)*$D$10</f>
        <v/>
      </c>
      <c r="F164" s="350">
        <f>(F76+F69+F62+F55+F48+F41+F34+F27)*$D$10</f>
        <v/>
      </c>
      <c r="G164" s="350">
        <f>(G76+G69+G62+G55+G48+G41+G34+G27)*$D$10</f>
        <v/>
      </c>
      <c r="H164" s="350">
        <f>(H76+H69+H62+H55+H48+H41+H34+H27)*$D$10</f>
        <v/>
      </c>
      <c r="I164" s="350">
        <f>(I76+I69+I62+I55+I48+I41+I34+I27)*$D$10</f>
        <v/>
      </c>
      <c r="J164" s="350">
        <f>(J76+J69+J62+J55+J48+J41+J34+J27)*$D$10</f>
        <v/>
      </c>
      <c r="K164" s="350">
        <f>(K76+K69+K62+K55+K48+K41+K34+K27)*$D$10</f>
        <v/>
      </c>
      <c r="L164" s="350">
        <f>(L76+L69+L62+L55+L48+L41+L34+L27)*$D$10</f>
        <v/>
      </c>
      <c r="M164" s="350">
        <f>(M76+M69+M62+M55+M48+M41+M34+M27)*$D$10</f>
        <v/>
      </c>
      <c r="N164" s="350">
        <f>(N76+N69+N62+N55+N48+N41+N34+N27)*$D$10</f>
        <v/>
      </c>
      <c r="O164" s="351">
        <f>(O76+O69+O62+O55+O48+O41+O34+O27)*$D$10</f>
        <v/>
      </c>
      <c r="P164" s="59">
        <f>SUM(D164:O164)</f>
        <v/>
      </c>
      <c r="Q164" s="1175">
        <f>(Q165+Q166)</f>
        <v/>
      </c>
      <c r="R164" s="1236" t="inlineStr">
        <is>
          <t xml:space="preserve"> </t>
        </is>
      </c>
    </row>
    <row r="165" ht="18" customHeight="1">
      <c r="B165" s="359" t="n"/>
      <c r="C165" s="118" t="inlineStr">
        <is>
          <t>Total COGS</t>
        </is>
      </c>
      <c r="D165" s="193">
        <f>(D76+D69+D62+D55+D48+D41+D34+D27)*$E$10</f>
        <v/>
      </c>
      <c r="E165" s="193">
        <f>(E76+E69+E62+E55+E48+E41+E34+E27)*$E$10</f>
        <v/>
      </c>
      <c r="F165" s="193">
        <f>(F76+F69+F62+F55+F48+F41+F34+F27)*$E$10</f>
        <v/>
      </c>
      <c r="G165" s="193">
        <f>(G76+G69+G62+G55+G48+G41+G34+G27)*$E$10</f>
        <v/>
      </c>
      <c r="H165" s="193">
        <f>(H76+H69+H62+H55+H48+H41+H34+H27)*$E$10</f>
        <v/>
      </c>
      <c r="I165" s="193">
        <f>(I76+I69+I62+I55+I48+I41+I34+I27)*$E$10</f>
        <v/>
      </c>
      <c r="J165" s="193">
        <f>(J76+J69+J62+J55+J48+J41+J34+J27)*$E$10</f>
        <v/>
      </c>
      <c r="K165" s="193">
        <f>(K76+K69+K62+K55+K48+K41+K34+K27)*$E$10</f>
        <v/>
      </c>
      <c r="L165" s="193">
        <f>(L76+L69+L62+L55+L48+L41+L34+L27)*$E$10</f>
        <v/>
      </c>
      <c r="M165" s="193">
        <f>(M76+M69+M62+M55+M48+M41+M34+M27)*$E$10</f>
        <v/>
      </c>
      <c r="N165" s="193">
        <f>(N76+N69+N62+N55+N48+N41+N34+N27)*$E$10</f>
        <v/>
      </c>
      <c r="O165" s="193">
        <f>(O76+O69+O62+O55+O48+O41+O34+O27)*$E$10</f>
        <v/>
      </c>
      <c r="P165" s="345">
        <f>SUM(D165:O165)</f>
        <v/>
      </c>
      <c r="Q165" s="1178">
        <f>IF(P164=0,0,P165/P164)</f>
        <v/>
      </c>
      <c r="R165" s="1237" t="inlineStr">
        <is>
          <t xml:space="preserve"> </t>
        </is>
      </c>
    </row>
    <row r="166" ht="19" customHeight="1" thickBot="1">
      <c r="B166" s="1114" t="n"/>
      <c r="C166" s="343" t="inlineStr">
        <is>
          <t>Total Margin</t>
        </is>
      </c>
      <c r="D166" s="111">
        <f>D164-D165</f>
        <v/>
      </c>
      <c r="E166" s="111">
        <f>E164-E165</f>
        <v/>
      </c>
      <c r="F166" s="111">
        <f>F164-F165</f>
        <v/>
      </c>
      <c r="G166" s="111">
        <f>G164-G165</f>
        <v/>
      </c>
      <c r="H166" s="111">
        <f>H164-H165</f>
        <v/>
      </c>
      <c r="I166" s="111">
        <f>I164-I165</f>
        <v/>
      </c>
      <c r="J166" s="111">
        <f>J164-J165</f>
        <v/>
      </c>
      <c r="K166" s="111">
        <f>K164-K165</f>
        <v/>
      </c>
      <c r="L166" s="111">
        <f>L164-L165</f>
        <v/>
      </c>
      <c r="M166" s="111">
        <f>M164-M165</f>
        <v/>
      </c>
      <c r="N166" s="111">
        <f>N164-N165</f>
        <v/>
      </c>
      <c r="O166" s="111">
        <f>O164-O165</f>
        <v/>
      </c>
      <c r="P166" s="344">
        <f>SUM(D166:O166)</f>
        <v/>
      </c>
      <c r="Q166" s="1238">
        <f>IF(P164=0,0,P166/P164)</f>
        <v/>
      </c>
      <c r="R166" s="1239" t="inlineStr">
        <is>
          <t xml:space="preserve"> </t>
        </is>
      </c>
    </row>
    <row r="167" ht="19" customHeight="1" thickBot="1">
      <c r="B167" s="989" t="n"/>
      <c r="C167" s="711" t="n"/>
      <c r="D167" s="711" t="n"/>
      <c r="E167" s="711" t="n"/>
      <c r="F167" s="711" t="n"/>
      <c r="G167" s="711" t="n"/>
      <c r="H167" s="711" t="n"/>
      <c r="I167" s="711" t="n"/>
      <c r="J167" s="711" t="n"/>
      <c r="K167" s="711" t="n"/>
      <c r="L167" s="711" t="n"/>
      <c r="M167" s="340" t="n"/>
      <c r="N167" s="340" t="n"/>
      <c r="O167" s="340" t="n"/>
      <c r="P167" s="103" t="n"/>
      <c r="Q167" s="1208" t="n"/>
      <c r="R167" s="1240" t="n"/>
    </row>
    <row r="168" ht="18" customHeight="1">
      <c r="B168" s="1226" t="inlineStr">
        <is>
          <t>Total Admin</t>
        </is>
      </c>
      <c r="C168" s="1193" t="inlineStr">
        <is>
          <t>Administrative and On-Boarding</t>
        </is>
      </c>
      <c r="D168" s="1145" t="n"/>
      <c r="E168" s="1145" t="n"/>
      <c r="F168" s="1145" t="n"/>
      <c r="G168" s="1145" t="n"/>
      <c r="H168" s="1145" t="n"/>
      <c r="I168" s="1145" t="n"/>
      <c r="J168" s="1145" t="n"/>
      <c r="K168" s="1145" t="n"/>
      <c r="L168" s="1145" t="n"/>
      <c r="M168" s="1145" t="n"/>
      <c r="N168" s="1145" t="n"/>
      <c r="O168" s="1145" t="n"/>
      <c r="P168" s="1145" t="n"/>
      <c r="Q168" s="1145" t="n"/>
      <c r="R168" s="705" t="n"/>
    </row>
    <row r="169" ht="18" customHeight="1">
      <c r="B169" s="1180" t="n"/>
      <c r="C169" s="295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1" t="n"/>
      <c r="P169" s="182" t="n"/>
      <c r="Q169" s="180" t="n"/>
      <c r="R169" s="296" t="n"/>
    </row>
    <row r="170" ht="18" customHeight="1">
      <c r="B170" s="1180" t="n"/>
      <c r="C170" s="297" t="inlineStr">
        <is>
          <t>Total Sales</t>
        </is>
      </c>
      <c r="D170" s="194">
        <f>D120+D115+D109+D103</f>
        <v/>
      </c>
      <c r="E170" s="194">
        <f>E120+E115+E109+E103</f>
        <v/>
      </c>
      <c r="F170" s="194">
        <f>F121+F115+F109+F103</f>
        <v/>
      </c>
      <c r="G170" s="194">
        <f>G121+G115+G109+G103</f>
        <v/>
      </c>
      <c r="H170" s="194">
        <f>H121+H115+H109+H103</f>
        <v/>
      </c>
      <c r="I170" s="194">
        <f>I121+I115+I109+I103</f>
        <v/>
      </c>
      <c r="J170" s="194">
        <f>J121+J115+J109+J103</f>
        <v/>
      </c>
      <c r="K170" s="194">
        <f>K121+K115+K109+K103</f>
        <v/>
      </c>
      <c r="L170" s="194">
        <f>L121+L115+L109+L103</f>
        <v/>
      </c>
      <c r="M170" s="194">
        <f>M121+M115+M109+M103</f>
        <v/>
      </c>
      <c r="N170" s="194">
        <f>N121+N115+N109+N103</f>
        <v/>
      </c>
      <c r="O170" s="194">
        <f>O121+O115+O109+O103</f>
        <v/>
      </c>
      <c r="P170" s="59">
        <f>SUM(D170:O170)</f>
        <v/>
      </c>
      <c r="Q170" s="1175">
        <f>(Q171+Q172)</f>
        <v/>
      </c>
      <c r="R170" s="1176" t="inlineStr">
        <is>
          <t xml:space="preserve"> </t>
        </is>
      </c>
    </row>
    <row r="171" ht="18" customHeight="1">
      <c r="B171" s="1180" t="n"/>
      <c r="C171" s="299" t="inlineStr">
        <is>
          <t>Total COGS</t>
        </is>
      </c>
      <c r="D171" s="193">
        <f>D122+D116+D110+D104</f>
        <v/>
      </c>
      <c r="E171" s="193">
        <f>E122+E116+E110+E104</f>
        <v/>
      </c>
      <c r="F171" s="193">
        <f>F122+F116+F110+F104</f>
        <v/>
      </c>
      <c r="G171" s="193">
        <f>G122+G116+G110+G104</f>
        <v/>
      </c>
      <c r="H171" s="193">
        <f>H122+H116+H110+H104</f>
        <v/>
      </c>
      <c r="I171" s="193">
        <f>I122+I116+I110+I104</f>
        <v/>
      </c>
      <c r="J171" s="193">
        <f>J122+J116+J110+J104</f>
        <v/>
      </c>
      <c r="K171" s="193">
        <f>K122+K116+K110+K104</f>
        <v/>
      </c>
      <c r="L171" s="193">
        <f>L122+L116+L110+L104</f>
        <v/>
      </c>
      <c r="M171" s="193">
        <f>M122+M116+M110+M104</f>
        <v/>
      </c>
      <c r="N171" s="193">
        <f>N122+N116+N110+N104</f>
        <v/>
      </c>
      <c r="O171" s="193">
        <f>O122+O116+O110+O104</f>
        <v/>
      </c>
      <c r="P171" s="64">
        <f>SUM(D171:O171)</f>
        <v/>
      </c>
      <c r="Q171" s="1178">
        <f>IF(P170=0,0,P171/P170)</f>
        <v/>
      </c>
      <c r="R171" s="1179" t="inlineStr">
        <is>
          <t xml:space="preserve"> </t>
        </is>
      </c>
    </row>
    <row r="172" ht="19" customHeight="1" thickBot="1">
      <c r="B172" s="712" t="n"/>
      <c r="C172" s="301" t="inlineStr">
        <is>
          <t>Total Margin</t>
        </is>
      </c>
      <c r="D172" s="308">
        <f>D170-D171</f>
        <v/>
      </c>
      <c r="E172" s="308">
        <f>E170-E171</f>
        <v/>
      </c>
      <c r="F172" s="308">
        <f>F170-F171</f>
        <v/>
      </c>
      <c r="G172" s="308">
        <f>G170-G171</f>
        <v/>
      </c>
      <c r="H172" s="308">
        <f>H170-H171</f>
        <v/>
      </c>
      <c r="I172" s="308">
        <f>I170-I171</f>
        <v/>
      </c>
      <c r="J172" s="308">
        <f>J170-J171</f>
        <v/>
      </c>
      <c r="K172" s="308">
        <f>K170-K171</f>
        <v/>
      </c>
      <c r="L172" s="308">
        <f>L170-L171</f>
        <v/>
      </c>
      <c r="M172" s="308">
        <f>M170-M171</f>
        <v/>
      </c>
      <c r="N172" s="308">
        <f>N170-N171</f>
        <v/>
      </c>
      <c r="O172" s="308">
        <f>O170-O171</f>
        <v/>
      </c>
      <c r="P172" s="303">
        <f>SUM(D172:O172)</f>
        <v/>
      </c>
      <c r="Q172" s="1181">
        <f>IF(P170=0,0,P172/P170)</f>
        <v/>
      </c>
      <c r="R172" s="1182" t="inlineStr">
        <is>
          <t xml:space="preserve"> </t>
        </is>
      </c>
    </row>
    <row r="173" ht="16" customHeight="1" thickBot="1">
      <c r="B173" s="203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</row>
    <row r="174" ht="18" customHeight="1">
      <c r="B174" s="1243" t="inlineStr">
        <is>
          <t>Grand Total</t>
        </is>
      </c>
      <c r="C174" s="1244" t="inlineStr">
        <is>
          <t>Grand Totals</t>
        </is>
      </c>
      <c r="R174" s="1245" t="n"/>
    </row>
    <row r="175" ht="18" customHeight="1">
      <c r="B175" s="1246" t="n"/>
      <c r="C175" s="216" t="inlineStr">
        <is>
          <t>Total Users</t>
        </is>
      </c>
      <c r="D175" s="1272">
        <f>SUM(D27+D34+D41+D48+D55+D62+D69+D76)</f>
        <v/>
      </c>
      <c r="E175" s="1272">
        <f>SUM(E27,E34,E41,E48,E55,E62,E69,E76)</f>
        <v/>
      </c>
      <c r="F175" s="1272">
        <f>SUM(F27,F34,F41,F48,F55,F62,F69,F76)</f>
        <v/>
      </c>
      <c r="G175" s="1272">
        <f>SUM(G27,G34,G41,G48,G55,G62,G69,G76)</f>
        <v/>
      </c>
      <c r="H175" s="1272">
        <f>SUM(H27,H34,H41,H48,H55,H62,H69,H76)</f>
        <v/>
      </c>
      <c r="I175" s="1272">
        <f>SUM(I27,I34,I41,I48,I55,I62,I69,I76)</f>
        <v/>
      </c>
      <c r="J175" s="1272">
        <f>SUM(J27,J34,J41,J48,J55,J62,J69,J76)</f>
        <v/>
      </c>
      <c r="K175" s="1272">
        <f>SUM(K27,K34,K41,K48,K55,K62,K69,K76)</f>
        <v/>
      </c>
      <c r="L175" s="1272">
        <f>SUM(L27,L34,L41,L48,L55,L62,L69,L76)</f>
        <v/>
      </c>
      <c r="M175" s="1272">
        <f>SUM(M27,M34,M41,M48,M55,M62,M69,M76)</f>
        <v/>
      </c>
      <c r="N175" s="1272">
        <f>SUM(N27,N34,N41,N48,N55,N62,N69,N76)</f>
        <v/>
      </c>
      <c r="O175" s="1272">
        <f>SUM(O27,O34,O41,O48,O55,O62,O69,O76)</f>
        <v/>
      </c>
      <c r="P175" s="1272">
        <f>SUM(P27,P34,P41,P48,P55,P62,P69,P76)</f>
        <v/>
      </c>
      <c r="Q175" s="762" t="n"/>
      <c r="R175" s="181" t="n"/>
      <c r="T175" s="639" t="inlineStr">
        <is>
          <t xml:space="preserve"> </t>
        </is>
      </c>
    </row>
    <row r="176" ht="18" customHeight="1">
      <c r="B176" s="1246" t="n"/>
      <c r="C176" s="210" t="inlineStr">
        <is>
          <t>Total Sales</t>
        </is>
      </c>
      <c r="D176" s="194">
        <f>D170+D158+D146+D140+D134+D152+D164+D128</f>
        <v/>
      </c>
      <c r="E176" s="194">
        <f>E170+E158+E146+E140+E134+E152+E164+E128</f>
        <v/>
      </c>
      <c r="F176" s="194">
        <f>F170+F158+F146+F140+F134+F152+F164+F128</f>
        <v/>
      </c>
      <c r="G176" s="194">
        <f>G170+G158+G146+G140+G134+G152+G164+G128</f>
        <v/>
      </c>
      <c r="H176" s="194">
        <f>H170+H158+H146+H140+H134+H152+H164+H128</f>
        <v/>
      </c>
      <c r="I176" s="194">
        <f>I170+I158+I146+I140+I134+I152+I164+I128</f>
        <v/>
      </c>
      <c r="J176" s="194">
        <f>J170+J158+J146+J140+J134+J152+J164+J128</f>
        <v/>
      </c>
      <c r="K176" s="194">
        <f>K170+K158+K146+K140+K134+K152+K164+K128</f>
        <v/>
      </c>
      <c r="L176" s="194">
        <f>L170+L158+L146+L140+L134+L152+L164+L128</f>
        <v/>
      </c>
      <c r="M176" s="194">
        <f>M170+M158+M146+M140+M134+M152+M164+M128</f>
        <v/>
      </c>
      <c r="N176" s="194">
        <f>N170+N158+N146+N140+N134+N152+N164+N128</f>
        <v/>
      </c>
      <c r="O176" s="194">
        <f>O170+O158+O146+O140+O134+O152+O164+O128</f>
        <v/>
      </c>
      <c r="P176" s="197">
        <f>SUM(D176:O176)</f>
        <v/>
      </c>
      <c r="Q176" s="1175">
        <f>(Q177+Q178)</f>
        <v/>
      </c>
      <c r="R176" s="1248" t="inlineStr">
        <is>
          <t xml:space="preserve"> </t>
        </is>
      </c>
    </row>
    <row r="177" ht="18" customHeight="1">
      <c r="B177" s="1246" t="n"/>
      <c r="C177" s="212" t="inlineStr">
        <is>
          <t>Total COGS</t>
        </is>
      </c>
      <c r="D177" s="193">
        <f>D171+D159+D153+D147+D141+D135+D129</f>
        <v/>
      </c>
      <c r="E177" s="193">
        <f>E171+E159+E153+E147+E141+E135+E129</f>
        <v/>
      </c>
      <c r="F177" s="193">
        <f>F171+F159+F153+F147+F141+F135+F129</f>
        <v/>
      </c>
      <c r="G177" s="193">
        <f>G171+G159+G153+G147+G141+G135+G129</f>
        <v/>
      </c>
      <c r="H177" s="193">
        <f>H171+H159+H153+H147+H141+H135+H129</f>
        <v/>
      </c>
      <c r="I177" s="193">
        <f>I171+I159+I153+I147+I141+I135+I129</f>
        <v/>
      </c>
      <c r="J177" s="193">
        <f>J171+J159+J153+J147+J141+J135+J129</f>
        <v/>
      </c>
      <c r="K177" s="193">
        <f>K171+K159+K153+K147+K141+K135+K129</f>
        <v/>
      </c>
      <c r="L177" s="193">
        <f>L171+L159+L153+L147+L141+L135+L129</f>
        <v/>
      </c>
      <c r="M177" s="193">
        <f>M171+M159+M153+M147+M141+M135+M129</f>
        <v/>
      </c>
      <c r="N177" s="193">
        <f>N171+N159+N153+N147+N141+N135+N129</f>
        <v/>
      </c>
      <c r="O177" s="193">
        <f>O171+O159+O153+O147+O141+O135+O129</f>
        <v/>
      </c>
      <c r="P177" s="198">
        <f>SUM(D177:O177)</f>
        <v/>
      </c>
      <c r="Q177" s="1178">
        <f>IF(P176=0,0,P177/P176)</f>
        <v/>
      </c>
      <c r="R177" s="1250" t="inlineStr">
        <is>
          <t xml:space="preserve"> </t>
        </is>
      </c>
      <c r="T177" s="46" t="n"/>
    </row>
    <row r="178" ht="19" customHeight="1" thickBot="1">
      <c r="B178" s="1251" t="n"/>
      <c r="C178" s="214" t="inlineStr">
        <is>
          <t>Total Margin</t>
        </is>
      </c>
      <c r="D178" s="111">
        <f>D176-D177</f>
        <v/>
      </c>
      <c r="E178" s="111">
        <f>E176-E177</f>
        <v/>
      </c>
      <c r="F178" s="111">
        <f>F176-F177</f>
        <v/>
      </c>
      <c r="G178" s="111">
        <f>G176-G177</f>
        <v/>
      </c>
      <c r="H178" s="111">
        <f>H176-H177</f>
        <v/>
      </c>
      <c r="I178" s="111">
        <f>I176-I177</f>
        <v/>
      </c>
      <c r="J178" s="111">
        <f>J176-J177</f>
        <v/>
      </c>
      <c r="K178" s="111">
        <f>K176-K177</f>
        <v/>
      </c>
      <c r="L178" s="111">
        <f>L176-L177</f>
        <v/>
      </c>
      <c r="M178" s="111">
        <f>M176-M177</f>
        <v/>
      </c>
      <c r="N178" s="111">
        <f>N176-N177</f>
        <v/>
      </c>
      <c r="O178" s="219">
        <f>O176-O177</f>
        <v/>
      </c>
      <c r="P178" s="220">
        <f>SUM(D178:O178)</f>
        <v/>
      </c>
      <c r="Q178" s="1252">
        <f>IF(P176=0,0,P178/P176)</f>
        <v/>
      </c>
      <c r="R178" s="1253" t="inlineStr">
        <is>
          <t xml:space="preserve"> </t>
        </is>
      </c>
    </row>
    <row r="179"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</row>
  </sheetData>
  <mergeCells count="76">
    <mergeCell ref="T48:AA48"/>
    <mergeCell ref="C138:R138"/>
    <mergeCell ref="T30:AA30"/>
    <mergeCell ref="C119:R119"/>
    <mergeCell ref="C132:R132"/>
    <mergeCell ref="B162:B166"/>
    <mergeCell ref="T39:AA39"/>
    <mergeCell ref="T33:AA33"/>
    <mergeCell ref="C61:R61"/>
    <mergeCell ref="C150:R150"/>
    <mergeCell ref="C39:R39"/>
    <mergeCell ref="C144:R144"/>
    <mergeCell ref="B174:B178"/>
    <mergeCell ref="B168:B172"/>
    <mergeCell ref="B81:R81"/>
    <mergeCell ref="T38:AA38"/>
    <mergeCell ref="T32:AA32"/>
    <mergeCell ref="T29:AA29"/>
    <mergeCell ref="T45:AA45"/>
    <mergeCell ref="B40:B53"/>
    <mergeCell ref="B101:B124"/>
    <mergeCell ref="C174:R174"/>
    <mergeCell ref="B54:B67"/>
    <mergeCell ref="C32:R32"/>
    <mergeCell ref="T53:AA53"/>
    <mergeCell ref="B167:L167"/>
    <mergeCell ref="T47:AA47"/>
    <mergeCell ref="B83:B98"/>
    <mergeCell ref="C53:R53"/>
    <mergeCell ref="B126:B130"/>
    <mergeCell ref="T54:AA54"/>
    <mergeCell ref="T55:AA55"/>
    <mergeCell ref="T50:AA50"/>
    <mergeCell ref="D3:F3"/>
    <mergeCell ref="C83:R83"/>
    <mergeCell ref="C101:R101"/>
    <mergeCell ref="T44:AA44"/>
    <mergeCell ref="C46:R46"/>
    <mergeCell ref="C68:R68"/>
    <mergeCell ref="B26:B39"/>
    <mergeCell ref="C33:R33"/>
    <mergeCell ref="C156:R156"/>
    <mergeCell ref="C107:R107"/>
    <mergeCell ref="C89:R89"/>
    <mergeCell ref="B138:B142"/>
    <mergeCell ref="B144:B148"/>
    <mergeCell ref="C74:R74"/>
    <mergeCell ref="T26:AA26"/>
    <mergeCell ref="C126:R126"/>
    <mergeCell ref="C88:R88"/>
    <mergeCell ref="C26:R26"/>
    <mergeCell ref="B156:B160"/>
    <mergeCell ref="B68:B80"/>
    <mergeCell ref="T40:AA40"/>
    <mergeCell ref="C162:R162"/>
    <mergeCell ref="T51:AA51"/>
    <mergeCell ref="C113:R113"/>
    <mergeCell ref="B150:B154"/>
    <mergeCell ref="T41:AA41"/>
    <mergeCell ref="C54:R54"/>
    <mergeCell ref="C94:R94"/>
    <mergeCell ref="C47:R47"/>
    <mergeCell ref="C168:R168"/>
    <mergeCell ref="T31:AA31"/>
    <mergeCell ref="C75:R75"/>
    <mergeCell ref="C40:R40"/>
    <mergeCell ref="B132:B136"/>
    <mergeCell ref="T43:AA43"/>
    <mergeCell ref="T34:AA34"/>
    <mergeCell ref="T46:AA46"/>
    <mergeCell ref="T52:AA52"/>
    <mergeCell ref="T37:AA37"/>
    <mergeCell ref="T27:AA27"/>
    <mergeCell ref="C60:R60"/>
    <mergeCell ref="T36:AA36"/>
    <mergeCell ref="C95:R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AA178"/>
  <sheetViews>
    <sheetView topLeftCell="A43" workbookViewId="0">
      <selection activeCell="O69" sqref="O69"/>
    </sheetView>
  </sheetViews>
  <sheetFormatPr baseColWidth="10" defaultColWidth="10.6640625" defaultRowHeight="15"/>
  <cols>
    <col width="29.6640625" customWidth="1" min="2" max="2"/>
    <col width="46.83203125" bestFit="1" customWidth="1" min="3" max="3"/>
    <col width="19" customWidth="1" min="4" max="4"/>
    <col width="18.6640625" customWidth="1" min="5" max="5"/>
    <col width="18" customWidth="1" min="6" max="6"/>
    <col width="19.6640625" customWidth="1" min="7" max="18"/>
    <col width="12.1640625" bestFit="1" customWidth="1" min="20" max="20"/>
  </cols>
  <sheetData>
    <row r="2" ht="16" customHeight="1" thickBot="1"/>
    <row r="3" ht="22" customHeight="1" thickBot="1">
      <c r="B3" s="46" t="n"/>
      <c r="C3" s="328" t="n">
        <v>2028</v>
      </c>
      <c r="D3" s="1264" t="inlineStr">
        <is>
          <t>Pricing</t>
        </is>
      </c>
      <c r="E3" s="1234" t="n"/>
      <c r="F3" s="1235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39" customHeight="1" thickBot="1">
      <c r="B4" s="46" t="n"/>
      <c r="C4" s="494" t="inlineStr">
        <is>
          <t>Offerings and Distribution</t>
        </is>
      </c>
      <c r="D4" s="495" t="inlineStr">
        <is>
          <t>Price</t>
        </is>
      </c>
      <c r="E4" s="496" t="inlineStr">
        <is>
          <t>COGS</t>
        </is>
      </c>
      <c r="F4" s="497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19" customHeight="1" thickBot="1">
      <c r="B5" s="46" t="n"/>
      <c r="C5" s="188" t="inlineStr">
        <is>
          <t>Administrative</t>
        </is>
      </c>
      <c r="D5" s="498" t="n"/>
      <c r="E5" s="498" t="n"/>
      <c r="F5" s="499" t="n"/>
      <c r="G5" s="46" t="n"/>
      <c r="H5" s="250" t="inlineStr">
        <is>
          <t xml:space="preserve"> </t>
        </is>
      </c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25" customHeight="1">
      <c r="B6" s="46" t="n"/>
      <c r="C6" s="834" t="inlineStr">
        <is>
          <t>Configuration</t>
        </is>
      </c>
      <c r="D6" s="807" t="n">
        <v>250</v>
      </c>
      <c r="E6" s="835" t="n">
        <v>50</v>
      </c>
      <c r="F6" s="1151">
        <f>D6-E6</f>
        <v/>
      </c>
      <c r="G6" s="46" t="n"/>
      <c r="H6" s="223" t="inlineStr">
        <is>
          <t xml:space="preserve"> </t>
        </is>
      </c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46" customHeight="1">
      <c r="B7" s="46" t="n"/>
      <c r="C7" s="836" t="inlineStr">
        <is>
          <t>On-Boarding- Administrator</t>
        </is>
      </c>
      <c r="D7" s="500" t="n">
        <v>500</v>
      </c>
      <c r="E7" s="420" t="n">
        <v>100</v>
      </c>
      <c r="F7" s="1152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19" customHeight="1">
      <c r="B8" s="46" t="n"/>
      <c r="C8" s="836" t="inlineStr">
        <is>
          <t>On-Boarding Users</t>
        </is>
      </c>
      <c r="D8" s="500" t="n">
        <v>500</v>
      </c>
      <c r="E8" s="420" t="n">
        <v>100</v>
      </c>
      <c r="F8" s="1152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19" customHeight="1">
      <c r="B9" s="46" t="n"/>
      <c r="C9" s="838" t="inlineStr">
        <is>
          <t>Import</t>
        </is>
      </c>
      <c r="D9" s="861">
        <f>'Pricing Calcuator'!D86</f>
        <v/>
      </c>
      <c r="E9" s="831" t="n">
        <v>600</v>
      </c>
      <c r="F9" s="1265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20" customHeight="1" thickBot="1">
      <c r="B10" s="46" t="n"/>
      <c r="C10" s="840" t="inlineStr">
        <is>
          <t>Support</t>
        </is>
      </c>
      <c r="D10" s="502" t="n">
        <v>100</v>
      </c>
      <c r="E10" s="431" t="n">
        <v>50</v>
      </c>
      <c r="F10" s="1266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18" customHeight="1">
      <c r="B11" s="46" t="n"/>
      <c r="C11" s="842" t="inlineStr">
        <is>
          <t>Industry Break Down</t>
        </is>
      </c>
      <c r="D11" s="503" t="inlineStr">
        <is>
          <t xml:space="preserve"> </t>
        </is>
      </c>
      <c r="E11" s="504">
        <f>'COGS Analysis'!D18</f>
        <v/>
      </c>
      <c r="F11" s="1267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18" customHeight="1">
      <c r="B12" s="46" t="n"/>
      <c r="C12" s="809" t="inlineStr">
        <is>
          <t>Hospitality</t>
        </is>
      </c>
      <c r="D12" s="74" t="n">
        <v>250</v>
      </c>
      <c r="E12" s="501">
        <f>'Revenue 2030'!$Q$210</f>
        <v/>
      </c>
      <c r="F12" s="1265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18" customHeight="1">
      <c r="B13" s="46" t="n"/>
      <c r="C13" s="809" t="inlineStr">
        <is>
          <t>Hospitality- Reseller</t>
        </is>
      </c>
      <c r="D13" s="74" t="n">
        <v>100</v>
      </c>
      <c r="E13" s="501">
        <f>'Revenue 2030'!$Q$210</f>
        <v/>
      </c>
      <c r="F13" s="1265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18" customHeight="1">
      <c r="B14" s="46" t="n"/>
      <c r="C14" s="811" t="inlineStr">
        <is>
          <t>Real Estate Development</t>
        </is>
      </c>
      <c r="D14" s="92" t="n">
        <v>450</v>
      </c>
      <c r="E14" s="766">
        <f>'Revenue 2030'!$Q$210</f>
        <v/>
      </c>
      <c r="F14" s="1268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18" customHeight="1">
      <c r="B15" s="46" t="n"/>
      <c r="C15" s="811" t="inlineStr">
        <is>
          <t>Real Estate Development- Reseller</t>
        </is>
      </c>
      <c r="D15" s="92" t="n">
        <v>250</v>
      </c>
      <c r="E15" s="766">
        <f>'Revenue 2030'!$Q$210</f>
        <v/>
      </c>
      <c r="F15" s="1268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18" customHeight="1">
      <c r="B16" s="46" t="n"/>
      <c r="C16" s="809" t="inlineStr">
        <is>
          <t>Pharma</t>
        </is>
      </c>
      <c r="D16" s="74" t="n">
        <v>400</v>
      </c>
      <c r="E16" s="501">
        <f>'Revenue 2030'!$Q$210</f>
        <v/>
      </c>
      <c r="F16" s="1265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18" customHeight="1">
      <c r="B17" s="46" t="n"/>
      <c r="C17" s="809" t="inlineStr">
        <is>
          <t>Pharma- Reseller</t>
        </is>
      </c>
      <c r="D17" s="74" t="n">
        <v>250</v>
      </c>
      <c r="E17" s="501">
        <f>'Revenue 2030'!$Q$210</f>
        <v/>
      </c>
      <c r="F17" s="1265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18" customHeight="1">
      <c r="B18" s="46" t="n"/>
      <c r="C18" s="811" t="inlineStr">
        <is>
          <t>Start up - Small Firms</t>
        </is>
      </c>
      <c r="D18" s="92" t="n">
        <v>200</v>
      </c>
      <c r="E18" s="766">
        <f>'Revenue 2030'!$Q$210</f>
        <v/>
      </c>
      <c r="F18" s="1268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19" customHeight="1" thickBot="1">
      <c r="B19" s="46" t="n"/>
      <c r="C19" s="813" t="inlineStr">
        <is>
          <t>Start up Reseller</t>
        </is>
      </c>
      <c r="D19" s="845" t="n">
        <v>100</v>
      </c>
      <c r="E19" s="846">
        <f>'Revenue 2030'!$Q$210</f>
        <v/>
      </c>
      <c r="F19" s="1269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18" customHeight="1">
      <c r="B20" s="46" t="n"/>
      <c r="C20" s="461" t="inlineStr">
        <is>
          <t>Training / Consultancy Training as a Service</t>
        </is>
      </c>
      <c r="D20" s="832" t="n"/>
      <c r="E20" s="832" t="n"/>
      <c r="F20" s="1270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18" customHeight="1">
      <c r="B21" s="46" t="n"/>
      <c r="C21" s="505" t="inlineStr">
        <is>
          <t>Thought Library</t>
        </is>
      </c>
      <c r="D21" s="92" t="n">
        <v>50</v>
      </c>
      <c r="E21" s="92" t="n">
        <v>25</v>
      </c>
      <c r="F21" s="1271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19" customHeight="1" thickBot="1">
      <c r="B22" s="46" t="n"/>
      <c r="C22" s="506" t="inlineStr">
        <is>
          <t>Consultancy Services</t>
        </is>
      </c>
      <c r="D22" s="95" t="n">
        <v>225</v>
      </c>
      <c r="E22" s="95" t="n">
        <v>125</v>
      </c>
      <c r="F22" s="1162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19" customHeight="1" thickBot="1">
      <c r="B23" s="46" t="n"/>
      <c r="C23" s="106" t="n"/>
      <c r="D23" s="253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39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55" t="inlineStr">
        <is>
          <t>Profit margin comparison</t>
        </is>
      </c>
      <c r="S24" s="901" t="inlineStr">
        <is>
          <t>CHURN</t>
        </is>
      </c>
    </row>
    <row r="25" ht="17" customHeight="1" thickBo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</row>
    <row r="26" ht="19" customHeight="1" thickBot="1">
      <c r="B26" s="1163" t="inlineStr">
        <is>
          <t>Hospitality</t>
        </is>
      </c>
      <c r="C26" s="1164">
        <f>C12</f>
        <v/>
      </c>
      <c r="R26" s="1165" t="n"/>
      <c r="T26" s="1260" t="inlineStr">
        <is>
          <t>Assumptions</t>
        </is>
      </c>
      <c r="U26" s="1167" t="n"/>
      <c r="V26" s="1167" t="n"/>
      <c r="W26" s="1167" t="n"/>
      <c r="X26" s="1167" t="n"/>
      <c r="Y26" s="1167" t="n"/>
      <c r="Z26" s="1167" t="n"/>
      <c r="AA26" s="1168" t="n"/>
    </row>
    <row r="27" ht="19" customHeight="1" thickBot="1">
      <c r="B27" s="1169" t="n"/>
      <c r="C27" s="116" t="inlineStr">
        <is>
          <t>Licences Sold</t>
        </is>
      </c>
      <c r="D27" s="1170" t="n">
        <v>750</v>
      </c>
      <c r="E27" s="1170" t="n">
        <v>770</v>
      </c>
      <c r="F27" s="1170" t="n">
        <v>790</v>
      </c>
      <c r="G27" s="1170" t="n">
        <v>800</v>
      </c>
      <c r="H27" s="1170" t="n">
        <v>1000</v>
      </c>
      <c r="I27" s="1170" t="n">
        <v>1000</v>
      </c>
      <c r="J27" s="1170" t="n">
        <v>1100</v>
      </c>
      <c r="K27" s="1170" t="n">
        <v>1200</v>
      </c>
      <c r="L27" s="1170" t="n">
        <v>1225</v>
      </c>
      <c r="M27" s="1170" t="n">
        <v>1250</v>
      </c>
      <c r="N27" s="1170" t="n">
        <v>1250</v>
      </c>
      <c r="O27" s="1170" t="n">
        <v>1250</v>
      </c>
      <c r="P27" s="1171">
        <f>O27</f>
        <v/>
      </c>
      <c r="Q27" s="323" t="n"/>
      <c r="R27" s="324" t="n"/>
      <c r="S27" s="903" t="n">
        <v>0.03</v>
      </c>
      <c r="T27" s="1172" t="n"/>
      <c r="U27" s="1145" t="n"/>
      <c r="V27" s="1145" t="n"/>
      <c r="W27" s="1145" t="n"/>
      <c r="X27" s="1145" t="n"/>
      <c r="Y27" s="1145" t="n"/>
      <c r="Z27" s="1145" t="n"/>
      <c r="AA27" s="705" t="n"/>
    </row>
    <row r="28" hidden="1" ht="18" customHeigh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174" t="n"/>
      <c r="Q28" s="909" t="n"/>
      <c r="R28" s="910" t="n"/>
      <c r="S28" s="921" t="n"/>
      <c r="T28" s="958" t="n"/>
      <c r="U28" s="959" t="n"/>
      <c r="V28" s="959" t="n"/>
      <c r="W28" s="959" t="n"/>
      <c r="X28" s="959" t="n"/>
      <c r="Y28" s="959" t="n"/>
      <c r="Z28" s="959" t="n"/>
      <c r="AA28" s="960" t="n"/>
    </row>
    <row r="29" ht="18" customHeight="1">
      <c r="B29" s="1169" t="n"/>
      <c r="C29" s="117" t="inlineStr">
        <is>
          <t>Total Sales</t>
        </is>
      </c>
      <c r="D29" s="194">
        <f>(D27-D28)*$D$12</f>
        <v/>
      </c>
      <c r="E29" s="194">
        <f>(E27-E28)*$D$12</f>
        <v/>
      </c>
      <c r="F29" s="194">
        <f>(F27-F28)*$D$12</f>
        <v/>
      </c>
      <c r="G29" s="194">
        <f>(G27-G28)*$D$12</f>
        <v/>
      </c>
      <c r="H29" s="194">
        <f>(H27-H28)*$D$12</f>
        <v/>
      </c>
      <c r="I29" s="194">
        <f>(I27-I28)*$D$12</f>
        <v/>
      </c>
      <c r="J29" s="194">
        <f>(J27-J28)*$D$12</f>
        <v/>
      </c>
      <c r="K29" s="194">
        <f>(K27-K28)*$D$12</f>
        <v/>
      </c>
      <c r="L29" s="194">
        <f>(L27-L28)*$D$12</f>
        <v/>
      </c>
      <c r="M29" s="194">
        <f>(M27-M28)*$D$12</f>
        <v/>
      </c>
      <c r="N29" s="194">
        <f>(N27-N28)*$D$12</f>
        <v/>
      </c>
      <c r="O29" s="194">
        <f>(O27-O28)*$D$12</f>
        <v/>
      </c>
      <c r="P29" s="319">
        <f>SUM(D29:O29)</f>
        <v/>
      </c>
      <c r="Q29" s="1175">
        <f>(Q30+Q31)</f>
        <v/>
      </c>
      <c r="R29" s="1176" t="inlineStr">
        <is>
          <t xml:space="preserve"> </t>
        </is>
      </c>
      <c r="S29" s="921" t="n"/>
      <c r="T29" s="1273" t="inlineStr">
        <is>
          <t xml:space="preserve"> </t>
        </is>
      </c>
      <c r="AA29" s="707" t="n"/>
    </row>
    <row r="30" ht="18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320">
        <f>SUM(D30:O30)</f>
        <v/>
      </c>
      <c r="Q30" s="1178">
        <f>IF(P29=0,0,P30/P29)</f>
        <v/>
      </c>
      <c r="R30" s="1179" t="inlineStr">
        <is>
          <t xml:space="preserve"> </t>
        </is>
      </c>
      <c r="S30" s="921" t="n"/>
      <c r="T30" s="1188" t="n"/>
      <c r="AA30" s="707" t="n"/>
    </row>
    <row r="31" ht="19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321">
        <f>SUM(D31:O31)</f>
        <v/>
      </c>
      <c r="Q31" s="1181">
        <f>IF(P29=0,0,P31/P29)</f>
        <v/>
      </c>
      <c r="R31" s="1182" t="inlineStr">
        <is>
          <t xml:space="preserve"> </t>
        </is>
      </c>
      <c r="S31" s="921" t="n"/>
      <c r="T31" s="1273" t="inlineStr">
        <is>
          <t xml:space="preserve"> </t>
        </is>
      </c>
      <c r="AA31" s="707" t="n"/>
    </row>
    <row r="32" ht="18" customHeight="1">
      <c r="B32" s="1169" t="n"/>
      <c r="C32" s="1183" t="inlineStr">
        <is>
          <t xml:space="preserve"> </t>
        </is>
      </c>
      <c r="S32" s="921" t="n"/>
      <c r="T32" s="1188" t="n"/>
      <c r="AA32" s="707" t="n"/>
    </row>
    <row r="33" ht="19" customHeight="1" thickBot="1">
      <c r="B33" s="1169" t="n"/>
      <c r="C33" s="1185">
        <f>C13</f>
        <v/>
      </c>
      <c r="R33" s="707" t="n"/>
      <c r="S33" s="921" t="n"/>
      <c r="T33" s="1186" t="inlineStr">
        <is>
          <t xml:space="preserve"> </t>
        </is>
      </c>
      <c r="AA33" s="707" t="n"/>
    </row>
    <row r="34" ht="19" customHeight="1" thickBot="1">
      <c r="B34" s="1169" t="n"/>
      <c r="C34" s="116" t="inlineStr">
        <is>
          <t>Licences Sold</t>
        </is>
      </c>
      <c r="D34" s="1170" t="n">
        <v>470</v>
      </c>
      <c r="E34" s="1170" t="n">
        <v>500</v>
      </c>
      <c r="F34" s="1170" t="n">
        <v>525</v>
      </c>
      <c r="G34" s="1170" t="n">
        <v>530</v>
      </c>
      <c r="H34" s="1170" t="n">
        <v>535</v>
      </c>
      <c r="I34" s="1170" t="n">
        <v>540</v>
      </c>
      <c r="J34" s="1170" t="n">
        <v>550</v>
      </c>
      <c r="K34" s="1170" t="n">
        <v>560</v>
      </c>
      <c r="L34" s="1170" t="n">
        <v>570</v>
      </c>
      <c r="M34" s="1170" t="n">
        <v>590</v>
      </c>
      <c r="N34" s="1170" t="n">
        <v>600</v>
      </c>
      <c r="O34" s="1170" t="n">
        <v>600</v>
      </c>
      <c r="P34" s="1187">
        <f>O34</f>
        <v/>
      </c>
      <c r="Q34" s="72" t="n"/>
      <c r="R34" s="318" t="n"/>
      <c r="S34" s="903" t="n">
        <v>0.03</v>
      </c>
      <c r="T34" s="1188" t="n"/>
      <c r="AA34" s="707" t="n"/>
    </row>
    <row r="35" hidden="1" ht="18" customHeight="1">
      <c r="B35" s="1169" t="n"/>
      <c r="C35" s="906" t="n"/>
      <c r="D35" s="1173">
        <f>D34*$S$34</f>
        <v/>
      </c>
      <c r="E35" s="1173">
        <f>E34*$S$34</f>
        <v/>
      </c>
      <c r="F35" s="1173">
        <f>F34*$S$34</f>
        <v/>
      </c>
      <c r="G35" s="1173">
        <f>G34*$S$34</f>
        <v/>
      </c>
      <c r="H35" s="1173">
        <f>H34*$S$34</f>
        <v/>
      </c>
      <c r="I35" s="1173">
        <f>I34*$S$34</f>
        <v/>
      </c>
      <c r="J35" s="1173">
        <f>J34*$S$34</f>
        <v/>
      </c>
      <c r="K35" s="1173">
        <f>K34*$S$34</f>
        <v/>
      </c>
      <c r="L35" s="1173">
        <f>L34*$S$34</f>
        <v/>
      </c>
      <c r="M35" s="1173">
        <f>M34*$S$34</f>
        <v/>
      </c>
      <c r="N35" s="1173">
        <f>N34*$S$34</f>
        <v/>
      </c>
      <c r="O35" s="1173">
        <f>O34*$S$34</f>
        <v/>
      </c>
      <c r="P35" s="1174" t="n"/>
      <c r="Q35" s="909" t="n"/>
      <c r="R35" s="910" t="n"/>
      <c r="S35" s="903" t="n"/>
      <c r="T35" s="958" t="n"/>
      <c r="U35" s="959" t="n"/>
      <c r="V35" s="959" t="n"/>
      <c r="W35" s="959" t="n"/>
      <c r="X35" s="959" t="n"/>
      <c r="Y35" s="959" t="n"/>
      <c r="Z35" s="959" t="n"/>
      <c r="AA35" s="960" t="n"/>
    </row>
    <row r="36" ht="18" customHeight="1">
      <c r="B36" s="1169" t="n"/>
      <c r="C36" s="117" t="inlineStr">
        <is>
          <t>Total Sales</t>
        </is>
      </c>
      <c r="D36" s="194">
        <f>(D34-D35)*$D$13</f>
        <v/>
      </c>
      <c r="E36" s="194">
        <f>(E34-E35)*$D$13</f>
        <v/>
      </c>
      <c r="F36" s="194">
        <f>(F34-F35)*$D$13</f>
        <v/>
      </c>
      <c r="G36" s="194">
        <f>(G34-G35)*$D$13</f>
        <v/>
      </c>
      <c r="H36" s="194">
        <f>(H34-H35)*$D$13</f>
        <v/>
      </c>
      <c r="I36" s="194">
        <f>(I34-I35)*$D$13</f>
        <v/>
      </c>
      <c r="J36" s="194">
        <f>(J34-J35)*$D$13</f>
        <v/>
      </c>
      <c r="K36" s="194">
        <f>(K34-K35)*$D$13</f>
        <v/>
      </c>
      <c r="L36" s="194">
        <f>(L34-L35)*$D$13</f>
        <v/>
      </c>
      <c r="M36" s="194">
        <f>(M34-M35)*$D$13</f>
        <v/>
      </c>
      <c r="N36" s="194">
        <f>(N34-N35)*$D$13</f>
        <v/>
      </c>
      <c r="O36" s="194">
        <f>(O34-O35)*$D$13</f>
        <v/>
      </c>
      <c r="P36" s="319">
        <f>SUM(D36:O36)</f>
        <v/>
      </c>
      <c r="Q36" s="1175">
        <f>(Q37+Q38)</f>
        <v/>
      </c>
      <c r="R36" s="1176" t="inlineStr">
        <is>
          <t xml:space="preserve"> </t>
        </is>
      </c>
      <c r="S36" s="921" t="n"/>
      <c r="T36" s="1188" t="n"/>
      <c r="AA36" s="707" t="n"/>
    </row>
    <row r="37" ht="18" customHeight="1">
      <c r="B37" s="1169" t="n"/>
      <c r="C37" s="118" t="inlineStr">
        <is>
          <t>Total COGS</t>
        </is>
      </c>
      <c r="D37" s="193">
        <f>D34*$E$13</f>
        <v/>
      </c>
      <c r="E37" s="193">
        <f>E34*$E$13</f>
        <v/>
      </c>
      <c r="F37" s="193">
        <f>F34*$E$13</f>
        <v/>
      </c>
      <c r="G37" s="193">
        <f>G34*$E$13</f>
        <v/>
      </c>
      <c r="H37" s="193">
        <f>H34*$E$13</f>
        <v/>
      </c>
      <c r="I37" s="193">
        <f>I34*$E$13</f>
        <v/>
      </c>
      <c r="J37" s="193">
        <f>J34*$E$13</f>
        <v/>
      </c>
      <c r="K37" s="193">
        <f>K34*$E$13</f>
        <v/>
      </c>
      <c r="L37" s="193">
        <f>L34*$E$13</f>
        <v/>
      </c>
      <c r="M37" s="193">
        <f>M34*$E$13</f>
        <v/>
      </c>
      <c r="N37" s="193">
        <f>N34*$E$13</f>
        <v/>
      </c>
      <c r="O37" s="273">
        <f>O34*$E$13</f>
        <v/>
      </c>
      <c r="P37" s="320">
        <f>SUM(D37:O37)</f>
        <v/>
      </c>
      <c r="Q37" s="1178">
        <f>IF(P36=0,0,P37/P36)</f>
        <v/>
      </c>
      <c r="R37" s="1179" t="inlineStr">
        <is>
          <t xml:space="preserve"> </t>
        </is>
      </c>
      <c r="S37" s="921" t="n"/>
      <c r="T37" s="1188" t="n"/>
      <c r="AA37" s="707" t="n"/>
    </row>
    <row r="38" ht="19" customHeight="1" thickBot="1">
      <c r="B38" s="1169" t="n"/>
      <c r="C38" s="119" t="inlineStr">
        <is>
          <t>Total Margin</t>
        </is>
      </c>
      <c r="D38" s="68">
        <f>D36-D37</f>
        <v/>
      </c>
      <c r="E38" s="68">
        <f>E36-E37</f>
        <v/>
      </c>
      <c r="F38" s="68">
        <f>F36-F37</f>
        <v/>
      </c>
      <c r="G38" s="68">
        <f>G36-G37</f>
        <v/>
      </c>
      <c r="H38" s="68">
        <f>H36-H37</f>
        <v/>
      </c>
      <c r="I38" s="68">
        <f>I36-I37</f>
        <v/>
      </c>
      <c r="J38" s="68">
        <f>J36-J37</f>
        <v/>
      </c>
      <c r="K38" s="68">
        <f>K36-K37</f>
        <v/>
      </c>
      <c r="L38" s="68">
        <f>L36-L37</f>
        <v/>
      </c>
      <c r="M38" s="68">
        <f>M36-M37</f>
        <v/>
      </c>
      <c r="N38" s="68">
        <f>N36-N37</f>
        <v/>
      </c>
      <c r="O38" s="69">
        <f>O36-O37</f>
        <v/>
      </c>
      <c r="P38" s="321">
        <f>SUM(D38:O38)</f>
        <v/>
      </c>
      <c r="Q38" s="1181">
        <f>IF(P36=0,0,P38/P36)</f>
        <v/>
      </c>
      <c r="R38" s="1182" t="inlineStr">
        <is>
          <t xml:space="preserve"> </t>
        </is>
      </c>
      <c r="S38" s="921" t="n"/>
      <c r="T38" s="1188" t="n"/>
      <c r="AA38" s="707" t="n"/>
    </row>
    <row r="39" ht="19" customHeight="1" thickBot="1">
      <c r="B39" s="1189" t="n"/>
      <c r="C39" s="1190" t="inlineStr">
        <is>
          <t xml:space="preserve"> </t>
        </is>
      </c>
      <c r="R39" s="1191" t="n"/>
      <c r="S39" s="921" t="n"/>
      <c r="T39" s="1188" t="n"/>
      <c r="AA39" s="707" t="n"/>
    </row>
    <row r="40" ht="19" customHeight="1" thickBot="1">
      <c r="B40" s="1192" t="inlineStr">
        <is>
          <t>Real Estate</t>
        </is>
      </c>
      <c r="C40" s="1193">
        <f>C14</f>
        <v/>
      </c>
      <c r="D40" s="1145" t="n"/>
      <c r="E40" s="1145" t="n"/>
      <c r="F40" s="1145" t="n"/>
      <c r="G40" s="1145" t="n"/>
      <c r="H40" s="1145" t="n"/>
      <c r="I40" s="1145" t="n"/>
      <c r="J40" s="1145" t="n"/>
      <c r="K40" s="1145" t="n"/>
      <c r="L40" s="1145" t="n"/>
      <c r="M40" s="1145" t="n"/>
      <c r="N40" s="1145" t="n"/>
      <c r="O40" s="1145" t="n"/>
      <c r="P40" s="1145" t="n"/>
      <c r="Q40" s="1145" t="n"/>
      <c r="R40" s="705" t="n"/>
      <c r="S40" s="921" t="n"/>
      <c r="T40" s="1188" t="n"/>
      <c r="AA40" s="707" t="n"/>
    </row>
    <row r="41" ht="19" customHeight="1" thickBot="1">
      <c r="B41" s="1194" t="n"/>
      <c r="C41" s="325" t="inlineStr">
        <is>
          <t>Licences Sold</t>
        </is>
      </c>
      <c r="D41" s="1170" t="n">
        <v>625</v>
      </c>
      <c r="E41" s="1170" t="n">
        <v>625</v>
      </c>
      <c r="F41" s="1170" t="n">
        <v>630</v>
      </c>
      <c r="G41" s="1170" t="n">
        <v>630</v>
      </c>
      <c r="H41" s="1170" t="n">
        <v>630</v>
      </c>
      <c r="I41" s="1170" t="n">
        <v>630</v>
      </c>
      <c r="J41" s="1170" t="n">
        <v>650</v>
      </c>
      <c r="K41" s="1170" t="n">
        <v>650</v>
      </c>
      <c r="L41" s="1170" t="n">
        <v>660</v>
      </c>
      <c r="M41" s="1170" t="n">
        <v>660</v>
      </c>
      <c r="N41" s="1170" t="n">
        <v>660</v>
      </c>
      <c r="O41" s="1170" t="n">
        <v>660</v>
      </c>
      <c r="P41" s="1187">
        <f>O41</f>
        <v/>
      </c>
      <c r="Q41" s="72" t="n"/>
      <c r="R41" s="318" t="n"/>
      <c r="S41" s="903" t="n">
        <v>0.03</v>
      </c>
      <c r="T41" s="1188" t="n"/>
      <c r="AA41" s="707" t="n"/>
    </row>
    <row r="42" hidden="1" ht="18" customHeight="1">
      <c r="B42" s="1194" t="n"/>
      <c r="C42" s="911" t="n"/>
      <c r="D42" s="1173">
        <f>D41*$S$41</f>
        <v/>
      </c>
      <c r="E42" s="1173">
        <f>E41*$S$41</f>
        <v/>
      </c>
      <c r="F42" s="1173">
        <f>F41*$S$41</f>
        <v/>
      </c>
      <c r="G42" s="1173">
        <f>G41*$S$41</f>
        <v/>
      </c>
      <c r="H42" s="1173">
        <f>H41*$S$41</f>
        <v/>
      </c>
      <c r="I42" s="1173">
        <f>I41*$S$41</f>
        <v/>
      </c>
      <c r="J42" s="1173">
        <f>J41*$S$41</f>
        <v/>
      </c>
      <c r="K42" s="1173">
        <f>K41*$S$41</f>
        <v/>
      </c>
      <c r="L42" s="1173">
        <f>L41*$S$41</f>
        <v/>
      </c>
      <c r="M42" s="1173">
        <f>M41*$S$41</f>
        <v/>
      </c>
      <c r="N42" s="1173">
        <f>N41*$S$41</f>
        <v/>
      </c>
      <c r="O42" s="1173">
        <f>O41*$S$41</f>
        <v/>
      </c>
      <c r="P42" s="1174" t="n"/>
      <c r="Q42" s="909" t="n"/>
      <c r="R42" s="910" t="n"/>
      <c r="S42" s="903" t="n"/>
      <c r="T42" s="958" t="n"/>
      <c r="U42" s="959" t="n"/>
      <c r="V42" s="959" t="n"/>
      <c r="W42" s="959" t="n"/>
      <c r="X42" s="959" t="n"/>
      <c r="Y42" s="959" t="n"/>
      <c r="Z42" s="959" t="n"/>
      <c r="AA42" s="960" t="n"/>
    </row>
    <row r="43" ht="18" customHeight="1">
      <c r="B43" s="1194" t="n"/>
      <c r="C43" s="297" t="inlineStr">
        <is>
          <t>Total Sales</t>
        </is>
      </c>
      <c r="D43" s="194">
        <f>(D41-D42)*$D$14</f>
        <v/>
      </c>
      <c r="E43" s="194">
        <f>(E41-E42)*$D$14</f>
        <v/>
      </c>
      <c r="F43" s="194">
        <f>(F41-F42)*$D$14</f>
        <v/>
      </c>
      <c r="G43" s="194">
        <f>(G41-G42)*$D$14</f>
        <v/>
      </c>
      <c r="H43" s="194">
        <f>(H41-H42)*$D$14</f>
        <v/>
      </c>
      <c r="I43" s="194">
        <f>(I41-I42)*$D$14</f>
        <v/>
      </c>
      <c r="J43" s="194">
        <f>(J41-J42)*$D$14</f>
        <v/>
      </c>
      <c r="K43" s="194">
        <f>(K41-K42)*$D$14</f>
        <v/>
      </c>
      <c r="L43" s="194">
        <f>(L41-L42)*$D$14</f>
        <v/>
      </c>
      <c r="M43" s="194">
        <f>(M41-M42)*$D$14</f>
        <v/>
      </c>
      <c r="N43" s="194">
        <f>(N41-N42)*$D$14</f>
        <v/>
      </c>
      <c r="O43" s="194">
        <f>(O41-O42)*$D$14</f>
        <v/>
      </c>
      <c r="P43" s="319">
        <f>SUM(D43:O43)</f>
        <v/>
      </c>
      <c r="Q43" s="1175">
        <f>(Q44+Q45)</f>
        <v/>
      </c>
      <c r="R43" s="1176" t="inlineStr">
        <is>
          <t xml:space="preserve"> </t>
        </is>
      </c>
      <c r="S43" s="921" t="n"/>
      <c r="T43" s="1188" t="n"/>
      <c r="AA43" s="707" t="n"/>
    </row>
    <row r="44" ht="18" customHeight="1">
      <c r="B44" s="1194" t="n"/>
      <c r="C44" s="299" t="inlineStr">
        <is>
          <t>Total COGS</t>
        </is>
      </c>
      <c r="D44" s="193">
        <f>D41*$E$14</f>
        <v/>
      </c>
      <c r="E44" s="193">
        <f>E41*$E$14</f>
        <v/>
      </c>
      <c r="F44" s="193">
        <f>F41*$E$14</f>
        <v/>
      </c>
      <c r="G44" s="193">
        <f>G41*$E$14</f>
        <v/>
      </c>
      <c r="H44" s="193">
        <f>H41*$E$14</f>
        <v/>
      </c>
      <c r="I44" s="193">
        <f>I41*$E$14</f>
        <v/>
      </c>
      <c r="J44" s="193">
        <f>J41*$E$14</f>
        <v/>
      </c>
      <c r="K44" s="193">
        <f>K41*$E$14</f>
        <v/>
      </c>
      <c r="L44" s="193">
        <f>L41*$E$14</f>
        <v/>
      </c>
      <c r="M44" s="193">
        <f>M41*$E$14</f>
        <v/>
      </c>
      <c r="N44" s="193">
        <f>N41*$E$14</f>
        <v/>
      </c>
      <c r="O44" s="273">
        <f>O41*$E$14</f>
        <v/>
      </c>
      <c r="P44" s="320">
        <f>SUM(D44:O44)</f>
        <v/>
      </c>
      <c r="Q44" s="1178">
        <f>IF(P43=0,0,P44/P43)</f>
        <v/>
      </c>
      <c r="R44" s="1179" t="inlineStr">
        <is>
          <t xml:space="preserve"> </t>
        </is>
      </c>
      <c r="S44" s="921" t="n"/>
      <c r="T44" s="1188" t="n"/>
      <c r="AA44" s="707" t="n"/>
    </row>
    <row r="45" ht="18" customHeight="1">
      <c r="B45" s="1194" t="n"/>
      <c r="C45" s="326" t="inlineStr">
        <is>
          <t>Total Margin</t>
        </is>
      </c>
      <c r="D45" s="68">
        <f>D43-D44</f>
        <v/>
      </c>
      <c r="E45" s="68">
        <f>E43-E44</f>
        <v/>
      </c>
      <c r="F45" s="68">
        <f>F43-F44</f>
        <v/>
      </c>
      <c r="G45" s="68">
        <f>G43-G44</f>
        <v/>
      </c>
      <c r="H45" s="68">
        <f>H43-H44</f>
        <v/>
      </c>
      <c r="I45" s="68">
        <f>I43-I44</f>
        <v/>
      </c>
      <c r="J45" s="68">
        <f>J43-J44</f>
        <v/>
      </c>
      <c r="K45" s="68">
        <f>K43-K44</f>
        <v/>
      </c>
      <c r="L45" s="68">
        <f>L43-L44</f>
        <v/>
      </c>
      <c r="M45" s="68">
        <f>M43-M44</f>
        <v/>
      </c>
      <c r="N45" s="68">
        <f>N43-N44</f>
        <v/>
      </c>
      <c r="O45" s="69">
        <f>O43-O44</f>
        <v/>
      </c>
      <c r="P45" s="320">
        <f>SUM(D45:O45)</f>
        <v/>
      </c>
      <c r="Q45" s="1178">
        <f>IF(P43=0,0,P45/P43)</f>
        <v/>
      </c>
      <c r="R45" s="1179" t="inlineStr">
        <is>
          <t xml:space="preserve"> </t>
        </is>
      </c>
      <c r="S45" s="921" t="n"/>
      <c r="T45" s="1188" t="n"/>
      <c r="AA45" s="707" t="n"/>
    </row>
    <row r="46" ht="18" customHeight="1">
      <c r="B46" s="1194" t="n"/>
      <c r="C46" s="1195" t="inlineStr">
        <is>
          <t xml:space="preserve"> </t>
        </is>
      </c>
      <c r="R46" s="707" t="n"/>
      <c r="S46" s="921" t="n"/>
      <c r="T46" s="1196" t="n"/>
      <c r="AA46" s="707" t="n"/>
    </row>
    <row r="47" ht="19" customHeight="1" thickBot="1">
      <c r="B47" s="1194" t="n"/>
      <c r="C47" s="1197">
        <f>C15</f>
        <v/>
      </c>
      <c r="R47" s="707" t="n"/>
      <c r="S47" s="921" t="n"/>
      <c r="T47" s="1188" t="n"/>
      <c r="AA47" s="707" t="n"/>
    </row>
    <row r="48" ht="19" customHeight="1" thickBot="1">
      <c r="B48" s="1194" t="n"/>
      <c r="C48" s="325" t="inlineStr">
        <is>
          <t>Licences Sold</t>
        </is>
      </c>
      <c r="D48" s="1170" t="n">
        <v>225</v>
      </c>
      <c r="E48" s="1170" t="n">
        <v>230</v>
      </c>
      <c r="F48" s="1170" t="n">
        <v>235</v>
      </c>
      <c r="G48" s="1170" t="n">
        <v>240</v>
      </c>
      <c r="H48" s="1170" t="n">
        <v>240</v>
      </c>
      <c r="I48" s="1170" t="n">
        <v>250</v>
      </c>
      <c r="J48" s="1170" t="n">
        <v>260</v>
      </c>
      <c r="K48" s="1170" t="n">
        <v>270</v>
      </c>
      <c r="L48" s="1170" t="n">
        <v>275</v>
      </c>
      <c r="M48" s="1170" t="n">
        <v>280</v>
      </c>
      <c r="N48" s="1170" t="n">
        <v>280</v>
      </c>
      <c r="O48" s="1170" t="n">
        <v>280</v>
      </c>
      <c r="P48" s="1187">
        <f>O48</f>
        <v/>
      </c>
      <c r="Q48" s="72" t="n"/>
      <c r="R48" s="318" t="inlineStr">
        <is>
          <t xml:space="preserve"> </t>
        </is>
      </c>
      <c r="S48" s="903" t="n">
        <v>0.03</v>
      </c>
      <c r="T48" s="1188" t="n"/>
      <c r="AA48" s="707" t="n"/>
    </row>
    <row r="49" hidden="1" ht="18" customHeight="1">
      <c r="B49" s="1194" t="n"/>
      <c r="C49" s="911" t="n"/>
      <c r="D49" s="1173">
        <f>D48*$S$48</f>
        <v/>
      </c>
      <c r="E49" s="1173">
        <f>E48*$S$48</f>
        <v/>
      </c>
      <c r="F49" s="1173">
        <f>F48*$S$48</f>
        <v/>
      </c>
      <c r="G49" s="1173">
        <f>G48*$S$48</f>
        <v/>
      </c>
      <c r="H49" s="1173">
        <f>H48*$S$48</f>
        <v/>
      </c>
      <c r="I49" s="1173">
        <f>I48*$S$48</f>
        <v/>
      </c>
      <c r="J49" s="1173">
        <f>J48*$S$48</f>
        <v/>
      </c>
      <c r="K49" s="1173">
        <f>K48*$S$48</f>
        <v/>
      </c>
      <c r="L49" s="1173">
        <f>L48*$S$48</f>
        <v/>
      </c>
      <c r="M49" s="1173">
        <f>M48*$S$48</f>
        <v/>
      </c>
      <c r="N49" s="1173">
        <f>N48*$S$48</f>
        <v/>
      </c>
      <c r="O49" s="1173">
        <f>O48*$S$48</f>
        <v/>
      </c>
      <c r="P49" s="1174" t="n"/>
      <c r="Q49" s="909" t="n"/>
      <c r="R49" s="910" t="n"/>
      <c r="S49" s="903" t="n"/>
      <c r="T49" s="958" t="n"/>
      <c r="U49" s="959" t="n"/>
      <c r="V49" s="959" t="n"/>
      <c r="W49" s="959" t="n"/>
      <c r="X49" s="959" t="n"/>
      <c r="Y49" s="959" t="n"/>
      <c r="Z49" s="959" t="n"/>
      <c r="AA49" s="960" t="n"/>
    </row>
    <row r="50" ht="18" customHeight="1">
      <c r="B50" s="1194" t="n"/>
      <c r="C50" s="297" t="inlineStr">
        <is>
          <t>Total Sales</t>
        </is>
      </c>
      <c r="D50" s="194">
        <f>(D48-D49)*$D$15</f>
        <v/>
      </c>
      <c r="E50" s="194">
        <f>(E48-E49)*$D$15</f>
        <v/>
      </c>
      <c r="F50" s="194">
        <f>(F48-F49)*$D$15</f>
        <v/>
      </c>
      <c r="G50" s="194">
        <f>(G48-G49)*$D$15</f>
        <v/>
      </c>
      <c r="H50" s="194">
        <f>(H48-H49)*$D$15</f>
        <v/>
      </c>
      <c r="I50" s="194">
        <f>(I48-I49)*$D$15</f>
        <v/>
      </c>
      <c r="J50" s="194">
        <f>(J48-J49)*$D$15</f>
        <v/>
      </c>
      <c r="K50" s="194">
        <f>(K48-K49)*$D$15</f>
        <v/>
      </c>
      <c r="L50" s="194">
        <f>(L48-L49)*$D$15</f>
        <v/>
      </c>
      <c r="M50" s="194">
        <f>(M48-M49)*$D$15</f>
        <v/>
      </c>
      <c r="N50" s="194">
        <f>(N48-N49)*$D$15</f>
        <v/>
      </c>
      <c r="O50" s="194">
        <f>(O48-O49)*$D$15</f>
        <v/>
      </c>
      <c r="P50" s="319">
        <f>SUM(D50:O50)</f>
        <v/>
      </c>
      <c r="Q50" s="1175">
        <f>(Q51+Q52)</f>
        <v/>
      </c>
      <c r="R50" s="1176" t="inlineStr">
        <is>
          <t xml:space="preserve"> </t>
        </is>
      </c>
      <c r="S50" s="921" t="n"/>
      <c r="T50" s="1188" t="n"/>
      <c r="AA50" s="707" t="n"/>
    </row>
    <row r="51" ht="18" customHeight="1">
      <c r="B51" s="1194" t="n"/>
      <c r="C51" s="299" t="inlineStr">
        <is>
          <t>Total COGS</t>
        </is>
      </c>
      <c r="D51" s="193">
        <f>D48*$E$15</f>
        <v/>
      </c>
      <c r="E51" s="193">
        <f>E48*$E$15</f>
        <v/>
      </c>
      <c r="F51" s="193">
        <f>F48*$E$15</f>
        <v/>
      </c>
      <c r="G51" s="193">
        <f>G48*$E$15</f>
        <v/>
      </c>
      <c r="H51" s="193">
        <f>H48*$E$15</f>
        <v/>
      </c>
      <c r="I51" s="193">
        <f>I48*$E$15</f>
        <v/>
      </c>
      <c r="J51" s="193">
        <f>J48*$E$15</f>
        <v/>
      </c>
      <c r="K51" s="193">
        <f>K48*$E$15</f>
        <v/>
      </c>
      <c r="L51" s="193">
        <f>L48*$E$15</f>
        <v/>
      </c>
      <c r="M51" s="193">
        <f>M48*$E$15</f>
        <v/>
      </c>
      <c r="N51" s="193">
        <f>N48*$E$15</f>
        <v/>
      </c>
      <c r="O51" s="273">
        <f>O48*$E$15</f>
        <v/>
      </c>
      <c r="P51" s="320">
        <f>SUM(D51:O51)</f>
        <v/>
      </c>
      <c r="Q51" s="1178">
        <f>IF(P50=0,0,P51/P50)</f>
        <v/>
      </c>
      <c r="R51" s="1179" t="inlineStr">
        <is>
          <t xml:space="preserve"> </t>
        </is>
      </c>
      <c r="S51" s="921" t="n"/>
      <c r="T51" s="1188" t="n"/>
      <c r="AA51" s="707" t="n"/>
    </row>
    <row r="52" ht="18" customHeight="1">
      <c r="B52" s="1194" t="n"/>
      <c r="C52" s="326" t="inlineStr">
        <is>
          <t>Total Margin</t>
        </is>
      </c>
      <c r="D52" s="68">
        <f>D50-D51</f>
        <v/>
      </c>
      <c r="E52" s="68">
        <f>E50-E51</f>
        <v/>
      </c>
      <c r="F52" s="68">
        <f>F50-F51</f>
        <v/>
      </c>
      <c r="G52" s="68">
        <f>G50-G51</f>
        <v/>
      </c>
      <c r="H52" s="68">
        <f>H50-H51</f>
        <v/>
      </c>
      <c r="I52" s="68">
        <f>I50-I51</f>
        <v/>
      </c>
      <c r="J52" s="68">
        <f>J50-J51</f>
        <v/>
      </c>
      <c r="K52" s="68">
        <f>K50-K51</f>
        <v/>
      </c>
      <c r="L52" s="68">
        <f>L50-L51</f>
        <v/>
      </c>
      <c r="M52" s="68">
        <f>M50-M51</f>
        <v/>
      </c>
      <c r="N52" s="68">
        <f>N50-N51</f>
        <v/>
      </c>
      <c r="O52" s="69">
        <f>O50-O51</f>
        <v/>
      </c>
      <c r="P52" s="320">
        <f>SUM(D52:O52)</f>
        <v/>
      </c>
      <c r="Q52" s="1178">
        <f>IF(P50=0,0,P52/P50)</f>
        <v/>
      </c>
      <c r="R52" s="1179" t="inlineStr">
        <is>
          <t xml:space="preserve"> </t>
        </is>
      </c>
      <c r="S52" s="921" t="n"/>
      <c r="T52" s="1188" t="n"/>
      <c r="AA52" s="707" t="n"/>
    </row>
    <row r="53" ht="19" customHeight="1" thickBot="1">
      <c r="B53" s="1202" t="n"/>
      <c r="C53" s="1203" t="inlineStr">
        <is>
          <t xml:space="preserve"> </t>
        </is>
      </c>
      <c r="D53" s="711" t="n"/>
      <c r="E53" s="711" t="n"/>
      <c r="F53" s="711" t="n"/>
      <c r="G53" s="711" t="n"/>
      <c r="H53" s="711" t="n"/>
      <c r="I53" s="711" t="n"/>
      <c r="J53" s="711" t="n"/>
      <c r="K53" s="711" t="n"/>
      <c r="L53" s="711" t="n"/>
      <c r="M53" s="711" t="n"/>
      <c r="N53" s="711" t="n"/>
      <c r="O53" s="711" t="n"/>
      <c r="P53" s="711" t="n"/>
      <c r="Q53" s="711" t="n"/>
      <c r="R53" s="1204" t="n"/>
      <c r="S53" s="921" t="n"/>
      <c r="T53" s="1188" t="n"/>
      <c r="AA53" s="707" t="n"/>
    </row>
    <row r="54" ht="19" customHeight="1" thickBot="1">
      <c r="B54" s="1163" t="inlineStr">
        <is>
          <t>Pharma</t>
        </is>
      </c>
      <c r="C54" s="1205">
        <f>C16</f>
        <v/>
      </c>
      <c r="R54" s="1191" t="n"/>
      <c r="S54" s="921" t="n"/>
      <c r="T54" s="1188" t="n"/>
      <c r="AA54" s="707" t="n"/>
    </row>
    <row r="55" ht="19" customHeight="1" thickBot="1">
      <c r="B55" s="1169" t="n"/>
      <c r="C55" s="116" t="inlineStr">
        <is>
          <t>Licences Sold</t>
        </is>
      </c>
      <c r="D55" s="1170" t="n">
        <v>200</v>
      </c>
      <c r="E55" s="1170" t="n">
        <v>225</v>
      </c>
      <c r="F55" s="1170" t="n">
        <v>230</v>
      </c>
      <c r="G55" s="1170" t="n">
        <v>240</v>
      </c>
      <c r="H55" s="1170" t="n">
        <v>245</v>
      </c>
      <c r="I55" s="1170" t="n">
        <v>250</v>
      </c>
      <c r="J55" s="1170" t="n">
        <v>255</v>
      </c>
      <c r="K55" s="1170" t="n">
        <v>260</v>
      </c>
      <c r="L55" s="1170" t="n">
        <v>265</v>
      </c>
      <c r="M55" s="1170" t="n">
        <v>275</v>
      </c>
      <c r="N55" s="1170" t="n">
        <v>280</v>
      </c>
      <c r="O55" s="1170" t="n">
        <v>285</v>
      </c>
      <c r="P55" s="1171">
        <f>O55</f>
        <v/>
      </c>
      <c r="Q55" s="323" t="n"/>
      <c r="R55" s="324" t="n"/>
      <c r="S55" s="903" t="n">
        <v>0.03</v>
      </c>
      <c r="T55" s="1206" t="n"/>
      <c r="U55" s="711" t="n"/>
      <c r="V55" s="711" t="n"/>
      <c r="W55" s="711" t="n"/>
      <c r="X55" s="711" t="n"/>
      <c r="Y55" s="711" t="n"/>
      <c r="Z55" s="711" t="n"/>
      <c r="AA55" s="1204" t="n"/>
    </row>
    <row r="56" hidden="1" ht="18" customHeight="1">
      <c r="B56" s="1169" t="n"/>
      <c r="C56" s="906" t="n"/>
      <c r="D56" s="1173">
        <f>D55*$S$55</f>
        <v/>
      </c>
      <c r="E56" s="1173">
        <f>E55*$S$55</f>
        <v/>
      </c>
      <c r="F56" s="1173">
        <f>F55*$S$55</f>
        <v/>
      </c>
      <c r="G56" s="1173">
        <f>G55*$S$55</f>
        <v/>
      </c>
      <c r="H56" s="1173">
        <f>H55*$S$55</f>
        <v/>
      </c>
      <c r="I56" s="1173">
        <f>I55*$S$55</f>
        <v/>
      </c>
      <c r="J56" s="1173">
        <f>J55*$S$55</f>
        <v/>
      </c>
      <c r="K56" s="1173">
        <f>K55*$S$55</f>
        <v/>
      </c>
      <c r="L56" s="1173">
        <f>L55*$S$55</f>
        <v/>
      </c>
      <c r="M56" s="1173">
        <f>M55*$S$55</f>
        <v/>
      </c>
      <c r="N56" s="1173">
        <f>N55*$S$55</f>
        <v/>
      </c>
      <c r="O56" s="1173">
        <f>O55*$S$55</f>
        <v/>
      </c>
      <c r="P56" s="1174" t="n"/>
      <c r="Q56" s="909" t="n"/>
      <c r="R56" s="910" t="n"/>
      <c r="S56" s="903" t="n"/>
      <c r="T56" s="959" t="n"/>
      <c r="U56" s="959" t="n"/>
      <c r="V56" s="959" t="n"/>
      <c r="W56" s="959" t="n"/>
      <c r="X56" s="959" t="n"/>
      <c r="Y56" s="959" t="n"/>
      <c r="Z56" s="959" t="n"/>
      <c r="AA56" s="959" t="n"/>
    </row>
    <row r="57" ht="18" customHeight="1">
      <c r="B57" s="1169" t="n"/>
      <c r="C57" s="117" t="inlineStr">
        <is>
          <t>Total Sales</t>
        </is>
      </c>
      <c r="D57" s="194">
        <f>(D55-D56)*$D$16</f>
        <v/>
      </c>
      <c r="E57" s="194">
        <f>(E55-E56)*$D$16</f>
        <v/>
      </c>
      <c r="F57" s="194">
        <f>(F55-F56)*$D$16</f>
        <v/>
      </c>
      <c r="G57" s="194">
        <f>(G55-G56)*$D$16</f>
        <v/>
      </c>
      <c r="H57" s="194">
        <f>(H55-H56)*$D$16</f>
        <v/>
      </c>
      <c r="I57" s="194">
        <f>(I55-I56)*$D$16</f>
        <v/>
      </c>
      <c r="J57" s="194">
        <f>(J55-J56)*$D$16</f>
        <v/>
      </c>
      <c r="K57" s="194">
        <f>(K55-K56)*$D$16</f>
        <v/>
      </c>
      <c r="L57" s="194">
        <f>(L55-L56)*$D$16</f>
        <v/>
      </c>
      <c r="M57" s="194">
        <f>(M55-M56)*$D$16</f>
        <v/>
      </c>
      <c r="N57" s="194">
        <f>(N55-N56)*$D$16</f>
        <v/>
      </c>
      <c r="O57" s="194">
        <f>(O55-O56)*$D$16</f>
        <v/>
      </c>
      <c r="P57" s="319">
        <f>SUM(D57:O57)</f>
        <v/>
      </c>
      <c r="Q57" s="1175">
        <f>(Q58+Q59)</f>
        <v/>
      </c>
      <c r="R57" s="1176" t="inlineStr">
        <is>
          <t xml:space="preserve"> </t>
        </is>
      </c>
      <c r="S57" s="921" t="n"/>
    </row>
    <row r="58" ht="18" customHeight="1">
      <c r="B58" s="1169" t="n"/>
      <c r="C58" s="118" t="inlineStr">
        <is>
          <t>Total COGS</t>
        </is>
      </c>
      <c r="D58" s="193">
        <f>D55*$E$16</f>
        <v/>
      </c>
      <c r="E58" s="193">
        <f>E55*$E$16</f>
        <v/>
      </c>
      <c r="F58" s="193">
        <f>F55*$E$16</f>
        <v/>
      </c>
      <c r="G58" s="193">
        <f>G55*$E$16</f>
        <v/>
      </c>
      <c r="H58" s="193">
        <f>H55*$E$16</f>
        <v/>
      </c>
      <c r="I58" s="193">
        <f>I55*$E$16</f>
        <v/>
      </c>
      <c r="J58" s="193">
        <f>J55*$E$16</f>
        <v/>
      </c>
      <c r="K58" s="193">
        <f>K55*$E$16</f>
        <v/>
      </c>
      <c r="L58" s="193">
        <f>L55*$E$16</f>
        <v/>
      </c>
      <c r="M58" s="193">
        <f>M55*$E$16</f>
        <v/>
      </c>
      <c r="N58" s="193">
        <f>N55*$E$16</f>
        <v/>
      </c>
      <c r="O58" s="273">
        <f>O55*$E$16</f>
        <v/>
      </c>
      <c r="P58" s="320">
        <f>SUM(D58:O58)</f>
        <v/>
      </c>
      <c r="Q58" s="1178">
        <f>IF(P57=0,0,P58/P57)</f>
        <v/>
      </c>
      <c r="R58" s="1179" t="inlineStr">
        <is>
          <t xml:space="preserve"> </t>
        </is>
      </c>
      <c r="S58" s="921" t="n"/>
    </row>
    <row r="59" ht="19" customHeight="1" thickBot="1">
      <c r="B59" s="1169" t="n"/>
      <c r="C59" s="119" t="inlineStr">
        <is>
          <t>Total Margin</t>
        </is>
      </c>
      <c r="D59" s="68">
        <f>D57-D58</f>
        <v/>
      </c>
      <c r="E59" s="68">
        <f>E57-E58</f>
        <v/>
      </c>
      <c r="F59" s="68">
        <f>F57-F58</f>
        <v/>
      </c>
      <c r="G59" s="68">
        <f>G57-G58</f>
        <v/>
      </c>
      <c r="H59" s="68">
        <f>H57-H58</f>
        <v/>
      </c>
      <c r="I59" s="68">
        <f>I57-I58</f>
        <v/>
      </c>
      <c r="J59" s="68">
        <f>J57-J58</f>
        <v/>
      </c>
      <c r="K59" s="68">
        <f>K57-K58</f>
        <v/>
      </c>
      <c r="L59" s="68">
        <f>L57-L58</f>
        <v/>
      </c>
      <c r="M59" s="68">
        <f>M57-M58</f>
        <v/>
      </c>
      <c r="N59" s="68">
        <f>N57-N58</f>
        <v/>
      </c>
      <c r="O59" s="69">
        <f>O57-O58</f>
        <v/>
      </c>
      <c r="P59" s="321">
        <f>SUM(D59:O59)</f>
        <v/>
      </c>
      <c r="Q59" s="1181">
        <f>IF(P57=0,0,P59/P57)</f>
        <v/>
      </c>
      <c r="R59" s="1182" t="inlineStr">
        <is>
          <t xml:space="preserve"> </t>
        </is>
      </c>
      <c r="S59" s="921" t="n"/>
    </row>
    <row r="60" ht="18" customHeight="1">
      <c r="B60" s="1169" t="n"/>
      <c r="C60" s="1207" t="n"/>
      <c r="R60" s="1191" t="n"/>
      <c r="S60" s="921" t="n"/>
    </row>
    <row r="61" ht="19" customHeight="1" thickBot="1">
      <c r="B61" s="1169" t="n"/>
      <c r="C61" s="1185">
        <f>C17</f>
        <v/>
      </c>
      <c r="R61" s="707" t="n"/>
      <c r="S61" s="921" t="n"/>
    </row>
    <row r="62" ht="19" customHeight="1" thickBot="1">
      <c r="B62" s="1169" t="n"/>
      <c r="C62" s="116" t="inlineStr">
        <is>
          <t>Licences Sold</t>
        </is>
      </c>
      <c r="D62" s="1170" t="n">
        <v>10</v>
      </c>
      <c r="E62" s="1170" t="n">
        <v>10</v>
      </c>
      <c r="F62" s="1170" t="n">
        <v>25</v>
      </c>
      <c r="G62" s="1170" t="n">
        <v>30</v>
      </c>
      <c r="H62" s="1170" t="n">
        <v>35</v>
      </c>
      <c r="I62" s="1170" t="n">
        <v>40</v>
      </c>
      <c r="J62" s="1170" t="n">
        <v>40</v>
      </c>
      <c r="K62" s="1170" t="n">
        <v>40</v>
      </c>
      <c r="L62" s="1170" t="n">
        <v>40</v>
      </c>
      <c r="M62" s="1170" t="n">
        <v>45</v>
      </c>
      <c r="N62" s="1170" t="n">
        <v>50</v>
      </c>
      <c r="O62" s="1170" t="n">
        <v>50</v>
      </c>
      <c r="P62" s="1187">
        <f>O62</f>
        <v/>
      </c>
      <c r="Q62" s="72" t="n"/>
      <c r="R62" s="318" t="n"/>
      <c r="S62" s="903" t="n">
        <v>0.03</v>
      </c>
    </row>
    <row r="63" hidden="1" ht="18" customHeight="1">
      <c r="B63" s="1169" t="n"/>
      <c r="C63" s="906" t="n"/>
      <c r="D63" s="1173">
        <f>D62*$S$62</f>
        <v/>
      </c>
      <c r="E63" s="1173">
        <f>E62*$S$62</f>
        <v/>
      </c>
      <c r="F63" s="1173">
        <f>F62*$S$62</f>
        <v/>
      </c>
      <c r="G63" s="1173">
        <f>G62*$S$62</f>
        <v/>
      </c>
      <c r="H63" s="1173">
        <f>H62*$S$62</f>
        <v/>
      </c>
      <c r="I63" s="1173">
        <f>I62*$S$62</f>
        <v/>
      </c>
      <c r="J63" s="1173">
        <f>J62*$S$62</f>
        <v/>
      </c>
      <c r="K63" s="1173">
        <f>K62*$S$62</f>
        <v/>
      </c>
      <c r="L63" s="1173">
        <f>L62*$S$62</f>
        <v/>
      </c>
      <c r="M63" s="1173">
        <f>M62*$S$62</f>
        <v/>
      </c>
      <c r="N63" s="1173">
        <f>N62*$S$62</f>
        <v/>
      </c>
      <c r="O63" s="1173">
        <f>O62*$S$62</f>
        <v/>
      </c>
      <c r="P63" s="1174" t="n"/>
      <c r="Q63" s="909" t="n"/>
      <c r="R63" s="910" t="n"/>
      <c r="S63" s="903" t="n"/>
    </row>
    <row r="64" ht="18" customHeight="1">
      <c r="B64" s="1169" t="n"/>
      <c r="C64" s="117" t="inlineStr">
        <is>
          <t>Total Sales</t>
        </is>
      </c>
      <c r="D64" s="194">
        <f>(D62-D63)*$D$17</f>
        <v/>
      </c>
      <c r="E64" s="194">
        <f>(E62-E63)*$D$17</f>
        <v/>
      </c>
      <c r="F64" s="194">
        <f>(F62-F63)*$D$17</f>
        <v/>
      </c>
      <c r="G64" s="194">
        <f>(G62-G63)*$D$17</f>
        <v/>
      </c>
      <c r="H64" s="194">
        <f>(H62-H63)*$D$17</f>
        <v/>
      </c>
      <c r="I64" s="194">
        <f>(I62-I63)*$D$17</f>
        <v/>
      </c>
      <c r="J64" s="194">
        <f>(J62-J63)*$D$17</f>
        <v/>
      </c>
      <c r="K64" s="194">
        <f>(K62-K63)*$D$17</f>
        <v/>
      </c>
      <c r="L64" s="194">
        <f>(L62-L63)*$D$17</f>
        <v/>
      </c>
      <c r="M64" s="194">
        <f>(M62-M63)*$D$17</f>
        <v/>
      </c>
      <c r="N64" s="194">
        <f>(N62-N63)*$D$17</f>
        <v/>
      </c>
      <c r="O64" s="194">
        <f>(O62-O63)*$D$17</f>
        <v/>
      </c>
      <c r="P64" s="319">
        <f>SUM(D64:O64)</f>
        <v/>
      </c>
      <c r="Q64" s="1175">
        <f>(Q65+Q66)</f>
        <v/>
      </c>
      <c r="R64" s="1176" t="inlineStr">
        <is>
          <t xml:space="preserve"> </t>
        </is>
      </c>
      <c r="S64" s="921" t="n"/>
    </row>
    <row r="65" ht="18" customHeight="1">
      <c r="B65" s="1169" t="n"/>
      <c r="C65" s="118" t="inlineStr">
        <is>
          <t>Total COGS</t>
        </is>
      </c>
      <c r="D65" s="193">
        <f>D62*$E$17</f>
        <v/>
      </c>
      <c r="E65" s="193">
        <f>E62*$E$17</f>
        <v/>
      </c>
      <c r="F65" s="193">
        <f>F62*$E$17</f>
        <v/>
      </c>
      <c r="G65" s="193">
        <f>G62*$E$17</f>
        <v/>
      </c>
      <c r="H65" s="193">
        <f>H62*$E$17</f>
        <v/>
      </c>
      <c r="I65" s="193">
        <f>I62*$E$17</f>
        <v/>
      </c>
      <c r="J65" s="193">
        <f>J62*$E$17</f>
        <v/>
      </c>
      <c r="K65" s="193">
        <f>K62*$E$17</f>
        <v/>
      </c>
      <c r="L65" s="193">
        <f>L62*$E$17</f>
        <v/>
      </c>
      <c r="M65" s="193">
        <f>M62*$E$17</f>
        <v/>
      </c>
      <c r="N65" s="193">
        <f>N62*$E$17</f>
        <v/>
      </c>
      <c r="O65" s="273">
        <f>O62*$E$17</f>
        <v/>
      </c>
      <c r="P65" s="320">
        <f>SUM(D65:O65)</f>
        <v/>
      </c>
      <c r="Q65" s="1178">
        <f>IF(P64=0,0,P65/P64)</f>
        <v/>
      </c>
      <c r="R65" s="1179" t="inlineStr">
        <is>
          <t xml:space="preserve"> </t>
        </is>
      </c>
      <c r="S65" s="921" t="n"/>
    </row>
    <row r="66" ht="19" customHeight="1" thickBot="1">
      <c r="B66" s="1169" t="n"/>
      <c r="C66" s="119" t="inlineStr">
        <is>
          <t>Total Margin</t>
        </is>
      </c>
      <c r="D66" s="68">
        <f>D64-D65</f>
        <v/>
      </c>
      <c r="E66" s="68">
        <f>E64-E65</f>
        <v/>
      </c>
      <c r="F66" s="68">
        <f>F64-F65</f>
        <v/>
      </c>
      <c r="G66" s="68">
        <f>G64-G65</f>
        <v/>
      </c>
      <c r="H66" s="68">
        <f>H64-H65</f>
        <v/>
      </c>
      <c r="I66" s="68">
        <f>I64-I65</f>
        <v/>
      </c>
      <c r="J66" s="68">
        <f>J64-J65</f>
        <v/>
      </c>
      <c r="K66" s="68">
        <f>K64-K65</f>
        <v/>
      </c>
      <c r="L66" s="68">
        <f>L64-L65</f>
        <v/>
      </c>
      <c r="M66" s="68">
        <f>M64-M65</f>
        <v/>
      </c>
      <c r="N66" s="68">
        <f>N64-N65</f>
        <v/>
      </c>
      <c r="O66" s="69">
        <f>O64-O65</f>
        <v/>
      </c>
      <c r="P66" s="321">
        <f>SUM(D66:O66)</f>
        <v/>
      </c>
      <c r="Q66" s="1181">
        <f>IF(P64=0,0,P66/P64)</f>
        <v/>
      </c>
      <c r="R66" s="1182" t="inlineStr">
        <is>
          <t xml:space="preserve"> </t>
        </is>
      </c>
      <c r="S66" s="921" t="n"/>
    </row>
    <row r="67" ht="19" customHeight="1" thickBot="1">
      <c r="B67" s="1189" t="n"/>
      <c r="C67" s="101" t="n"/>
      <c r="D67" s="340" t="n"/>
      <c r="E67" s="340" t="n"/>
      <c r="F67" s="340" t="n"/>
      <c r="G67" s="340" t="n"/>
      <c r="H67" s="340" t="n"/>
      <c r="I67" s="340" t="n"/>
      <c r="J67" s="340" t="n"/>
      <c r="K67" s="340" t="n"/>
      <c r="L67" s="340" t="n"/>
      <c r="M67" s="340" t="n"/>
      <c r="N67" s="340" t="n"/>
      <c r="O67" s="340" t="n"/>
      <c r="P67" s="103" t="n"/>
      <c r="Q67" s="1208" t="n"/>
      <c r="R67" s="1209" t="inlineStr">
        <is>
          <t xml:space="preserve"> </t>
        </is>
      </c>
      <c r="S67" s="921" t="n"/>
    </row>
    <row r="68" ht="19" customHeight="1" thickBot="1">
      <c r="B68" s="1012" t="inlineStr">
        <is>
          <t>Start ups</t>
        </is>
      </c>
      <c r="C68" s="1193">
        <f>C18</f>
        <v/>
      </c>
      <c r="D68" s="1145" t="n"/>
      <c r="E68" s="1145" t="n"/>
      <c r="F68" s="1145" t="n"/>
      <c r="G68" s="1145" t="n"/>
      <c r="H68" s="1145" t="n"/>
      <c r="I68" s="1145" t="n"/>
      <c r="J68" s="1145" t="n"/>
      <c r="K68" s="1145" t="n"/>
      <c r="L68" s="1145" t="n"/>
      <c r="M68" s="1145" t="n"/>
      <c r="N68" s="1145" t="n"/>
      <c r="O68" s="1145" t="n"/>
      <c r="P68" s="1145" t="n"/>
      <c r="Q68" s="1145" t="n"/>
      <c r="R68" s="705" t="n"/>
      <c r="S68" s="921" t="n"/>
    </row>
    <row r="69" ht="19" customHeight="1" thickBot="1">
      <c r="B69" s="1194" t="n"/>
      <c r="C69" s="325" t="inlineStr">
        <is>
          <t>Licences Sold</t>
        </is>
      </c>
      <c r="D69" s="1170" t="n">
        <v>320</v>
      </c>
      <c r="E69" s="1170" t="n">
        <v>325</v>
      </c>
      <c r="F69" s="1170" t="n">
        <v>330</v>
      </c>
      <c r="G69" s="1170" t="n">
        <v>335</v>
      </c>
      <c r="H69" s="1170" t="n">
        <v>340</v>
      </c>
      <c r="I69" s="1170" t="n">
        <v>350</v>
      </c>
      <c r="J69" s="1170" t="n">
        <v>360</v>
      </c>
      <c r="K69" s="1170" t="n">
        <v>375</v>
      </c>
      <c r="L69" s="1170" t="n">
        <v>380</v>
      </c>
      <c r="M69" s="1170" t="n">
        <v>390</v>
      </c>
      <c r="N69" s="1170" t="n">
        <v>400</v>
      </c>
      <c r="O69" s="1170" t="n">
        <v>410</v>
      </c>
      <c r="P69" s="1187">
        <f>O69</f>
        <v/>
      </c>
      <c r="Q69" s="72" t="n"/>
      <c r="R69" s="318" t="n"/>
      <c r="S69" s="903" t="n">
        <v>0.05</v>
      </c>
    </row>
    <row r="70" hidden="1" ht="18" customHeight="1">
      <c r="B70" s="1194" t="n"/>
      <c r="C70" s="911" t="n"/>
      <c r="D70" s="1173">
        <f>D69*$S$69</f>
        <v/>
      </c>
      <c r="E70" s="1173">
        <f>E69*$S$69</f>
        <v/>
      </c>
      <c r="F70" s="1173">
        <f>F69*$S$69</f>
        <v/>
      </c>
      <c r="G70" s="1173">
        <f>G69*$S$69</f>
        <v/>
      </c>
      <c r="H70" s="1173">
        <f>H69*$S$69</f>
        <v/>
      </c>
      <c r="I70" s="1173">
        <f>I69*$S$69</f>
        <v/>
      </c>
      <c r="J70" s="1173">
        <f>J69*$S$69</f>
        <v/>
      </c>
      <c r="K70" s="1173">
        <f>K69*$S$69</f>
        <v/>
      </c>
      <c r="L70" s="1173">
        <f>L69*$S$69</f>
        <v/>
      </c>
      <c r="M70" s="1173">
        <f>M69*$S$69</f>
        <v/>
      </c>
      <c r="N70" s="1173">
        <f>N69*$S$69</f>
        <v/>
      </c>
      <c r="O70" s="1173">
        <f>O69*$S$69</f>
        <v/>
      </c>
      <c r="P70" s="1174" t="n"/>
      <c r="Q70" s="909" t="n"/>
      <c r="R70" s="910" t="n"/>
      <c r="S70" s="903" t="n"/>
    </row>
    <row r="71" ht="18" customHeight="1">
      <c r="B71" s="1194" t="n"/>
      <c r="C71" s="297" t="inlineStr">
        <is>
          <t>Total Sales</t>
        </is>
      </c>
      <c r="D71" s="194">
        <f>(D69-D70)*$D$18</f>
        <v/>
      </c>
      <c r="E71" s="194">
        <f>(E69-E70)*$D$18</f>
        <v/>
      </c>
      <c r="F71" s="194">
        <f>(F69-F70)*$D$18</f>
        <v/>
      </c>
      <c r="G71" s="194">
        <f>(G69-G70)*$D$18</f>
        <v/>
      </c>
      <c r="H71" s="194">
        <f>(H69-H70)*$D$18</f>
        <v/>
      </c>
      <c r="I71" s="194">
        <f>(I69-I70)*$D$18</f>
        <v/>
      </c>
      <c r="J71" s="194">
        <f>(J69-J70)*$D$18</f>
        <v/>
      </c>
      <c r="K71" s="194">
        <f>(K69-K70)*$D$18</f>
        <v/>
      </c>
      <c r="L71" s="194">
        <f>(L69-L70)*$D$18</f>
        <v/>
      </c>
      <c r="M71" s="194">
        <f>(M69-M70)*$D$18</f>
        <v/>
      </c>
      <c r="N71" s="194">
        <f>(N69-N70)*$D$18</f>
        <v/>
      </c>
      <c r="O71" s="194">
        <f>(O69-O70)*$D$18</f>
        <v/>
      </c>
      <c r="P71" s="319">
        <f>SUM(D71:O71)</f>
        <v/>
      </c>
      <c r="Q71" s="1175">
        <f>(Q72+Q73)</f>
        <v/>
      </c>
      <c r="R71" s="1176" t="inlineStr">
        <is>
          <t xml:space="preserve"> </t>
        </is>
      </c>
    </row>
    <row r="72" ht="18" customHeight="1">
      <c r="B72" s="1194" t="n"/>
      <c r="C72" s="299" t="inlineStr">
        <is>
          <t>Total COGS</t>
        </is>
      </c>
      <c r="D72" s="193">
        <f>D69*$E$18</f>
        <v/>
      </c>
      <c r="E72" s="193">
        <f>E69*$E$18</f>
        <v/>
      </c>
      <c r="F72" s="193">
        <f>F69*$E$18</f>
        <v/>
      </c>
      <c r="G72" s="193">
        <f>G69*$E$18</f>
        <v/>
      </c>
      <c r="H72" s="193">
        <f>H69*$E$18</f>
        <v/>
      </c>
      <c r="I72" s="193">
        <f>I69*$E$18</f>
        <v/>
      </c>
      <c r="J72" s="193">
        <f>J69*$E$18</f>
        <v/>
      </c>
      <c r="K72" s="193">
        <f>K69*$E$18</f>
        <v/>
      </c>
      <c r="L72" s="193">
        <f>L69*$E$18</f>
        <v/>
      </c>
      <c r="M72" s="193">
        <f>M69*$E$18</f>
        <v/>
      </c>
      <c r="N72" s="193">
        <f>N69*$E$18</f>
        <v/>
      </c>
      <c r="O72" s="273">
        <f>O69*$E$18</f>
        <v/>
      </c>
      <c r="P72" s="320">
        <f>SUM(D72:O72)</f>
        <v/>
      </c>
      <c r="Q72" s="1178">
        <f>IF(P71=0,0,P72/P71)</f>
        <v/>
      </c>
      <c r="R72" s="1179" t="inlineStr">
        <is>
          <t xml:space="preserve"> </t>
        </is>
      </c>
    </row>
    <row r="73" ht="19" customHeight="1" thickBot="1">
      <c r="B73" s="1194" t="n"/>
      <c r="C73" s="326" t="inlineStr">
        <is>
          <t>Total Margin</t>
        </is>
      </c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9">
        <f>O71-O72</f>
        <v/>
      </c>
      <c r="P73" s="321">
        <f>SUM(D73:O73)</f>
        <v/>
      </c>
      <c r="Q73" s="1181">
        <f>IF(P71=0,0,P73/P71)</f>
        <v/>
      </c>
      <c r="R73" s="1182" t="inlineStr">
        <is>
          <t xml:space="preserve"> </t>
        </is>
      </c>
    </row>
    <row r="74" ht="18" customHeight="1">
      <c r="B74" s="1194" t="n"/>
      <c r="C74" s="1211" t="n"/>
      <c r="R74" s="707" t="n"/>
    </row>
    <row r="75" ht="19" customHeight="1" thickBot="1">
      <c r="B75" s="1194" t="n"/>
      <c r="C75" s="1197">
        <f>C19</f>
        <v/>
      </c>
      <c r="R75" s="707" t="n"/>
    </row>
    <row r="76" ht="19" customHeight="1" thickBot="1">
      <c r="B76" s="1194" t="n"/>
      <c r="C76" s="325" t="inlineStr">
        <is>
          <t>Licences Sold</t>
        </is>
      </c>
      <c r="D76" s="1170" t="n">
        <v>0</v>
      </c>
      <c r="E76" s="1170" t="n">
        <v>0</v>
      </c>
      <c r="F76" s="1170" t="n">
        <v>0</v>
      </c>
      <c r="G76" s="1170" t="n">
        <v>0</v>
      </c>
      <c r="H76" s="1170" t="n">
        <v>0</v>
      </c>
      <c r="I76" s="1170" t="n">
        <v>0</v>
      </c>
      <c r="J76" s="1170" t="n">
        <v>0</v>
      </c>
      <c r="K76" s="1170" t="n">
        <v>0</v>
      </c>
      <c r="L76" s="1170" t="n">
        <v>0</v>
      </c>
      <c r="M76" s="1170" t="n">
        <v>0</v>
      </c>
      <c r="N76" s="1170" t="n">
        <v>0</v>
      </c>
      <c r="O76" s="1170" t="n">
        <v>0</v>
      </c>
      <c r="P76" s="1187">
        <f>O76</f>
        <v/>
      </c>
      <c r="Q76" s="72" t="n"/>
      <c r="R76" s="318" t="n"/>
      <c r="S76" s="903" t="n">
        <v>0.05</v>
      </c>
    </row>
    <row r="77" hidden="1" ht="18" customHeight="1">
      <c r="B77" s="1194" t="n"/>
      <c r="C77" s="911" t="n"/>
      <c r="D77" s="1173">
        <f>D76*$S$76</f>
        <v/>
      </c>
      <c r="E77" s="1173">
        <f>E76*$S$76</f>
        <v/>
      </c>
      <c r="F77" s="1173">
        <f>F76*$S$76</f>
        <v/>
      </c>
      <c r="G77" s="1173">
        <f>G76*$S$76</f>
        <v/>
      </c>
      <c r="H77" s="1173">
        <f>H76*$S$76</f>
        <v/>
      </c>
      <c r="I77" s="1173">
        <f>I76*$S$76</f>
        <v/>
      </c>
      <c r="J77" s="1173">
        <f>J76*$S$76</f>
        <v/>
      </c>
      <c r="K77" s="1173">
        <f>K76*$S$76</f>
        <v/>
      </c>
      <c r="L77" s="1173">
        <f>L76*$S$76</f>
        <v/>
      </c>
      <c r="M77" s="1173">
        <f>M76*$S$76</f>
        <v/>
      </c>
      <c r="N77" s="1173">
        <f>N76*$S$76</f>
        <v/>
      </c>
      <c r="O77" s="1173">
        <f>O76*$S$76</f>
        <v/>
      </c>
      <c r="P77" s="1174" t="n"/>
      <c r="Q77" s="909" t="n"/>
      <c r="R77" s="910" t="n"/>
    </row>
    <row r="78" ht="18" customHeight="1">
      <c r="B78" s="1194" t="n"/>
      <c r="C78" s="297" t="inlineStr">
        <is>
          <t>Total Sales</t>
        </is>
      </c>
      <c r="D78" s="194">
        <f>(D76-D77)*$D$19</f>
        <v/>
      </c>
      <c r="E78" s="194">
        <f>(E76-E77)*$D$19</f>
        <v/>
      </c>
      <c r="F78" s="194">
        <f>(F76-F77)*$D$19</f>
        <v/>
      </c>
      <c r="G78" s="194">
        <f>(G76-G77)*$D$19</f>
        <v/>
      </c>
      <c r="H78" s="194">
        <f>(H76-H77)*$D$19</f>
        <v/>
      </c>
      <c r="I78" s="194">
        <f>(I76-I77)*$D$19</f>
        <v/>
      </c>
      <c r="J78" s="194">
        <f>(J76-J77)*$D$19</f>
        <v/>
      </c>
      <c r="K78" s="194">
        <f>(K76-K77)*$D$19</f>
        <v/>
      </c>
      <c r="L78" s="194">
        <f>(L76-L77)*$D$19</f>
        <v/>
      </c>
      <c r="M78" s="194">
        <f>(M76-M77)*$D$19</f>
        <v/>
      </c>
      <c r="N78" s="194">
        <f>(N76-N77)*$D$19</f>
        <v/>
      </c>
      <c r="O78" s="194">
        <f>(O76-O77)*$D$19</f>
        <v/>
      </c>
      <c r="P78" s="319">
        <f>SUM(D78:O78)</f>
        <v/>
      </c>
      <c r="Q78" s="1175">
        <f>(Q79+Q80)</f>
        <v/>
      </c>
      <c r="R78" s="1176" t="inlineStr">
        <is>
          <t xml:space="preserve"> </t>
        </is>
      </c>
    </row>
    <row r="79" ht="18" customHeight="1">
      <c r="B79" s="1194" t="n"/>
      <c r="C79" s="299" t="inlineStr">
        <is>
          <t>Total COGS</t>
        </is>
      </c>
      <c r="D79" s="193">
        <f>D76*$E$19</f>
        <v/>
      </c>
      <c r="E79" s="193">
        <f>E76*$E$19</f>
        <v/>
      </c>
      <c r="F79" s="193">
        <f>F76*$E$19</f>
        <v/>
      </c>
      <c r="G79" s="193">
        <f>G76*$E$19</f>
        <v/>
      </c>
      <c r="H79" s="193">
        <f>H76*$E$19</f>
        <v/>
      </c>
      <c r="I79" s="193">
        <f>I76*$E$19</f>
        <v/>
      </c>
      <c r="J79" s="193">
        <f>J76*$E$19</f>
        <v/>
      </c>
      <c r="K79" s="193">
        <f>K76*$E$19</f>
        <v/>
      </c>
      <c r="L79" s="193">
        <f>L76*$E$19</f>
        <v/>
      </c>
      <c r="M79" s="193">
        <f>M76*$E$19</f>
        <v/>
      </c>
      <c r="N79" s="193">
        <f>N76*$E$19</f>
        <v/>
      </c>
      <c r="O79" s="273">
        <f>O76*$E$19</f>
        <v/>
      </c>
      <c r="P79" s="320">
        <f>SUM(D79:O79)</f>
        <v/>
      </c>
      <c r="Q79" s="1178">
        <f>IF(P78=0,0,P79/P78)</f>
        <v/>
      </c>
      <c r="R79" s="1179" t="inlineStr">
        <is>
          <t xml:space="preserve"> </t>
        </is>
      </c>
    </row>
    <row r="80" ht="19" customHeight="1" thickBot="1">
      <c r="B80" s="1194" t="n"/>
      <c r="C80" s="301" t="inlineStr">
        <is>
          <t>Total Margin</t>
        </is>
      </c>
      <c r="D80" s="308">
        <f>D78-D79</f>
        <v/>
      </c>
      <c r="E80" s="308">
        <f>E78-E79</f>
        <v/>
      </c>
      <c r="F80" s="308">
        <f>F78-F79</f>
        <v/>
      </c>
      <c r="G80" s="308">
        <f>G78-G79</f>
        <v/>
      </c>
      <c r="H80" s="308">
        <f>H78-H79</f>
        <v/>
      </c>
      <c r="I80" s="308">
        <f>I78-I79</f>
        <v/>
      </c>
      <c r="J80" s="308">
        <f>J78-J79</f>
        <v/>
      </c>
      <c r="K80" s="308">
        <f>K78-K79</f>
        <v/>
      </c>
      <c r="L80" s="308">
        <f>L78-L79</f>
        <v/>
      </c>
      <c r="M80" s="308">
        <f>M78-M79</f>
        <v/>
      </c>
      <c r="N80" s="308">
        <f>N78-N79</f>
        <v/>
      </c>
      <c r="O80" s="532">
        <f>O78-O79</f>
        <v/>
      </c>
      <c r="P80" s="321">
        <f>SUM(D80:O80)</f>
        <v/>
      </c>
      <c r="Q80" s="1181">
        <f>IF(P78=0,0,P80/P78)</f>
        <v/>
      </c>
      <c r="R80" s="1182" t="inlineStr">
        <is>
          <t xml:space="preserve"> </t>
        </is>
      </c>
    </row>
    <row r="81">
      <c r="B81" s="1018" t="inlineStr">
        <is>
          <t xml:space="preserve"> </t>
        </is>
      </c>
    </row>
    <row r="82">
      <c r="B82" s="129" t="n"/>
      <c r="C82" s="207" t="n"/>
      <c r="D82" s="207" t="n"/>
      <c r="E82" s="207" t="n"/>
      <c r="F82" s="207" t="n"/>
      <c r="G82" s="207" t="inlineStr">
        <is>
          <t xml:space="preserve"> </t>
        </is>
      </c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</row>
    <row r="83" ht="19" customHeight="1" thickBot="1">
      <c r="B83" s="1005" t="inlineStr">
        <is>
          <t>Consultancy / Training</t>
        </is>
      </c>
      <c r="C83" s="1185">
        <f>C21</f>
        <v/>
      </c>
      <c r="R83" s="707" t="n"/>
    </row>
    <row r="84" ht="19" customHeight="1" thickBot="1">
      <c r="B84" s="1169" t="n"/>
      <c r="C84" s="116" t="inlineStr">
        <is>
          <t>Access Sold</t>
        </is>
      </c>
      <c r="D84" s="1170">
        <f>D174*0.35</f>
        <v/>
      </c>
      <c r="E84" s="1170">
        <f>E174*0.35</f>
        <v/>
      </c>
      <c r="F84" s="1170">
        <f>F174*0.35</f>
        <v/>
      </c>
      <c r="G84" s="1170">
        <f>G174*0.35</f>
        <v/>
      </c>
      <c r="H84" s="1170">
        <f>H174*0.35</f>
        <v/>
      </c>
      <c r="I84" s="1170">
        <f>I174*0.35</f>
        <v/>
      </c>
      <c r="J84" s="1170">
        <f>J174*0.35</f>
        <v/>
      </c>
      <c r="K84" s="1170">
        <f>K174*0.35</f>
        <v/>
      </c>
      <c r="L84" s="1170">
        <f>L174*0.35</f>
        <v/>
      </c>
      <c r="M84" s="1170">
        <f>M174*0.35</f>
        <v/>
      </c>
      <c r="N84" s="1170">
        <f>N174*0.35</f>
        <v/>
      </c>
      <c r="O84" s="1170">
        <f>O174*0.35</f>
        <v/>
      </c>
      <c r="P84" s="322" t="n"/>
      <c r="Q84" s="323" t="n"/>
      <c r="R84" s="324" t="n"/>
    </row>
    <row r="85" ht="18" customHeight="1">
      <c r="B85" s="1169" t="n"/>
      <c r="C85" s="117" t="inlineStr">
        <is>
          <t>Total Sales</t>
        </is>
      </c>
      <c r="D85" s="194">
        <f>D84*$D$21</f>
        <v/>
      </c>
      <c r="E85" s="194">
        <f>E84*$D$21</f>
        <v/>
      </c>
      <c r="F85" s="194">
        <f>F84*$D$21</f>
        <v/>
      </c>
      <c r="G85" s="194">
        <f>G84*$D$21</f>
        <v/>
      </c>
      <c r="H85" s="194">
        <f>H84*$D$21</f>
        <v/>
      </c>
      <c r="I85" s="194">
        <f>I84*$D$21</f>
        <v/>
      </c>
      <c r="J85" s="194">
        <f>J84*$D$21</f>
        <v/>
      </c>
      <c r="K85" s="194">
        <f>K84*$D$21</f>
        <v/>
      </c>
      <c r="L85" s="194">
        <f>L84*$D$21</f>
        <v/>
      </c>
      <c r="M85" s="194">
        <f>M84*$D$21</f>
        <v/>
      </c>
      <c r="N85" s="194">
        <f>N84*$D$21</f>
        <v/>
      </c>
      <c r="O85" s="523">
        <f>O84*$D$21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1169" t="n"/>
      <c r="C86" s="118" t="inlineStr">
        <is>
          <t>Total COGS</t>
        </is>
      </c>
      <c r="D86" s="107">
        <f>D84*$E$21</f>
        <v/>
      </c>
      <c r="E86" s="107">
        <f>E84*$E$21</f>
        <v/>
      </c>
      <c r="F86" s="107">
        <f>F84*$E$21</f>
        <v/>
      </c>
      <c r="G86" s="107">
        <f>G84*$E$21</f>
        <v/>
      </c>
      <c r="H86" s="107">
        <f>H84*$E$21</f>
        <v/>
      </c>
      <c r="I86" s="107">
        <f>I84*$E$21</f>
        <v/>
      </c>
      <c r="J86" s="107">
        <f>J84*$E$21</f>
        <v/>
      </c>
      <c r="K86" s="107">
        <f>K84*$E$21</f>
        <v/>
      </c>
      <c r="L86" s="107">
        <f>L84*$E$21</f>
        <v/>
      </c>
      <c r="M86" s="107">
        <f>M84*$E$21</f>
        <v/>
      </c>
      <c r="N86" s="107">
        <f>N84*$E$21</f>
        <v/>
      </c>
      <c r="O86" s="316">
        <f>O84*$E$21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9" customHeight="1" thickBot="1">
      <c r="B87" s="116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18" customHeight="1">
      <c r="B88" s="1169" t="n"/>
      <c r="C88" s="1190" t="inlineStr">
        <is>
          <t xml:space="preserve"> </t>
        </is>
      </c>
      <c r="R88" s="1191" t="n"/>
    </row>
    <row r="89" ht="19" customHeight="1" thickBot="1">
      <c r="B89" s="1169" t="n"/>
      <c r="C89" s="1185">
        <f>C22</f>
        <v/>
      </c>
      <c r="R89" s="707" t="n"/>
    </row>
    <row r="90" ht="19" customHeight="1" thickBot="1">
      <c r="B90" s="1169" t="n"/>
      <c r="C90" s="116" t="inlineStr">
        <is>
          <t>Hours Sold</t>
        </is>
      </c>
      <c r="D90" s="1170">
        <f>D174*0.25</f>
        <v/>
      </c>
      <c r="E90" s="1170">
        <f>E174*0.25</f>
        <v/>
      </c>
      <c r="F90" s="1170">
        <f>F174*0.25</f>
        <v/>
      </c>
      <c r="G90" s="1170">
        <f>G174*0.25</f>
        <v/>
      </c>
      <c r="H90" s="1170">
        <f>H174*0.25</f>
        <v/>
      </c>
      <c r="I90" s="1170">
        <f>I174*0.25</f>
        <v/>
      </c>
      <c r="J90" s="1170">
        <f>J174*0.25</f>
        <v/>
      </c>
      <c r="K90" s="1170">
        <f>K174*0.25</f>
        <v/>
      </c>
      <c r="L90" s="1170">
        <f>L174*0.25</f>
        <v/>
      </c>
      <c r="M90" s="1170">
        <f>M174*0.25</f>
        <v/>
      </c>
      <c r="N90" s="1170">
        <f>N174*0.25</f>
        <v/>
      </c>
      <c r="O90" s="1170">
        <f>O174*0.25</f>
        <v/>
      </c>
      <c r="P90" s="317" t="n"/>
      <c r="Q90" s="72" t="n"/>
      <c r="R90" s="318" t="n"/>
    </row>
    <row r="91" ht="18" customHeight="1">
      <c r="B91" s="1169" t="n"/>
      <c r="C91" s="117" t="inlineStr">
        <is>
          <t>Total Sales</t>
        </is>
      </c>
      <c r="D91" s="194">
        <f>D90*$D$22</f>
        <v/>
      </c>
      <c r="E91" s="194">
        <f>E90*$D$22</f>
        <v/>
      </c>
      <c r="F91" s="194">
        <f>F90*$D$22</f>
        <v/>
      </c>
      <c r="G91" s="194">
        <f>G90*$D$22</f>
        <v/>
      </c>
      <c r="H91" s="194">
        <f>H90*$D$22</f>
        <v/>
      </c>
      <c r="I91" s="194">
        <f>I90*$D$22</f>
        <v/>
      </c>
      <c r="J91" s="194">
        <f>J90*$D$22</f>
        <v/>
      </c>
      <c r="K91" s="194">
        <f>K90*$D$22</f>
        <v/>
      </c>
      <c r="L91" s="194">
        <f>L90*$D$22</f>
        <v/>
      </c>
      <c r="M91" s="194">
        <f>M90*$D$22</f>
        <v/>
      </c>
      <c r="N91" s="194">
        <f>N90*$D$22</f>
        <v/>
      </c>
      <c r="O91" s="523">
        <f>O90*$D$22</f>
        <v/>
      </c>
      <c r="P91" s="319">
        <f>SUM(D91:O91)</f>
        <v/>
      </c>
      <c r="Q91" s="1175">
        <f>(Q92+Q93)</f>
        <v/>
      </c>
      <c r="R91" s="1176" t="inlineStr">
        <is>
          <t xml:space="preserve"> </t>
        </is>
      </c>
    </row>
    <row r="92" ht="18" customHeight="1">
      <c r="B92" s="1169" t="n"/>
      <c r="C92" s="118" t="inlineStr">
        <is>
          <t>Total COGS</t>
        </is>
      </c>
      <c r="D92" s="107">
        <f>D90*$E$22</f>
        <v/>
      </c>
      <c r="E92" s="107">
        <f>E90*$E$22</f>
        <v/>
      </c>
      <c r="F92" s="107">
        <f>F90*$E$22</f>
        <v/>
      </c>
      <c r="G92" s="107">
        <f>G90*$E$22</f>
        <v/>
      </c>
      <c r="H92" s="107">
        <f>H90*$E$22</f>
        <v/>
      </c>
      <c r="I92" s="107">
        <f>I90*$E$22</f>
        <v/>
      </c>
      <c r="J92" s="107">
        <f>J90*$E$22</f>
        <v/>
      </c>
      <c r="K92" s="107">
        <f>K90*$E$22</f>
        <v/>
      </c>
      <c r="L92" s="107">
        <f>L90*$E$22</f>
        <v/>
      </c>
      <c r="M92" s="107">
        <f>M90*$E$22</f>
        <v/>
      </c>
      <c r="N92" s="107">
        <f>N90*$E$22</f>
        <v/>
      </c>
      <c r="O92" s="316">
        <f>O90*$E$22</f>
        <v/>
      </c>
      <c r="P92" s="320">
        <f>SUM(D92:O92)</f>
        <v/>
      </c>
      <c r="Q92" s="1178">
        <f>IF(P91=0,0,P92/P91)</f>
        <v/>
      </c>
      <c r="R92" s="1179" t="inlineStr">
        <is>
          <t xml:space="preserve"> </t>
        </is>
      </c>
    </row>
    <row r="93" ht="19" customHeight="1" thickBot="1">
      <c r="B93" s="1169" t="n"/>
      <c r="C93" s="119" t="inlineStr">
        <is>
          <t>Total Margin</t>
        </is>
      </c>
      <c r="D93" s="68">
        <f>D91-D92</f>
        <v/>
      </c>
      <c r="E93" s="68">
        <f>E91-E92</f>
        <v/>
      </c>
      <c r="F93" s="68">
        <f>F91-F92</f>
        <v/>
      </c>
      <c r="G93" s="68">
        <f>G91-G92</f>
        <v/>
      </c>
      <c r="H93" s="68">
        <f>H91-H92</f>
        <v/>
      </c>
      <c r="I93" s="68">
        <f>I91-I92</f>
        <v/>
      </c>
      <c r="J93" s="68">
        <f>J91-J92</f>
        <v/>
      </c>
      <c r="K93" s="68">
        <f>K91-K92</f>
        <v/>
      </c>
      <c r="L93" s="68">
        <f>L91-L92</f>
        <v/>
      </c>
      <c r="M93" s="68">
        <f>M91-M92</f>
        <v/>
      </c>
      <c r="N93" s="68">
        <f>N91-N92</f>
        <v/>
      </c>
      <c r="O93" s="69">
        <f>O91-O92</f>
        <v/>
      </c>
      <c r="P93" s="321">
        <f>SUM(D93:O93)</f>
        <v/>
      </c>
      <c r="Q93" s="1181">
        <f>IF(P91=0,0,P93/P91)</f>
        <v/>
      </c>
      <c r="R93" s="1182" t="inlineStr">
        <is>
          <t xml:space="preserve"> </t>
        </is>
      </c>
    </row>
    <row r="94" ht="18" customHeight="1">
      <c r="B94" s="1169" t="n"/>
      <c r="C94" s="1190" t="inlineStr">
        <is>
          <t xml:space="preserve"> </t>
        </is>
      </c>
      <c r="R94" s="1191" t="n"/>
    </row>
    <row r="95" ht="18" customHeight="1">
      <c r="B95" s="1169" t="n"/>
      <c r="C95" s="1185" t="inlineStr">
        <is>
          <t>Total Training Consultancy</t>
        </is>
      </c>
      <c r="R95" s="707" t="n"/>
    </row>
    <row r="96" ht="18" customHeight="1">
      <c r="B96" s="1169" t="n"/>
      <c r="C96" s="117" t="inlineStr">
        <is>
          <t>Total Sales</t>
        </is>
      </c>
      <c r="D96" s="194">
        <f>D91+D85</f>
        <v/>
      </c>
      <c r="E96" s="194">
        <f>E91+E85</f>
        <v/>
      </c>
      <c r="F96" s="194">
        <f>F91+F85</f>
        <v/>
      </c>
      <c r="G96" s="194">
        <f>G91+G85</f>
        <v/>
      </c>
      <c r="H96" s="194">
        <f>H91+H85</f>
        <v/>
      </c>
      <c r="I96" s="194">
        <f>I91+I85</f>
        <v/>
      </c>
      <c r="J96" s="194">
        <f>J91+J85</f>
        <v/>
      </c>
      <c r="K96" s="194">
        <f>K91+K85</f>
        <v/>
      </c>
      <c r="L96" s="194">
        <f>L91+L85</f>
        <v/>
      </c>
      <c r="M96" s="194">
        <f>M91+M85</f>
        <v/>
      </c>
      <c r="N96" s="194">
        <f>N91+N85</f>
        <v/>
      </c>
      <c r="O96" s="523">
        <f>O91+O85</f>
        <v/>
      </c>
      <c r="P96" s="319">
        <f>SUM(D96:O96)</f>
        <v/>
      </c>
      <c r="Q96" s="1175">
        <f>(Q97+Q98)</f>
        <v/>
      </c>
      <c r="R96" s="1176" t="inlineStr">
        <is>
          <t xml:space="preserve"> </t>
        </is>
      </c>
    </row>
    <row r="97" ht="18" customHeight="1">
      <c r="B97" s="1169" t="n"/>
      <c r="C97" s="118" t="inlineStr">
        <is>
          <t>Total COGS</t>
        </is>
      </c>
      <c r="D97" s="193">
        <f>D92+D86</f>
        <v/>
      </c>
      <c r="E97" s="193">
        <f>E92+E86</f>
        <v/>
      </c>
      <c r="F97" s="193">
        <f>F92+F86</f>
        <v/>
      </c>
      <c r="G97" s="193">
        <f>G92+G86</f>
        <v/>
      </c>
      <c r="H97" s="193">
        <f>H92+H86</f>
        <v/>
      </c>
      <c r="I97" s="193">
        <f>I92+I86</f>
        <v/>
      </c>
      <c r="J97" s="193">
        <f>J92+J86</f>
        <v/>
      </c>
      <c r="K97" s="193">
        <f>K92+K86</f>
        <v/>
      </c>
      <c r="L97" s="193">
        <f>L92+L86</f>
        <v/>
      </c>
      <c r="M97" s="193">
        <f>M92+M86</f>
        <v/>
      </c>
      <c r="N97" s="193">
        <f>N92+N86</f>
        <v/>
      </c>
      <c r="O97" s="273">
        <f>O92+O86</f>
        <v/>
      </c>
      <c r="P97" s="320">
        <f>SUM(D97:O97)</f>
        <v/>
      </c>
      <c r="Q97" s="1178">
        <f>IF(P96=0,0,P97/P96)</f>
        <v/>
      </c>
      <c r="R97" s="1179" t="inlineStr">
        <is>
          <t xml:space="preserve"> </t>
        </is>
      </c>
    </row>
    <row r="98" ht="19" customHeight="1" thickBot="1">
      <c r="B98" s="1169" t="n"/>
      <c r="C98" s="119" t="inlineStr">
        <is>
          <t>Total Margin</t>
        </is>
      </c>
      <c r="D98" s="68">
        <f>D96-D97</f>
        <v/>
      </c>
      <c r="E98" s="68">
        <f>E96-E97</f>
        <v/>
      </c>
      <c r="F98" s="68">
        <f>F96-F97</f>
        <v/>
      </c>
      <c r="G98" s="68">
        <f>G96-G97</f>
        <v/>
      </c>
      <c r="H98" s="68">
        <f>H96-H97</f>
        <v/>
      </c>
      <c r="I98" s="68">
        <f>I96-I97</f>
        <v/>
      </c>
      <c r="J98" s="68">
        <f>J96-J97</f>
        <v/>
      </c>
      <c r="K98" s="68">
        <f>K96-K97</f>
        <v/>
      </c>
      <c r="L98" s="68">
        <f>L96-L97</f>
        <v/>
      </c>
      <c r="M98" s="68">
        <f>M96-M97</f>
        <v/>
      </c>
      <c r="N98" s="68">
        <f>N96-N97</f>
        <v/>
      </c>
      <c r="O98" s="69">
        <f>O96-O97</f>
        <v/>
      </c>
      <c r="P98" s="321">
        <f>SUM(D98:O98)</f>
        <v/>
      </c>
      <c r="Q98" s="1181">
        <f>IF(P96=0,0,P98/P96)</f>
        <v/>
      </c>
      <c r="R98" s="1182" t="inlineStr">
        <is>
          <t xml:space="preserve"> </t>
        </is>
      </c>
    </row>
    <row r="99" ht="19" customHeight="1" thickBot="1">
      <c r="B99" s="272" t="n"/>
      <c r="C99" s="289" t="n"/>
      <c r="D99" s="290">
        <f>D76+D69+D62+D55+D48+D41+D34+D27</f>
        <v/>
      </c>
      <c r="E99" s="290">
        <f>E76+E69+E62+E55+E48+E41+E34+E27</f>
        <v/>
      </c>
      <c r="F99" s="290">
        <f>F76+F69+F62+F55+F48+F41+F34+F27</f>
        <v/>
      </c>
      <c r="G99" s="290">
        <f>G76+G69+G62+G55+G48+G41+G34+G27</f>
        <v/>
      </c>
      <c r="H99" s="290">
        <f>H76+H69+H62+H55+H48+H41+H34+H27</f>
        <v/>
      </c>
      <c r="I99" s="290">
        <f>I76+I69+I62+I55+I48+I41+I34+I27</f>
        <v/>
      </c>
      <c r="J99" s="290">
        <f>J76+J69+J62+J55+J48+J41+J34+J27</f>
        <v/>
      </c>
      <c r="K99" s="290">
        <f>K76+K69+K62+K55+K48+K41+K34+K27</f>
        <v/>
      </c>
      <c r="L99" s="290">
        <f>L76+L69+L62+L55+L48+L41+L34+L27</f>
        <v/>
      </c>
      <c r="M99" s="290">
        <f>M76+M69+M62+M55+M48+M41+M34+M27</f>
        <v/>
      </c>
      <c r="N99" s="290">
        <f>N76+N69+N62+N55+N48+N41+N34+N27</f>
        <v/>
      </c>
      <c r="O99" s="290">
        <f>O76+O69+O62+O55+O48+O41+O34+O27</f>
        <v/>
      </c>
      <c r="P99" s="185" t="n"/>
      <c r="Q99" s="1213" t="n"/>
      <c r="R99" s="1214" t="n"/>
      <c r="T99" s="682" t="inlineStr">
        <is>
          <t xml:space="preserve">Assumptions </t>
        </is>
      </c>
    </row>
    <row r="100" ht="19" customHeight="1" thickBot="1">
      <c r="B100" s="288" t="n"/>
      <c r="C100" s="287" t="inlineStr">
        <is>
          <t>Net New</t>
        </is>
      </c>
      <c r="D100" s="283">
        <f>D99-'Revenue 2027'!O99</f>
        <v/>
      </c>
      <c r="E100" s="283">
        <f>E99-D99</f>
        <v/>
      </c>
      <c r="F100" s="283">
        <f>F99-E99</f>
        <v/>
      </c>
      <c r="G100" s="283">
        <f>G99-F99</f>
        <v/>
      </c>
      <c r="H100" s="283">
        <f>H99-G99</f>
        <v/>
      </c>
      <c r="I100" s="283">
        <f>I99-H99</f>
        <v/>
      </c>
      <c r="J100" s="283">
        <f>J99-I99</f>
        <v/>
      </c>
      <c r="K100" s="283">
        <f>K99-J99</f>
        <v/>
      </c>
      <c r="L100" s="283">
        <f>L99-K99</f>
        <v/>
      </c>
      <c r="M100" s="283">
        <f>M99-L99</f>
        <v/>
      </c>
      <c r="N100" s="283">
        <f>N99-M99</f>
        <v/>
      </c>
      <c r="O100" s="283">
        <f>O99-N99</f>
        <v/>
      </c>
      <c r="P100" s="284" t="n"/>
      <c r="Q100" s="1215" t="n"/>
      <c r="R100" s="1216" t="n"/>
      <c r="T100" s="682" t="inlineStr">
        <is>
          <t xml:space="preserve">work hours </t>
        </is>
      </c>
    </row>
    <row r="101" ht="19" customHeight="1" thickBot="1">
      <c r="B101" s="1039" t="inlineStr">
        <is>
          <t>Administrative</t>
        </is>
      </c>
      <c r="C101" s="56" t="inlineStr">
        <is>
          <t>Net New Licences Sold</t>
        </is>
      </c>
      <c r="D101" s="1170">
        <f>D100*$T$102</f>
        <v/>
      </c>
      <c r="E101" s="1170">
        <f>E100*$T$102</f>
        <v/>
      </c>
      <c r="F101" s="1170">
        <f>F100*$T$102</f>
        <v/>
      </c>
      <c r="G101" s="1170">
        <f>G100*$T$102</f>
        <v/>
      </c>
      <c r="H101" s="1170">
        <f>H100*$T$102</f>
        <v/>
      </c>
      <c r="I101" s="1170">
        <f>I100*$T$102</f>
        <v/>
      </c>
      <c r="J101" s="1170">
        <f>J100*$T$102</f>
        <v/>
      </c>
      <c r="K101" s="1170">
        <f>K100*$T$102</f>
        <v/>
      </c>
      <c r="L101" s="1170">
        <f>L100*$T$102</f>
        <v/>
      </c>
      <c r="M101" s="545">
        <f>M100*$T$102</f>
        <v/>
      </c>
      <c r="N101" s="1170">
        <f>N100*$T$102</f>
        <v/>
      </c>
      <c r="O101" s="1170">
        <f>O100*$T$102</f>
        <v/>
      </c>
      <c r="P101" s="71" t="n"/>
      <c r="Q101" s="72" t="n"/>
      <c r="R101" s="73" t="n"/>
      <c r="T101" s="682" t="inlineStr">
        <is>
          <t>per new acct</t>
        </is>
      </c>
    </row>
    <row r="102" ht="18" customHeight="1">
      <c r="B102" s="1220" t="n"/>
      <c r="C102" s="57" t="inlineStr">
        <is>
          <t>Total Sales</t>
        </is>
      </c>
      <c r="D102" s="194">
        <f>D101*$D$6</f>
        <v/>
      </c>
      <c r="E102" s="194">
        <f>E101*$D$6</f>
        <v/>
      </c>
      <c r="F102" s="194">
        <f>F101*$D$6</f>
        <v/>
      </c>
      <c r="G102" s="194">
        <f>G101*$D$6</f>
        <v/>
      </c>
      <c r="H102" s="194">
        <f>H101*$D$6</f>
        <v/>
      </c>
      <c r="I102" s="194">
        <f>I101*$D$6</f>
        <v/>
      </c>
      <c r="J102" s="194">
        <f>J101*$D$6</f>
        <v/>
      </c>
      <c r="K102" s="194">
        <f>K101*$D$6</f>
        <v/>
      </c>
      <c r="L102" s="194">
        <f>L101*$D$6</f>
        <v/>
      </c>
      <c r="M102" s="194">
        <f>M101*$D$6</f>
        <v/>
      </c>
      <c r="N102" s="194">
        <f>N101*$D$6</f>
        <v/>
      </c>
      <c r="O102" s="194">
        <f>O101*$D$6</f>
        <v/>
      </c>
      <c r="P102" s="59">
        <f>SUM(D102:O102)</f>
        <v/>
      </c>
      <c r="Q102" s="1175">
        <f>(Q103+Q104)</f>
        <v/>
      </c>
      <c r="R102" s="1221" t="inlineStr">
        <is>
          <t xml:space="preserve"> </t>
        </is>
      </c>
      <c r="T102" s="314" t="n">
        <v>1</v>
      </c>
    </row>
    <row r="103" ht="18" customHeight="1">
      <c r="B103" s="1220" t="n"/>
      <c r="C103" s="62" t="inlineStr">
        <is>
          <t>Total COGS</t>
        </is>
      </c>
      <c r="D103" s="193">
        <f>D101*$E$6</f>
        <v/>
      </c>
      <c r="E103" s="193">
        <f>E101*$E$6</f>
        <v/>
      </c>
      <c r="F103" s="193">
        <f>F101*$E$6</f>
        <v/>
      </c>
      <c r="G103" s="193">
        <f>G101*$E$6</f>
        <v/>
      </c>
      <c r="H103" s="193">
        <f>H101*$E$6</f>
        <v/>
      </c>
      <c r="I103" s="193">
        <f>I101*$E$6</f>
        <v/>
      </c>
      <c r="J103" s="193">
        <f>J101*$E$6</f>
        <v/>
      </c>
      <c r="K103" s="193">
        <f>K101*$E$6</f>
        <v/>
      </c>
      <c r="L103" s="193">
        <f>L101*$E$6</f>
        <v/>
      </c>
      <c r="M103" s="193">
        <f>M101*$E$6</f>
        <v/>
      </c>
      <c r="N103" s="193">
        <f>N101*$E$6</f>
        <v/>
      </c>
      <c r="O103" s="193">
        <f>O101*$E$6</f>
        <v/>
      </c>
      <c r="P103" s="64">
        <f>SUM(D103:O103)</f>
        <v/>
      </c>
      <c r="Q103" s="1178">
        <f>IF(P102=0,0,P103/P102)</f>
        <v/>
      </c>
      <c r="R103" s="1222" t="inlineStr">
        <is>
          <t xml:space="preserve"> </t>
        </is>
      </c>
      <c r="T103" s="315" t="n"/>
    </row>
    <row r="104" ht="18" customHeight="1">
      <c r="B104" s="1220" t="n"/>
      <c r="C104" s="67" t="inlineStr">
        <is>
          <t>Total Margin</t>
        </is>
      </c>
      <c r="D104" s="68">
        <f>D102-D103</f>
        <v/>
      </c>
      <c r="E104" s="68">
        <f>E102-E103</f>
        <v/>
      </c>
      <c r="F104" s="68">
        <f>F102-F103</f>
        <v/>
      </c>
      <c r="G104" s="68">
        <f>G102-G103</f>
        <v/>
      </c>
      <c r="H104" s="68">
        <f>H102-H103</f>
        <v/>
      </c>
      <c r="I104" s="68">
        <f>I102-I103</f>
        <v/>
      </c>
      <c r="J104" s="68">
        <f>J102-J103</f>
        <v/>
      </c>
      <c r="K104" s="68">
        <f>K102-K103</f>
        <v/>
      </c>
      <c r="L104" s="68">
        <f>L102-L103</f>
        <v/>
      </c>
      <c r="M104" s="68">
        <f>M102-M103</f>
        <v/>
      </c>
      <c r="N104" s="68">
        <f>N102-N103</f>
        <v/>
      </c>
      <c r="O104" s="68">
        <f>O102-O103</f>
        <v/>
      </c>
      <c r="P104" s="64">
        <f>SUM(D104:O104)</f>
        <v/>
      </c>
      <c r="Q104" s="1178">
        <f>IF(P102=0,0,P104/P102)</f>
        <v/>
      </c>
      <c r="R104" s="1222" t="inlineStr">
        <is>
          <t xml:space="preserve"> </t>
        </is>
      </c>
      <c r="T104" s="315" t="n"/>
    </row>
    <row r="105" ht="18" customHeight="1">
      <c r="B105" s="1220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1223" t="inlineStr">
        <is>
          <t xml:space="preserve"> </t>
        </is>
      </c>
      <c r="T105" s="315" t="n"/>
    </row>
    <row r="106" ht="19" customHeight="1" thickBot="1">
      <c r="B106" s="1220" t="n"/>
      <c r="C106" s="1224">
        <f>C6</f>
        <v/>
      </c>
      <c r="R106" s="1191" t="n"/>
      <c r="T106" s="315" t="n"/>
    </row>
    <row r="107" ht="19" customHeight="1" thickBot="1">
      <c r="B107" s="1220" t="n"/>
      <c r="C107" s="56" t="inlineStr">
        <is>
          <t>Net New Licences Sold</t>
        </is>
      </c>
      <c r="D107" s="1170">
        <f>D100*$T$108</f>
        <v/>
      </c>
      <c r="E107" s="1170">
        <f>E100*$T$108</f>
        <v/>
      </c>
      <c r="F107" s="1170">
        <f>F100*$T$108</f>
        <v/>
      </c>
      <c r="G107" s="1170">
        <f>G100*$T$108</f>
        <v/>
      </c>
      <c r="H107" s="1170">
        <f>H100*$T$108</f>
        <v/>
      </c>
      <c r="I107" s="1170">
        <f>I100*$T$108</f>
        <v/>
      </c>
      <c r="J107" s="1170">
        <f>J100*$T$108</f>
        <v/>
      </c>
      <c r="K107" s="1170">
        <f>K100*$T$108</f>
        <v/>
      </c>
      <c r="L107" s="1170">
        <f>L100*$T$108</f>
        <v/>
      </c>
      <c r="M107" s="1170">
        <f>M100*$T$108</f>
        <v/>
      </c>
      <c r="N107" s="1170">
        <f>N100*$T$108</f>
        <v/>
      </c>
      <c r="O107" s="1170">
        <f>O100*$T$108</f>
        <v/>
      </c>
      <c r="P107" s="71" t="n"/>
      <c r="Q107" s="72" t="n"/>
      <c r="R107" s="73" t="n"/>
      <c r="T107" s="315" t="n"/>
    </row>
    <row r="108" ht="18" customHeight="1">
      <c r="B108" s="1220" t="n"/>
      <c r="C108" s="57" t="inlineStr">
        <is>
          <t>Total Sales</t>
        </is>
      </c>
      <c r="D108" s="194">
        <f>D107*$D$7</f>
        <v/>
      </c>
      <c r="E108" s="194">
        <f>E107*$D$7</f>
        <v/>
      </c>
      <c r="F108" s="194">
        <f>F107*$D$7</f>
        <v/>
      </c>
      <c r="G108" s="194">
        <f>G107*$D$7</f>
        <v/>
      </c>
      <c r="H108" s="194">
        <f>H107*$D$7</f>
        <v/>
      </c>
      <c r="I108" s="194">
        <f>I107*$D$7</f>
        <v/>
      </c>
      <c r="J108" s="194">
        <f>J107*$D$7</f>
        <v/>
      </c>
      <c r="K108" s="194">
        <f>K107*$D$7</f>
        <v/>
      </c>
      <c r="L108" s="194">
        <f>L107*$D$7</f>
        <v/>
      </c>
      <c r="M108" s="194">
        <f>M107*$D$7</f>
        <v/>
      </c>
      <c r="N108" s="194">
        <f>N107*$D$7</f>
        <v/>
      </c>
      <c r="O108" s="194">
        <f>O107*$D$7</f>
        <v/>
      </c>
      <c r="P108" s="59">
        <f>SUM(D108:O108)</f>
        <v/>
      </c>
      <c r="Q108" s="1175">
        <f>(Q109+Q110)</f>
        <v/>
      </c>
      <c r="R108" s="1221" t="inlineStr">
        <is>
          <t xml:space="preserve"> </t>
        </is>
      </c>
      <c r="T108" s="315" t="n">
        <v>1</v>
      </c>
    </row>
    <row r="109" ht="18" customHeight="1">
      <c r="B109" s="1220" t="n"/>
      <c r="C109" s="62" t="inlineStr">
        <is>
          <t>Total COGS</t>
        </is>
      </c>
      <c r="D109" s="193">
        <f>D107*$E$7</f>
        <v/>
      </c>
      <c r="E109" s="193">
        <f>E107*$E$7</f>
        <v/>
      </c>
      <c r="F109" s="193">
        <f>F107*$E$7</f>
        <v/>
      </c>
      <c r="G109" s="193">
        <f>G107*$E$7</f>
        <v/>
      </c>
      <c r="H109" s="193">
        <f>H107*$E$7</f>
        <v/>
      </c>
      <c r="I109" s="193">
        <f>I107*$E$7</f>
        <v/>
      </c>
      <c r="J109" s="193">
        <f>J107*$E$7</f>
        <v/>
      </c>
      <c r="K109" s="193">
        <f>K107*$E$7</f>
        <v/>
      </c>
      <c r="L109" s="193">
        <f>L107*$E$7</f>
        <v/>
      </c>
      <c r="M109" s="193">
        <f>M107*$E$7</f>
        <v/>
      </c>
      <c r="N109" s="193">
        <f>N107*$E$7</f>
        <v/>
      </c>
      <c r="O109" s="193">
        <f>O107*$E$7</f>
        <v/>
      </c>
      <c r="P109" s="64">
        <f>SUM(D109:O109)</f>
        <v/>
      </c>
      <c r="Q109" s="1178">
        <f>IF(P108=0,0,P109/P108)</f>
        <v/>
      </c>
      <c r="R109" s="1222" t="inlineStr">
        <is>
          <t xml:space="preserve"> </t>
        </is>
      </c>
      <c r="T109" s="315" t="n"/>
    </row>
    <row r="110" ht="18" customHeight="1">
      <c r="B110" s="1220" t="n"/>
      <c r="C110" s="67" t="inlineStr">
        <is>
          <t>Total Margin</t>
        </is>
      </c>
      <c r="D110" s="68">
        <f>D108-D109</f>
        <v/>
      </c>
      <c r="E110" s="68">
        <f>E108-E109</f>
        <v/>
      </c>
      <c r="F110" s="68">
        <f>F108-F109</f>
        <v/>
      </c>
      <c r="G110" s="68">
        <f>G108-G109</f>
        <v/>
      </c>
      <c r="H110" s="68">
        <f>H108-H109</f>
        <v/>
      </c>
      <c r="I110" s="68">
        <f>I108-I109</f>
        <v/>
      </c>
      <c r="J110" s="68">
        <f>J108-J109</f>
        <v/>
      </c>
      <c r="K110" s="68">
        <f>K108-K109</f>
        <v/>
      </c>
      <c r="L110" s="68">
        <f>L108-L109</f>
        <v/>
      </c>
      <c r="M110" s="68">
        <f>M108-M109</f>
        <v/>
      </c>
      <c r="N110" s="68">
        <f>N108-N109</f>
        <v/>
      </c>
      <c r="O110" s="68">
        <f>O108-O109</f>
        <v/>
      </c>
      <c r="P110" s="64">
        <f>SUM(D110:O110)</f>
        <v/>
      </c>
      <c r="Q110" s="1178">
        <f>IF(P108=0,0,P110/P108)</f>
        <v/>
      </c>
      <c r="R110" s="1222" t="inlineStr">
        <is>
          <t xml:space="preserve"> </t>
        </is>
      </c>
      <c r="T110" s="315" t="n"/>
    </row>
    <row r="111" ht="18" customHeight="1">
      <c r="B111" s="1220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1223" t="inlineStr">
        <is>
          <t xml:space="preserve"> </t>
        </is>
      </c>
      <c r="T111" s="315" t="n"/>
    </row>
    <row r="112" ht="19" customHeight="1" thickBot="1">
      <c r="B112" s="1220" t="n"/>
      <c r="C112" s="1224">
        <f>C7</f>
        <v/>
      </c>
      <c r="R112" s="1191" t="n"/>
      <c r="T112" s="315" t="n"/>
    </row>
    <row r="113" ht="19" customHeight="1" thickBot="1">
      <c r="B113" s="1220" t="n"/>
      <c r="C113" s="56" t="inlineStr">
        <is>
          <t>Net New Licences Sold</t>
        </is>
      </c>
      <c r="D113" s="1170">
        <f>D100*$T$114</f>
        <v/>
      </c>
      <c r="E113" s="1170">
        <f>E100*$T$114</f>
        <v/>
      </c>
      <c r="F113" s="1170">
        <f>F100*$T$114</f>
        <v/>
      </c>
      <c r="G113" s="1170">
        <f>G100*$T$114</f>
        <v/>
      </c>
      <c r="H113" s="1170">
        <f>H100*$T$114</f>
        <v/>
      </c>
      <c r="I113" s="1170">
        <f>I100*$T$114</f>
        <v/>
      </c>
      <c r="J113" s="1170">
        <f>J100*$T$114</f>
        <v/>
      </c>
      <c r="K113" s="1170">
        <f>K100*$T$114</f>
        <v/>
      </c>
      <c r="L113" s="1170">
        <f>L100*$T$114</f>
        <v/>
      </c>
      <c r="M113" s="1170">
        <f>M100*$T$114</f>
        <v/>
      </c>
      <c r="N113" s="1170">
        <f>N100*$T$114</f>
        <v/>
      </c>
      <c r="O113" s="1170">
        <f>O100*$T$114</f>
        <v/>
      </c>
      <c r="P113" s="71" t="n"/>
      <c r="Q113" s="72" t="n"/>
      <c r="R113" s="73" t="n"/>
      <c r="T113" s="315" t="n"/>
    </row>
    <row r="114" ht="18" customHeight="1">
      <c r="B114" s="1220" t="n"/>
      <c r="C114" s="57" t="inlineStr">
        <is>
          <t>Total Sales</t>
        </is>
      </c>
      <c r="D114" s="194">
        <f>D113*$D$8</f>
        <v/>
      </c>
      <c r="E114" s="194">
        <f>E113*$D$8</f>
        <v/>
      </c>
      <c r="F114" s="194">
        <f>F113*$D$8</f>
        <v/>
      </c>
      <c r="G114" s="194">
        <f>G113*$D$8</f>
        <v/>
      </c>
      <c r="H114" s="194">
        <f>H113*$D$8</f>
        <v/>
      </c>
      <c r="I114" s="194">
        <f>I113*$D$8</f>
        <v/>
      </c>
      <c r="J114" s="194">
        <f>J113*$D$8</f>
        <v/>
      </c>
      <c r="K114" s="194">
        <f>K113*$D$8</f>
        <v/>
      </c>
      <c r="L114" s="194">
        <f>L113*$D$8</f>
        <v/>
      </c>
      <c r="M114" s="194">
        <f>M113*$D$8</f>
        <v/>
      </c>
      <c r="N114" s="194">
        <f>N113*$D$8</f>
        <v/>
      </c>
      <c r="O114" s="194">
        <f>O113*$D$8</f>
        <v/>
      </c>
      <c r="P114" s="59">
        <f>SUM(D114:O114)</f>
        <v/>
      </c>
      <c r="Q114" s="1175">
        <f>(Q115+Q116)</f>
        <v/>
      </c>
      <c r="R114" s="1221" t="inlineStr">
        <is>
          <t xml:space="preserve"> </t>
        </is>
      </c>
      <c r="T114" s="315" t="n">
        <v>2</v>
      </c>
    </row>
    <row r="115" ht="18" customHeight="1">
      <c r="B115" s="1220" t="n"/>
      <c r="C115" s="62" t="inlineStr">
        <is>
          <t>Total COGS</t>
        </is>
      </c>
      <c r="D115" s="193">
        <f>D113*$E$8</f>
        <v/>
      </c>
      <c r="E115" s="193">
        <f>E113*$E$8</f>
        <v/>
      </c>
      <c r="F115" s="193">
        <f>F113*$E$8</f>
        <v/>
      </c>
      <c r="G115" s="193">
        <f>G113*$E$8</f>
        <v/>
      </c>
      <c r="H115" s="193">
        <f>H113*$E$8</f>
        <v/>
      </c>
      <c r="I115" s="193">
        <f>I113*$E$8</f>
        <v/>
      </c>
      <c r="J115" s="193">
        <f>J113*$E$8</f>
        <v/>
      </c>
      <c r="K115" s="193">
        <f>K113*$E$8</f>
        <v/>
      </c>
      <c r="L115" s="193">
        <f>L113*$E$8</f>
        <v/>
      </c>
      <c r="M115" s="193">
        <f>M113*$E$8</f>
        <v/>
      </c>
      <c r="N115" s="193">
        <f>N113*$E$8</f>
        <v/>
      </c>
      <c r="O115" s="193">
        <f>O113*$E$8</f>
        <v/>
      </c>
      <c r="P115" s="64">
        <f>SUM(D115:O115)</f>
        <v/>
      </c>
      <c r="Q115" s="1178">
        <f>IF(P114=0,0,P115/P114)</f>
        <v/>
      </c>
      <c r="R115" s="1222" t="inlineStr">
        <is>
          <t xml:space="preserve"> </t>
        </is>
      </c>
      <c r="T115" s="315" t="n"/>
    </row>
    <row r="116" ht="18" customHeight="1">
      <c r="B116" s="1220" t="n"/>
      <c r="C116" s="67" t="inlineStr">
        <is>
          <t>Total Margin</t>
        </is>
      </c>
      <c r="D116" s="68">
        <f>D114-D115</f>
        <v/>
      </c>
      <c r="E116" s="68">
        <f>E114-E115</f>
        <v/>
      </c>
      <c r="F116" s="68">
        <f>F114-F115</f>
        <v/>
      </c>
      <c r="G116" s="68">
        <f>G114-G115</f>
        <v/>
      </c>
      <c r="H116" s="68">
        <f>H114-H115</f>
        <v/>
      </c>
      <c r="I116" s="68">
        <f>I114-I115</f>
        <v/>
      </c>
      <c r="J116" s="68">
        <f>J114-J115</f>
        <v/>
      </c>
      <c r="K116" s="68">
        <f>K114-K115</f>
        <v/>
      </c>
      <c r="L116" s="68">
        <f>L114-L115</f>
        <v/>
      </c>
      <c r="M116" s="68">
        <f>M114-M115</f>
        <v/>
      </c>
      <c r="N116" s="68">
        <f>N114-N115</f>
        <v/>
      </c>
      <c r="O116" s="68">
        <f>O114-O115</f>
        <v/>
      </c>
      <c r="P116" s="64">
        <f>SUM(D116:O116)</f>
        <v/>
      </c>
      <c r="Q116" s="1178">
        <f>IF(P114=0,0,P116/P114)</f>
        <v/>
      </c>
      <c r="R116" s="1222" t="inlineStr">
        <is>
          <t xml:space="preserve"> </t>
        </is>
      </c>
      <c r="T116" s="315" t="n"/>
    </row>
    <row r="117" ht="18" customHeight="1">
      <c r="B117" s="1220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1223" t="inlineStr">
        <is>
          <t xml:space="preserve"> </t>
        </is>
      </c>
      <c r="T117" s="315" t="n"/>
    </row>
    <row r="118" ht="19" customHeight="1" thickBot="1">
      <c r="B118" s="1220" t="n"/>
      <c r="C118" s="1224">
        <f>C8</f>
        <v/>
      </c>
      <c r="R118" s="1191" t="n"/>
      <c r="T118" s="315" t="n"/>
    </row>
    <row r="119" ht="19" customHeight="1" thickBot="1">
      <c r="B119" s="1220" t="n"/>
      <c r="C119" s="56" t="inlineStr">
        <is>
          <t>Net New Licences Sold</t>
        </is>
      </c>
      <c r="D119" s="1170">
        <f>D100*$T$120</f>
        <v/>
      </c>
      <c r="E119" s="1170">
        <f>E100*$T$120</f>
        <v/>
      </c>
      <c r="F119" s="1170">
        <f>F100*$T$120</f>
        <v/>
      </c>
      <c r="G119" s="1170">
        <f>G100*$T$120</f>
        <v/>
      </c>
      <c r="H119" s="1170">
        <f>H100*$T$120</f>
        <v/>
      </c>
      <c r="I119" s="1170">
        <f>I100*$T$120</f>
        <v/>
      </c>
      <c r="J119" s="1170">
        <f>J100*$T$120</f>
        <v/>
      </c>
      <c r="K119" s="1170">
        <f>K100*$T$120</f>
        <v/>
      </c>
      <c r="L119" s="1170">
        <f>L100*$T$120</f>
        <v/>
      </c>
      <c r="M119" s="1170">
        <f>M100*$T$120</f>
        <v/>
      </c>
      <c r="N119" s="1170">
        <f>N100*$T$120</f>
        <v/>
      </c>
      <c r="O119" s="1170">
        <f>O100*$T$120</f>
        <v/>
      </c>
      <c r="P119" s="71" t="n"/>
      <c r="Q119" s="72" t="n"/>
      <c r="R119" s="73" t="n"/>
      <c r="T119" s="315" t="n"/>
    </row>
    <row r="120" ht="18" customHeight="1">
      <c r="B120" s="1220" t="n"/>
      <c r="C120" s="57" t="inlineStr">
        <is>
          <t>Total Sales</t>
        </is>
      </c>
      <c r="D120" s="194">
        <f>D119*$D$9</f>
        <v/>
      </c>
      <c r="E120" s="194">
        <f>E119*$D$9</f>
        <v/>
      </c>
      <c r="F120" s="194">
        <f>F119*$D$9</f>
        <v/>
      </c>
      <c r="G120" s="194">
        <f>G119*$D$9</f>
        <v/>
      </c>
      <c r="H120" s="194">
        <f>H119*$D$9</f>
        <v/>
      </c>
      <c r="I120" s="194">
        <f>I119*$D$9</f>
        <v/>
      </c>
      <c r="J120" s="194">
        <f>J119*$D$9</f>
        <v/>
      </c>
      <c r="K120" s="194">
        <f>K119*$D$9</f>
        <v/>
      </c>
      <c r="L120" s="194">
        <f>L119*$D$9</f>
        <v/>
      </c>
      <c r="M120" s="194">
        <f>M119*$D$9</f>
        <v/>
      </c>
      <c r="N120" s="194">
        <f>N119*$D$9</f>
        <v/>
      </c>
      <c r="O120" s="194">
        <f>O119*$D$9</f>
        <v/>
      </c>
      <c r="P120" s="59">
        <f>SUM(D120:O120)</f>
        <v/>
      </c>
      <c r="Q120" s="1175">
        <f>(Q121+Q122)</f>
        <v/>
      </c>
      <c r="R120" s="1221" t="inlineStr">
        <is>
          <t xml:space="preserve"> </t>
        </is>
      </c>
      <c r="T120" s="315" t="n">
        <v>1</v>
      </c>
    </row>
    <row r="121" ht="18" customHeight="1">
      <c r="B121" s="1220" t="n"/>
      <c r="C121" s="62" t="inlineStr">
        <is>
          <t>Total COGS</t>
        </is>
      </c>
      <c r="D121" s="193">
        <f>D119*$E$9</f>
        <v/>
      </c>
      <c r="E121" s="193">
        <f>E119*$E$9</f>
        <v/>
      </c>
      <c r="F121" s="193">
        <f>F119*$E$9</f>
        <v/>
      </c>
      <c r="G121" s="193">
        <f>G119*$E$9</f>
        <v/>
      </c>
      <c r="H121" s="193">
        <f>H119*$E$9</f>
        <v/>
      </c>
      <c r="I121" s="193">
        <f>I119*$E$9</f>
        <v/>
      </c>
      <c r="J121" s="193">
        <f>J119*$E$9</f>
        <v/>
      </c>
      <c r="K121" s="193">
        <f>K119*$E$9</f>
        <v/>
      </c>
      <c r="L121" s="193">
        <f>L119*$E$9</f>
        <v/>
      </c>
      <c r="M121" s="193">
        <f>M119*$E$9</f>
        <v/>
      </c>
      <c r="N121" s="193">
        <f>N119*$E$9</f>
        <v/>
      </c>
      <c r="O121" s="193">
        <f>O119*$E$9</f>
        <v/>
      </c>
      <c r="P121" s="64">
        <f>SUM(D121:O121)</f>
        <v/>
      </c>
      <c r="Q121" s="1178">
        <f>IF(P120=0,0,P121/P120)</f>
        <v/>
      </c>
      <c r="R121" s="1222" t="inlineStr">
        <is>
          <t xml:space="preserve"> </t>
        </is>
      </c>
    </row>
    <row r="122" ht="18" customHeight="1">
      <c r="B122" s="1220" t="n"/>
      <c r="C122" s="67" t="inlineStr">
        <is>
          <t>Total Margin</t>
        </is>
      </c>
      <c r="D122" s="68">
        <f>D120-D121</f>
        <v/>
      </c>
      <c r="E122" s="68">
        <f>E120-E121</f>
        <v/>
      </c>
      <c r="F122" s="68">
        <f>F120-F121</f>
        <v/>
      </c>
      <c r="G122" s="68">
        <f>G120-G121</f>
        <v/>
      </c>
      <c r="H122" s="68">
        <f>H120-H121</f>
        <v/>
      </c>
      <c r="I122" s="68">
        <f>I120-I121</f>
        <v/>
      </c>
      <c r="J122" s="68">
        <f>J120-J121</f>
        <v/>
      </c>
      <c r="K122" s="68">
        <f>K120-K121</f>
        <v/>
      </c>
      <c r="L122" s="68">
        <f>L120-L121</f>
        <v/>
      </c>
      <c r="M122" s="68">
        <f>M120-M121</f>
        <v/>
      </c>
      <c r="N122" s="68">
        <f>N120-N121</f>
        <v/>
      </c>
      <c r="O122" s="68">
        <f>O120-O121</f>
        <v/>
      </c>
      <c r="P122" s="64">
        <f>SUM(D122:O122)</f>
        <v/>
      </c>
      <c r="Q122" s="1178">
        <f>IF(P120=0,0,P122/P120)</f>
        <v/>
      </c>
      <c r="R122" s="1222" t="inlineStr">
        <is>
          <t xml:space="preserve"> </t>
        </is>
      </c>
    </row>
    <row r="123" ht="18" customHeight="1">
      <c r="B123" s="1220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1223" t="inlineStr">
        <is>
          <t xml:space="preserve"> </t>
        </is>
      </c>
    </row>
    <row r="124" ht="16" customHeight="1" thickBot="1"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</row>
    <row r="125" ht="18" customHeight="1">
      <c r="B125" s="1225" t="inlineStr">
        <is>
          <t>Total Distribution</t>
        </is>
      </c>
      <c r="C125" s="1193" t="inlineStr">
        <is>
          <t>Total Distribution / Reseller</t>
        </is>
      </c>
      <c r="D125" s="1145" t="n"/>
      <c r="E125" s="1145" t="n"/>
      <c r="F125" s="1145" t="n"/>
      <c r="G125" s="1145" t="n"/>
      <c r="H125" s="1145" t="n"/>
      <c r="I125" s="1145" t="n"/>
      <c r="J125" s="1145" t="n"/>
      <c r="K125" s="1145" t="n"/>
      <c r="L125" s="1145" t="n"/>
      <c r="M125" s="1145" t="n"/>
      <c r="N125" s="1145" t="n"/>
      <c r="O125" s="1145" t="n"/>
      <c r="P125" s="1145" t="n"/>
      <c r="Q125" s="1145" t="n"/>
      <c r="R125" s="705" t="n"/>
    </row>
    <row r="126" ht="18" customHeight="1">
      <c r="B126" s="1180" t="n"/>
      <c r="C126" s="295" t="n"/>
      <c r="D126" s="183" t="n"/>
      <c r="E126" s="183" t="n"/>
      <c r="F126" s="183" t="n"/>
      <c r="G126" s="183" t="n"/>
      <c r="H126" s="183" t="n"/>
      <c r="I126" s="183" t="n"/>
      <c r="J126" s="183" t="n"/>
      <c r="K126" s="183" t="n"/>
      <c r="L126" s="183" t="n"/>
      <c r="M126" s="183" t="n"/>
      <c r="N126" s="183" t="n"/>
      <c r="O126" s="199" t="n"/>
      <c r="P126" s="182" t="n"/>
      <c r="Q126" s="180" t="n"/>
      <c r="R126" s="296" t="n"/>
    </row>
    <row r="127" ht="18" customHeight="1">
      <c r="B127" s="1180" t="n"/>
      <c r="C127" s="297" t="inlineStr">
        <is>
          <t>Total Sales</t>
        </is>
      </c>
      <c r="D127" s="194">
        <f>D36+D50+D64+D78</f>
        <v/>
      </c>
      <c r="E127" s="194">
        <f>E36+E50+E64+E78</f>
        <v/>
      </c>
      <c r="F127" s="194">
        <f>F36+F50+F64+F78</f>
        <v/>
      </c>
      <c r="G127" s="194">
        <f>G36+G50+G64+G78</f>
        <v/>
      </c>
      <c r="H127" s="194">
        <f>H36+H50+H64+H78</f>
        <v/>
      </c>
      <c r="I127" s="194">
        <f>I36+I50+I64+I78</f>
        <v/>
      </c>
      <c r="J127" s="194">
        <f>J36+J50+J64+J78</f>
        <v/>
      </c>
      <c r="K127" s="194">
        <f>K36+K50+K64+K78</f>
        <v/>
      </c>
      <c r="L127" s="194">
        <f>L36+L50+L64+L78</f>
        <v/>
      </c>
      <c r="M127" s="194">
        <f>M36+M50+M64+M78</f>
        <v/>
      </c>
      <c r="N127" s="194">
        <f>N36+N50+N64+N78</f>
        <v/>
      </c>
      <c r="O127" s="217">
        <f>O36+O50+O64+O78</f>
        <v/>
      </c>
      <c r="P127" s="59">
        <f>SUM(D127:O127)</f>
        <v/>
      </c>
      <c r="Q127" s="1175">
        <f>(Q128+Q129)</f>
        <v/>
      </c>
      <c r="R127" s="1176" t="inlineStr">
        <is>
          <t xml:space="preserve"> </t>
        </is>
      </c>
    </row>
    <row r="128" ht="18" customHeight="1">
      <c r="B128" s="1180" t="n"/>
      <c r="C128" s="299" t="inlineStr">
        <is>
          <t>Total COGS</t>
        </is>
      </c>
      <c r="D128" s="108">
        <f>D37+D44+D51+D79</f>
        <v/>
      </c>
      <c r="E128" s="108">
        <f>E37+E44+E51+E79</f>
        <v/>
      </c>
      <c r="F128" s="108">
        <f>F37+F44+F51+F79</f>
        <v/>
      </c>
      <c r="G128" s="108">
        <f>G37+G44+G51+G79</f>
        <v/>
      </c>
      <c r="H128" s="108">
        <f>H37+H44+H51+H79</f>
        <v/>
      </c>
      <c r="I128" s="108">
        <f>I37+I44+I51+I79</f>
        <v/>
      </c>
      <c r="J128" s="108">
        <f>J37+J44+J51+J79</f>
        <v/>
      </c>
      <c r="K128" s="108">
        <f>K37+K44+K51+K79</f>
        <v/>
      </c>
      <c r="L128" s="108">
        <f>L37+L44+L51+L79</f>
        <v/>
      </c>
      <c r="M128" s="108">
        <f>M37+M44+M51+M79</f>
        <v/>
      </c>
      <c r="N128" s="108">
        <f>N37+N44+N51+N79</f>
        <v/>
      </c>
      <c r="O128" s="221">
        <f>O37+O44+O51+O79</f>
        <v/>
      </c>
      <c r="P128" s="64">
        <f>SUM(D128:O128)</f>
        <v/>
      </c>
      <c r="Q128" s="1178">
        <f>IF(P127=0,0,P128/P127)</f>
        <v/>
      </c>
      <c r="R128" s="1179" t="inlineStr">
        <is>
          <t xml:space="preserve"> </t>
        </is>
      </c>
    </row>
    <row r="129" ht="19" customHeight="1" thickBot="1">
      <c r="B129" s="712" t="n"/>
      <c r="C129" s="301" t="inlineStr">
        <is>
          <t>Total Margin</t>
        </is>
      </c>
      <c r="D129" s="308">
        <f>D127-D128</f>
        <v/>
      </c>
      <c r="E129" s="308">
        <f>E127-E128</f>
        <v/>
      </c>
      <c r="F129" s="308">
        <f>F127-F128</f>
        <v/>
      </c>
      <c r="G129" s="308">
        <f>G127-G128</f>
        <v/>
      </c>
      <c r="H129" s="308">
        <f>H127-H128</f>
        <v/>
      </c>
      <c r="I129" s="308">
        <f>I127-I128</f>
        <v/>
      </c>
      <c r="J129" s="308">
        <f>J127-J128</f>
        <v/>
      </c>
      <c r="K129" s="308">
        <f>K127-K128</f>
        <v/>
      </c>
      <c r="L129" s="308">
        <f>L127-L128</f>
        <v/>
      </c>
      <c r="M129" s="308">
        <f>M127-M128</f>
        <v/>
      </c>
      <c r="N129" s="308">
        <f>N127-N128</f>
        <v/>
      </c>
      <c r="O129" s="309">
        <f>O127-O128</f>
        <v/>
      </c>
      <c r="P129" s="303">
        <f>SUM(D129:O129)</f>
        <v/>
      </c>
      <c r="Q129" s="1181">
        <f>IF(P127=0,0,P129/P127)</f>
        <v/>
      </c>
      <c r="R129" s="1182" t="inlineStr">
        <is>
          <t xml:space="preserve"> </t>
        </is>
      </c>
    </row>
    <row r="130" ht="16" customHeight="1" thickBot="1">
      <c r="B130" s="252" t="inlineStr">
        <is>
          <t xml:space="preserve"> </t>
        </is>
      </c>
      <c r="C130" s="252" t="n"/>
      <c r="D130" s="252" t="n"/>
      <c r="E130" s="252" t="n"/>
      <c r="F130" s="252" t="n"/>
      <c r="G130" s="252" t="n"/>
      <c r="H130" s="252" t="n"/>
      <c r="I130" s="252" t="n"/>
      <c r="J130" s="252" t="n"/>
      <c r="K130" s="252" t="n"/>
      <c r="L130" s="252" t="n"/>
      <c r="M130" s="252" t="n"/>
      <c r="N130" s="252" t="n"/>
      <c r="O130" s="252" t="n"/>
      <c r="P130" s="252" t="n"/>
      <c r="Q130" s="252" t="n"/>
      <c r="R130" s="252" t="n"/>
    </row>
    <row r="131" ht="18" customHeight="1">
      <c r="B131" s="1226" t="inlineStr">
        <is>
          <t>Total Hospitality</t>
        </is>
      </c>
      <c r="C131" s="1193" t="inlineStr">
        <is>
          <t>Total Hospitality</t>
        </is>
      </c>
      <c r="D131" s="1145" t="n"/>
      <c r="E131" s="1145" t="n"/>
      <c r="F131" s="1145" t="n"/>
      <c r="G131" s="1145" t="n"/>
      <c r="H131" s="1145" t="n"/>
      <c r="I131" s="1145" t="n"/>
      <c r="J131" s="1145" t="n"/>
      <c r="K131" s="1145" t="n"/>
      <c r="L131" s="1145" t="n"/>
      <c r="M131" s="1145" t="n"/>
      <c r="N131" s="1145" t="n"/>
      <c r="O131" s="1145" t="n"/>
      <c r="P131" s="1145" t="n"/>
      <c r="Q131" s="1145" t="n"/>
      <c r="R131" s="705" t="n"/>
    </row>
    <row r="132" ht="18" customHeight="1">
      <c r="B132" s="1180" t="n"/>
      <c r="C132" s="1017" t="n"/>
      <c r="D132" s="997" t="n"/>
      <c r="E132" s="997" t="n"/>
      <c r="F132" s="997" t="n"/>
      <c r="G132" s="997" t="n"/>
      <c r="H132" s="997" t="n"/>
      <c r="I132" s="997" t="n"/>
      <c r="J132" s="997" t="n"/>
      <c r="K132" s="997" t="n"/>
      <c r="L132" s="997" t="n"/>
      <c r="M132" s="997" t="n"/>
      <c r="N132" s="997" t="n"/>
      <c r="O132" s="222" t="n"/>
      <c r="P132" s="182" t="n"/>
      <c r="Q132" s="180" t="n"/>
      <c r="R132" s="296" t="n"/>
    </row>
    <row r="133" ht="18" customHeight="1">
      <c r="B133" s="1180" t="n"/>
      <c r="C133" s="297" t="inlineStr">
        <is>
          <t>Total Sales</t>
        </is>
      </c>
      <c r="D133" s="194">
        <f>D29+D36</f>
        <v/>
      </c>
      <c r="E133" s="194">
        <f>E29+E36</f>
        <v/>
      </c>
      <c r="F133" s="194">
        <f>F29+F36</f>
        <v/>
      </c>
      <c r="G133" s="194">
        <f>G29+G36</f>
        <v/>
      </c>
      <c r="H133" s="194">
        <f>H29+H36</f>
        <v/>
      </c>
      <c r="I133" s="194">
        <f>I29+I36</f>
        <v/>
      </c>
      <c r="J133" s="194">
        <f>J29+J36</f>
        <v/>
      </c>
      <c r="K133" s="194">
        <f>K29+K36</f>
        <v/>
      </c>
      <c r="L133" s="194">
        <f>L29+L36</f>
        <v/>
      </c>
      <c r="M133" s="194">
        <f>M29+M36</f>
        <v/>
      </c>
      <c r="N133" s="194">
        <f>N29+N36</f>
        <v/>
      </c>
      <c r="O133" s="217">
        <f>O29+O36</f>
        <v/>
      </c>
      <c r="P133" s="59">
        <f>SUM(D133:O133)</f>
        <v/>
      </c>
      <c r="Q133" s="1175">
        <f>(Q134+Q135)</f>
        <v/>
      </c>
      <c r="R133" s="1176" t="inlineStr">
        <is>
          <t xml:space="preserve"> </t>
        </is>
      </c>
    </row>
    <row r="134" ht="18" customHeight="1">
      <c r="B134" s="1180" t="n"/>
      <c r="C134" s="299" t="inlineStr">
        <is>
          <t>Total COGS</t>
        </is>
      </c>
      <c r="D134" s="193">
        <f>D30+D37</f>
        <v/>
      </c>
      <c r="E134" s="193">
        <f>E30+E37</f>
        <v/>
      </c>
      <c r="F134" s="193">
        <f>F30+F37</f>
        <v/>
      </c>
      <c r="G134" s="193">
        <f>G30+G37</f>
        <v/>
      </c>
      <c r="H134" s="193">
        <f>H30+H37</f>
        <v/>
      </c>
      <c r="I134" s="193">
        <f>I30+I37</f>
        <v/>
      </c>
      <c r="J134" s="193">
        <f>J30+J37</f>
        <v/>
      </c>
      <c r="K134" s="193">
        <f>K30+K37</f>
        <v/>
      </c>
      <c r="L134" s="193">
        <f>L30+L37</f>
        <v/>
      </c>
      <c r="M134" s="193">
        <f>M30+M37</f>
        <v/>
      </c>
      <c r="N134" s="193">
        <f>N30+N37</f>
        <v/>
      </c>
      <c r="O134" s="218">
        <f>O30+O37</f>
        <v/>
      </c>
      <c r="P134" s="64">
        <f>SUM(D134:O134)</f>
        <v/>
      </c>
      <c r="Q134" s="1178">
        <f>IF(P133=0,0,P134/P133)</f>
        <v/>
      </c>
      <c r="R134" s="1179" t="inlineStr">
        <is>
          <t xml:space="preserve"> </t>
        </is>
      </c>
    </row>
    <row r="135" ht="19" customHeight="1" thickBot="1">
      <c r="B135" s="712" t="n"/>
      <c r="C135" s="301" t="inlineStr">
        <is>
          <t>Total Margin</t>
        </is>
      </c>
      <c r="D135" s="308">
        <f>D133-D134</f>
        <v/>
      </c>
      <c r="E135" s="308">
        <f>E133-E134</f>
        <v/>
      </c>
      <c r="F135" s="308">
        <f>F133-F134</f>
        <v/>
      </c>
      <c r="G135" s="308">
        <f>G133-G134</f>
        <v/>
      </c>
      <c r="H135" s="308">
        <f>H133-H134</f>
        <v/>
      </c>
      <c r="I135" s="308">
        <f>I133-I134</f>
        <v/>
      </c>
      <c r="J135" s="308">
        <f>J133-J134</f>
        <v/>
      </c>
      <c r="K135" s="308">
        <f>K133-K134</f>
        <v/>
      </c>
      <c r="L135" s="308">
        <f>L133-L134</f>
        <v/>
      </c>
      <c r="M135" s="308">
        <f>M133-M134</f>
        <v/>
      </c>
      <c r="N135" s="308">
        <f>N133-N134</f>
        <v/>
      </c>
      <c r="O135" s="309">
        <f>O133-O134</f>
        <v/>
      </c>
      <c r="P135" s="303">
        <f>SUM(D135:O135)</f>
        <v/>
      </c>
      <c r="Q135" s="1181">
        <f>IF(P133=0,0,P135/P133)</f>
        <v/>
      </c>
      <c r="R135" s="1182" t="inlineStr">
        <is>
          <t xml:space="preserve"> </t>
        </is>
      </c>
    </row>
    <row r="136" ht="19" customHeight="1" thickBot="1">
      <c r="B136" s="128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1227" t="inlineStr">
        <is>
          <t xml:space="preserve"> </t>
        </is>
      </c>
    </row>
    <row r="137" ht="18" customHeight="1">
      <c r="B137" s="1226" t="inlineStr">
        <is>
          <t>Total Real Estate</t>
        </is>
      </c>
      <c r="C137" s="1193" t="inlineStr">
        <is>
          <t>Total Real Estate Development</t>
        </is>
      </c>
      <c r="D137" s="1145" t="n"/>
      <c r="E137" s="1145" t="n"/>
      <c r="F137" s="1145" t="n"/>
      <c r="G137" s="1145" t="n"/>
      <c r="H137" s="1145" t="n"/>
      <c r="I137" s="1145" t="n"/>
      <c r="J137" s="1145" t="n"/>
      <c r="K137" s="1145" t="n"/>
      <c r="L137" s="1145" t="n"/>
      <c r="M137" s="1145" t="n"/>
      <c r="N137" s="1145" t="n"/>
      <c r="O137" s="1145" t="n"/>
      <c r="P137" s="1145" t="n"/>
      <c r="Q137" s="1145" t="n"/>
      <c r="R137" s="705" t="n"/>
    </row>
    <row r="138" ht="18" customHeight="1">
      <c r="B138" s="1180" t="n"/>
      <c r="C138" s="310" t="n"/>
      <c r="D138" s="183" t="n"/>
      <c r="E138" s="183" t="n"/>
      <c r="F138" s="183" t="n"/>
      <c r="G138" s="183" t="n"/>
      <c r="H138" s="183" t="n"/>
      <c r="I138" s="183" t="n"/>
      <c r="J138" s="183" t="n"/>
      <c r="K138" s="183" t="n"/>
      <c r="L138" s="183" t="n"/>
      <c r="M138" s="183" t="n"/>
      <c r="N138" s="183" t="n"/>
      <c r="O138" s="199" t="n"/>
      <c r="P138" s="182" t="n"/>
      <c r="Q138" s="180" t="n"/>
      <c r="R138" s="296" t="n"/>
    </row>
    <row r="139" ht="18" customHeight="1">
      <c r="B139" s="1180" t="n"/>
      <c r="C139" s="299" t="inlineStr">
        <is>
          <t>Total Sales</t>
        </is>
      </c>
      <c r="D139" s="195">
        <f>D43+D50</f>
        <v/>
      </c>
      <c r="E139" s="194">
        <f>E43+E50</f>
        <v/>
      </c>
      <c r="F139" s="194">
        <f>F43+F50</f>
        <v/>
      </c>
      <c r="G139" s="194">
        <f>G43+G50</f>
        <v/>
      </c>
      <c r="H139" s="194">
        <f>H43+H50</f>
        <v/>
      </c>
      <c r="I139" s="194">
        <f>I43+I50</f>
        <v/>
      </c>
      <c r="J139" s="194">
        <f>J43+J50</f>
        <v/>
      </c>
      <c r="K139" s="194">
        <f>K43+K50</f>
        <v/>
      </c>
      <c r="L139" s="194">
        <f>L43+L50</f>
        <v/>
      </c>
      <c r="M139" s="194">
        <f>M43+M50</f>
        <v/>
      </c>
      <c r="N139" s="194">
        <f>N43+N50</f>
        <v/>
      </c>
      <c r="O139" s="217">
        <f>O43+O50</f>
        <v/>
      </c>
      <c r="P139" s="59">
        <f>SUM(D139:O139)</f>
        <v/>
      </c>
      <c r="Q139" s="1175">
        <f>(Q140+Q141)</f>
        <v/>
      </c>
      <c r="R139" s="1176" t="inlineStr">
        <is>
          <t xml:space="preserve"> </t>
        </is>
      </c>
    </row>
    <row r="140" ht="18" customHeight="1">
      <c r="B140" s="1180" t="n"/>
      <c r="C140" s="299" t="inlineStr">
        <is>
          <t>Total COGS</t>
        </is>
      </c>
      <c r="D140" s="196">
        <f>D44+D51</f>
        <v/>
      </c>
      <c r="E140" s="193">
        <f>E44+E51</f>
        <v/>
      </c>
      <c r="F140" s="193">
        <f>F44+F51</f>
        <v/>
      </c>
      <c r="G140" s="193">
        <f>G44+G51</f>
        <v/>
      </c>
      <c r="H140" s="193">
        <f>H44+H51</f>
        <v/>
      </c>
      <c r="I140" s="193">
        <f>I44+I51</f>
        <v/>
      </c>
      <c r="J140" s="193">
        <f>J44+J51</f>
        <v/>
      </c>
      <c r="K140" s="193">
        <f>K44+K51</f>
        <v/>
      </c>
      <c r="L140" s="193">
        <f>L44+L51</f>
        <v/>
      </c>
      <c r="M140" s="193">
        <f>M44+M51</f>
        <v/>
      </c>
      <c r="N140" s="193">
        <f>N44+N51</f>
        <v/>
      </c>
      <c r="O140" s="218">
        <f>O44+O51</f>
        <v/>
      </c>
      <c r="P140" s="64">
        <f>SUM(D140:O140)</f>
        <v/>
      </c>
      <c r="Q140" s="1178">
        <f>IF(P139=0,0,P140/P139)</f>
        <v/>
      </c>
      <c r="R140" s="1179" t="inlineStr">
        <is>
          <t xml:space="preserve"> </t>
        </is>
      </c>
    </row>
    <row r="141" ht="19" customHeight="1" thickBot="1">
      <c r="B141" s="712" t="n"/>
      <c r="C141" s="301" t="inlineStr">
        <is>
          <t>Total Margin</t>
        </is>
      </c>
      <c r="D141" s="311">
        <f>D139-D140</f>
        <v/>
      </c>
      <c r="E141" s="308">
        <f>E139-E140</f>
        <v/>
      </c>
      <c r="F141" s="308">
        <f>F139-F140</f>
        <v/>
      </c>
      <c r="G141" s="308">
        <f>G139-G140</f>
        <v/>
      </c>
      <c r="H141" s="308">
        <f>H139-H140</f>
        <v/>
      </c>
      <c r="I141" s="308">
        <f>I139-I140</f>
        <v/>
      </c>
      <c r="J141" s="308">
        <f>J139-J140</f>
        <v/>
      </c>
      <c r="K141" s="308">
        <f>K139-K140</f>
        <v/>
      </c>
      <c r="L141" s="308">
        <f>L139-L140</f>
        <v/>
      </c>
      <c r="M141" s="308">
        <f>M139-M140</f>
        <v/>
      </c>
      <c r="N141" s="308">
        <f>N139-N140</f>
        <v/>
      </c>
      <c r="O141" s="309">
        <f>O139-O140</f>
        <v/>
      </c>
      <c r="P141" s="303">
        <f>SUM(D141:O141)</f>
        <v/>
      </c>
      <c r="Q141" s="1181">
        <f>IF(P139=0,0,P141/P139)</f>
        <v/>
      </c>
      <c r="R141" s="1182" t="inlineStr">
        <is>
          <t xml:space="preserve"> </t>
        </is>
      </c>
    </row>
    <row r="142" ht="16" customHeight="1" thickBot="1">
      <c r="B142" s="128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</row>
    <row r="143" ht="18" customHeight="1">
      <c r="B143" s="1226" t="inlineStr">
        <is>
          <t>Total Pharma</t>
        </is>
      </c>
      <c r="C143" s="1193" t="inlineStr">
        <is>
          <t>Total Pharma</t>
        </is>
      </c>
      <c r="D143" s="1145" t="n"/>
      <c r="E143" s="1145" t="n"/>
      <c r="F143" s="1145" t="n"/>
      <c r="G143" s="1145" t="n"/>
      <c r="H143" s="1145" t="n"/>
      <c r="I143" s="1145" t="n"/>
      <c r="J143" s="1145" t="n"/>
      <c r="K143" s="1145" t="n"/>
      <c r="L143" s="1145" t="n"/>
      <c r="M143" s="1145" t="n"/>
      <c r="N143" s="1145" t="n"/>
      <c r="O143" s="1145" t="n"/>
      <c r="P143" s="1145" t="n"/>
      <c r="Q143" s="1145" t="n"/>
      <c r="R143" s="705" t="n"/>
    </row>
    <row r="144" ht="18" customHeight="1">
      <c r="B144" s="1180" t="n"/>
      <c r="C144" s="295" t="n"/>
      <c r="D144" s="183" t="n"/>
      <c r="E144" s="183" t="n"/>
      <c r="F144" s="183" t="n"/>
      <c r="G144" s="183" t="n"/>
      <c r="H144" s="183" t="n"/>
      <c r="I144" s="183" t="n"/>
      <c r="J144" s="183" t="n"/>
      <c r="K144" s="183" t="n"/>
      <c r="L144" s="183" t="n"/>
      <c r="M144" s="183" t="n"/>
      <c r="N144" s="183" t="n"/>
      <c r="O144" s="199" t="n"/>
      <c r="P144" s="182" t="n"/>
      <c r="Q144" s="180" t="n"/>
      <c r="R144" s="296" t="n"/>
    </row>
    <row r="145" ht="18" customHeight="1">
      <c r="B145" s="1180" t="n"/>
      <c r="C145" s="297" t="inlineStr">
        <is>
          <t>Total Sales</t>
        </is>
      </c>
      <c r="D145" s="194">
        <f>D57+D64</f>
        <v/>
      </c>
      <c r="E145" s="194">
        <f>E57+E64</f>
        <v/>
      </c>
      <c r="F145" s="194">
        <f>F57+F64</f>
        <v/>
      </c>
      <c r="G145" s="194">
        <f>G57+G64</f>
        <v/>
      </c>
      <c r="H145" s="194">
        <f>H57+H64</f>
        <v/>
      </c>
      <c r="I145" s="194">
        <f>I57+I64</f>
        <v/>
      </c>
      <c r="J145" s="194">
        <f>J57+J64</f>
        <v/>
      </c>
      <c r="K145" s="194">
        <f>K57+K64</f>
        <v/>
      </c>
      <c r="L145" s="194">
        <f>L57+L64</f>
        <v/>
      </c>
      <c r="M145" s="194">
        <f>M57+M64</f>
        <v/>
      </c>
      <c r="N145" s="194">
        <f>N57+N64</f>
        <v/>
      </c>
      <c r="O145" s="217">
        <f>O57+O64</f>
        <v/>
      </c>
      <c r="P145" s="59">
        <f>SUM(D145:O145)</f>
        <v/>
      </c>
      <c r="Q145" s="1175">
        <f>(Q146+Q147)</f>
        <v/>
      </c>
      <c r="R145" s="1176" t="inlineStr">
        <is>
          <t xml:space="preserve"> </t>
        </is>
      </c>
    </row>
    <row r="146" ht="18" customHeight="1">
      <c r="B146" s="1180" t="n"/>
      <c r="C146" s="299" t="inlineStr">
        <is>
          <t>Total COGS</t>
        </is>
      </c>
      <c r="D146" s="193">
        <f>D58+D65</f>
        <v/>
      </c>
      <c r="E146" s="193">
        <f>E58+E65</f>
        <v/>
      </c>
      <c r="F146" s="193">
        <f>F58+F65</f>
        <v/>
      </c>
      <c r="G146" s="193">
        <f>G58+G65</f>
        <v/>
      </c>
      <c r="H146" s="193">
        <f>H58+H65</f>
        <v/>
      </c>
      <c r="I146" s="193">
        <f>I58+I65</f>
        <v/>
      </c>
      <c r="J146" s="193">
        <f>J58+J65</f>
        <v/>
      </c>
      <c r="K146" s="193">
        <f>K58+K65</f>
        <v/>
      </c>
      <c r="L146" s="193">
        <f>L58+L65</f>
        <v/>
      </c>
      <c r="M146" s="193">
        <f>M58+M65</f>
        <v/>
      </c>
      <c r="N146" s="193">
        <f>N58+N65</f>
        <v/>
      </c>
      <c r="O146" s="218">
        <f>O58+O65</f>
        <v/>
      </c>
      <c r="P146" s="64">
        <f>SUM(D146:O146)</f>
        <v/>
      </c>
      <c r="Q146" s="1178">
        <f>IF(P145=0,0,P146/P145)</f>
        <v/>
      </c>
      <c r="R146" s="1179" t="inlineStr">
        <is>
          <t xml:space="preserve"> </t>
        </is>
      </c>
    </row>
    <row r="147" ht="19" customHeight="1" thickBot="1">
      <c r="B147" s="712" t="n"/>
      <c r="C147" s="301" t="inlineStr">
        <is>
          <t>Total Margin</t>
        </is>
      </c>
      <c r="D147" s="308">
        <f>D145-D146</f>
        <v/>
      </c>
      <c r="E147" s="308">
        <f>E145-E146</f>
        <v/>
      </c>
      <c r="F147" s="308">
        <f>F145-F146</f>
        <v/>
      </c>
      <c r="G147" s="308">
        <f>G145-G146</f>
        <v/>
      </c>
      <c r="H147" s="308">
        <f>H145-H146</f>
        <v/>
      </c>
      <c r="I147" s="308">
        <f>I145-I146</f>
        <v/>
      </c>
      <c r="J147" s="308">
        <f>J145-J146</f>
        <v/>
      </c>
      <c r="K147" s="308">
        <f>K145-K146</f>
        <v/>
      </c>
      <c r="L147" s="308">
        <f>L145-L146</f>
        <v/>
      </c>
      <c r="M147" s="308">
        <f>M145-M146</f>
        <v/>
      </c>
      <c r="N147" s="308">
        <f>N145-N146</f>
        <v/>
      </c>
      <c r="O147" s="309">
        <f>O145-O146</f>
        <v/>
      </c>
      <c r="P147" s="303">
        <f>SUM(D147:O147)</f>
        <v/>
      </c>
      <c r="Q147" s="1181">
        <f>IF(P145=0,0,P147/P145)</f>
        <v/>
      </c>
      <c r="R147" s="1182" t="inlineStr">
        <is>
          <t xml:space="preserve"> </t>
        </is>
      </c>
    </row>
    <row r="148" ht="16" customHeight="1" thickBot="1">
      <c r="B148" s="202" t="n"/>
      <c r="C148" s="209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215" t="n"/>
      <c r="P148" s="46" t="n"/>
      <c r="Q148" s="46" t="n"/>
      <c r="R148" s="46" t="n"/>
    </row>
    <row r="149" ht="18" customHeight="1">
      <c r="B149" s="1226" t="inlineStr">
        <is>
          <t>Total Professional Services</t>
        </is>
      </c>
      <c r="C149" s="1193" t="inlineStr">
        <is>
          <t>Total Professional Services</t>
        </is>
      </c>
      <c r="D149" s="1145" t="n"/>
      <c r="E149" s="1145" t="n"/>
      <c r="F149" s="1145" t="n"/>
      <c r="G149" s="1145" t="n"/>
      <c r="H149" s="1145" t="n"/>
      <c r="I149" s="1145" t="n"/>
      <c r="J149" s="1145" t="n"/>
      <c r="K149" s="1145" t="n"/>
      <c r="L149" s="1145" t="n"/>
      <c r="M149" s="1145" t="n"/>
      <c r="N149" s="1145" t="n"/>
      <c r="O149" s="1145" t="n"/>
      <c r="P149" s="1145" t="n"/>
      <c r="Q149" s="1145" t="n"/>
      <c r="R149" s="705" t="n"/>
    </row>
    <row r="150" ht="18" customHeight="1">
      <c r="B150" s="1180" t="n"/>
      <c r="C150" s="306" t="n"/>
      <c r="D150" s="183" t="n"/>
      <c r="E150" s="183" t="n"/>
      <c r="F150" s="183" t="n"/>
      <c r="G150" s="183" t="n"/>
      <c r="H150" s="183" t="n"/>
      <c r="I150" s="183" t="n"/>
      <c r="J150" s="183" t="n"/>
      <c r="K150" s="183" t="n"/>
      <c r="L150" s="183" t="n"/>
      <c r="M150" s="183" t="n"/>
      <c r="N150" s="183" t="n"/>
      <c r="O150" s="199" t="n"/>
      <c r="P150" s="182" t="n"/>
      <c r="Q150" s="180" t="n"/>
      <c r="R150" s="296" t="n"/>
    </row>
    <row r="151" ht="18" customHeight="1">
      <c r="B151" s="1180" t="n"/>
      <c r="C151" s="297" t="inlineStr">
        <is>
          <t>Total Sales</t>
        </is>
      </c>
      <c r="D151" s="194">
        <f>D71+D78</f>
        <v/>
      </c>
      <c r="E151" s="194">
        <f>E71+E78</f>
        <v/>
      </c>
      <c r="F151" s="194">
        <f>F71+F78</f>
        <v/>
      </c>
      <c r="G151" s="194">
        <f>G71+G78</f>
        <v/>
      </c>
      <c r="H151" s="194">
        <f>H71+H78</f>
        <v/>
      </c>
      <c r="I151" s="194">
        <f>I71+I78</f>
        <v/>
      </c>
      <c r="J151" s="194">
        <f>J71+J78</f>
        <v/>
      </c>
      <c r="K151" s="194">
        <f>K71+K78</f>
        <v/>
      </c>
      <c r="L151" s="194">
        <f>L71+L78</f>
        <v/>
      </c>
      <c r="M151" s="194">
        <f>M71+M78</f>
        <v/>
      </c>
      <c r="N151" s="194">
        <f>N71+N78</f>
        <v/>
      </c>
      <c r="O151" s="217">
        <f>O71+O78</f>
        <v/>
      </c>
      <c r="P151" s="59">
        <f>SUM(D151:O151)</f>
        <v/>
      </c>
      <c r="Q151" s="1175">
        <f>(Q152+Q153)</f>
        <v/>
      </c>
      <c r="R151" s="1176" t="inlineStr">
        <is>
          <t xml:space="preserve"> </t>
        </is>
      </c>
    </row>
    <row r="152" ht="18" customHeight="1">
      <c r="B152" s="1180" t="n"/>
      <c r="C152" s="299" t="inlineStr">
        <is>
          <t>Total COGS</t>
        </is>
      </c>
      <c r="D152" s="193">
        <f>D72+D79</f>
        <v/>
      </c>
      <c r="E152" s="193">
        <f>E72+E79</f>
        <v/>
      </c>
      <c r="F152" s="193">
        <f>F72+F79</f>
        <v/>
      </c>
      <c r="G152" s="193">
        <f>G72+G79</f>
        <v/>
      </c>
      <c r="H152" s="193">
        <f>H72+H79</f>
        <v/>
      </c>
      <c r="I152" s="193">
        <f>I72+I79</f>
        <v/>
      </c>
      <c r="J152" s="193">
        <f>J72+J79</f>
        <v/>
      </c>
      <c r="K152" s="193">
        <f>K72+K79</f>
        <v/>
      </c>
      <c r="L152" s="193">
        <f>L72+L79</f>
        <v/>
      </c>
      <c r="M152" s="193">
        <f>M72+M79</f>
        <v/>
      </c>
      <c r="N152" s="193">
        <f>N72+N79</f>
        <v/>
      </c>
      <c r="O152" s="218">
        <f>O72+O79</f>
        <v/>
      </c>
      <c r="P152" s="64">
        <f>SUM(D152:O152)</f>
        <v/>
      </c>
      <c r="Q152" s="1178">
        <f>IF(P151=0,0,P152/P151)</f>
        <v/>
      </c>
      <c r="R152" s="1179" t="inlineStr">
        <is>
          <t xml:space="preserve"> </t>
        </is>
      </c>
    </row>
    <row r="153" ht="19" customHeight="1" thickBot="1">
      <c r="B153" s="712" t="n"/>
      <c r="C153" s="301" t="inlineStr">
        <is>
          <t>Total Margin</t>
        </is>
      </c>
      <c r="D153" s="308">
        <f>D151-D152</f>
        <v/>
      </c>
      <c r="E153" s="308">
        <f>E151-E152</f>
        <v/>
      </c>
      <c r="F153" s="308">
        <f>F151-F152</f>
        <v/>
      </c>
      <c r="G153" s="308">
        <f>G151-G152</f>
        <v/>
      </c>
      <c r="H153" s="308">
        <f>H151-H152</f>
        <v/>
      </c>
      <c r="I153" s="308">
        <f>I151-I152</f>
        <v/>
      </c>
      <c r="J153" s="308">
        <f>J151-J152</f>
        <v/>
      </c>
      <c r="K153" s="308">
        <f>K151-K152</f>
        <v/>
      </c>
      <c r="L153" s="308">
        <f>L151-L152</f>
        <v/>
      </c>
      <c r="M153" s="308">
        <f>M151-M152</f>
        <v/>
      </c>
      <c r="N153" s="308">
        <f>N151-N152</f>
        <v/>
      </c>
      <c r="O153" s="309">
        <f>O151-O152</f>
        <v/>
      </c>
      <c r="P153" s="303">
        <f>SUM(D153:O153)</f>
        <v/>
      </c>
      <c r="Q153" s="1181">
        <f>IF(P151=0,0,P153/P151)</f>
        <v/>
      </c>
      <c r="R153" s="1182" t="inlineStr">
        <is>
          <t xml:space="preserve"> </t>
        </is>
      </c>
    </row>
    <row r="154" ht="16" customHeight="1" thickBot="1">
      <c r="B154" s="128" t="n"/>
      <c r="C154" s="209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</row>
    <row r="155" ht="18" customHeight="1">
      <c r="B155" s="1228" t="inlineStr">
        <is>
          <t>Consultancy</t>
        </is>
      </c>
      <c r="C155" s="1004" t="inlineStr">
        <is>
          <t>Consultancy</t>
        </is>
      </c>
      <c r="D155" s="1229" t="n"/>
      <c r="E155" s="1229" t="n"/>
      <c r="F155" s="1229" t="n"/>
      <c r="G155" s="1229" t="n"/>
      <c r="H155" s="1229" t="n"/>
      <c r="I155" s="1229" t="n"/>
      <c r="J155" s="1229" t="n"/>
      <c r="K155" s="1229" t="n"/>
      <c r="L155" s="1229" t="n"/>
      <c r="M155" s="1229" t="n"/>
      <c r="N155" s="1229" t="n"/>
      <c r="O155" s="1229" t="n"/>
      <c r="P155" s="1229" t="n"/>
      <c r="Q155" s="1229" t="n"/>
      <c r="R155" s="1230" t="n"/>
    </row>
    <row r="156" ht="18" customHeight="1">
      <c r="B156" s="1231" t="n"/>
      <c r="C156" s="342" t="n"/>
      <c r="D156" s="200" t="n"/>
      <c r="E156" s="200" t="n"/>
      <c r="F156" s="200" t="n"/>
      <c r="G156" s="200" t="n"/>
      <c r="H156" s="200" t="n"/>
      <c r="I156" s="200" t="n"/>
      <c r="J156" s="200" t="n"/>
      <c r="K156" s="200" t="n"/>
      <c r="L156" s="200" t="n"/>
      <c r="M156" s="200" t="n"/>
      <c r="N156" s="200" t="n"/>
      <c r="O156" s="201" t="n"/>
      <c r="P156" s="182" t="n"/>
      <c r="Q156" s="180" t="n"/>
      <c r="R156" s="346" t="n"/>
    </row>
    <row r="157" ht="18" customHeight="1">
      <c r="B157" s="1231" t="n"/>
      <c r="C157" s="117" t="inlineStr">
        <is>
          <t>Total Sales</t>
        </is>
      </c>
      <c r="D157" s="194">
        <f>D91+D85</f>
        <v/>
      </c>
      <c r="E157" s="194">
        <f>E91+E85</f>
        <v/>
      </c>
      <c r="F157" s="194">
        <f>F91+F85</f>
        <v/>
      </c>
      <c r="G157" s="194">
        <f>G91+G85</f>
        <v/>
      </c>
      <c r="H157" s="194">
        <f>H91+H85</f>
        <v/>
      </c>
      <c r="I157" s="194">
        <f>I91+I85</f>
        <v/>
      </c>
      <c r="J157" s="194">
        <f>J91+J85</f>
        <v/>
      </c>
      <c r="K157" s="194">
        <f>K91+K85</f>
        <v/>
      </c>
      <c r="L157" s="194">
        <f>L91+L85</f>
        <v/>
      </c>
      <c r="M157" s="194">
        <f>M91+M85</f>
        <v/>
      </c>
      <c r="N157" s="194">
        <f>N91+N85</f>
        <v/>
      </c>
      <c r="O157" s="217">
        <f>O91+O85</f>
        <v/>
      </c>
      <c r="P157" s="197">
        <f>SUM(D157:O157)</f>
        <v/>
      </c>
      <c r="Q157" s="1175">
        <f>(Q158+Q159)</f>
        <v/>
      </c>
      <c r="R157" s="1176" t="inlineStr">
        <is>
          <t xml:space="preserve"> </t>
        </is>
      </c>
    </row>
    <row r="158" ht="18" customHeight="1">
      <c r="B158" s="1231" t="n"/>
      <c r="C158" s="118" t="inlineStr">
        <is>
          <t>Total COGS</t>
        </is>
      </c>
      <c r="D158" s="193">
        <f>D86+D92</f>
        <v/>
      </c>
      <c r="E158" s="193">
        <f>E86+E92</f>
        <v/>
      </c>
      <c r="F158" s="193">
        <f>F86+F92</f>
        <v/>
      </c>
      <c r="G158" s="193">
        <f>G86+G92</f>
        <v/>
      </c>
      <c r="H158" s="193">
        <f>H86+H92</f>
        <v/>
      </c>
      <c r="I158" s="193">
        <f>I86+I92</f>
        <v/>
      </c>
      <c r="J158" s="193">
        <f>J86+J92</f>
        <v/>
      </c>
      <c r="K158" s="193">
        <f>K86+K92</f>
        <v/>
      </c>
      <c r="L158" s="193">
        <f>L86+L92</f>
        <v/>
      </c>
      <c r="M158" s="193">
        <f>M86+M92</f>
        <v/>
      </c>
      <c r="N158" s="193">
        <f>N86+N92</f>
        <v/>
      </c>
      <c r="O158" s="193">
        <f>O86+O92</f>
        <v/>
      </c>
      <c r="P158" s="198">
        <f>SUM(D157:O157)</f>
        <v/>
      </c>
      <c r="Q158" s="1178">
        <f>IF(P157=0,0,P158/P157)</f>
        <v/>
      </c>
      <c r="R158" s="1179" t="inlineStr">
        <is>
          <t xml:space="preserve"> </t>
        </is>
      </c>
    </row>
    <row r="159" ht="19" customHeight="1" thickBot="1">
      <c r="B159" s="1232" t="n"/>
      <c r="C159" s="347" t="inlineStr">
        <is>
          <t>Total Margin</t>
        </is>
      </c>
      <c r="D159" s="308">
        <f>D157-D158</f>
        <v/>
      </c>
      <c r="E159" s="308">
        <f>E157-E158</f>
        <v/>
      </c>
      <c r="F159" s="308">
        <f>F157-F158</f>
        <v/>
      </c>
      <c r="G159" s="308">
        <f>G157-G158</f>
        <v/>
      </c>
      <c r="H159" s="308">
        <f>H157-H158</f>
        <v/>
      </c>
      <c r="I159" s="308">
        <f>I157-I158</f>
        <v/>
      </c>
      <c r="J159" s="308">
        <f>J157-J158</f>
        <v/>
      </c>
      <c r="K159" s="308">
        <f>K157-K158</f>
        <v/>
      </c>
      <c r="L159" s="308">
        <f>L157-L158</f>
        <v/>
      </c>
      <c r="M159" s="308">
        <f>M157-M158</f>
        <v/>
      </c>
      <c r="N159" s="308">
        <f>N157-N158</f>
        <v/>
      </c>
      <c r="O159" s="309">
        <f>O157-O158</f>
        <v/>
      </c>
      <c r="P159" s="348">
        <f>SUM(D158:O158)</f>
        <v/>
      </c>
      <c r="Q159" s="1181">
        <f>IF(P157=0,0,P159/P157)</f>
        <v/>
      </c>
      <c r="R159" s="1182" t="inlineStr">
        <is>
          <t xml:space="preserve"> </t>
        </is>
      </c>
    </row>
    <row r="160" ht="16" customHeight="1" thickBot="1">
      <c r="B160" s="128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18" customHeight="1">
      <c r="B161" s="1233" t="inlineStr">
        <is>
          <t>Total Support</t>
        </is>
      </c>
      <c r="C161" s="986" t="inlineStr">
        <is>
          <t>Total Support</t>
        </is>
      </c>
      <c r="D161" s="1234" t="n"/>
      <c r="E161" s="1234" t="n"/>
      <c r="F161" s="1234" t="n"/>
      <c r="G161" s="1234" t="n"/>
      <c r="H161" s="1234" t="n"/>
      <c r="I161" s="1234" t="n"/>
      <c r="J161" s="1234" t="n"/>
      <c r="K161" s="1234" t="n"/>
      <c r="L161" s="1234" t="n"/>
      <c r="M161" s="1234" t="n"/>
      <c r="N161" s="1234" t="n"/>
      <c r="O161" s="1234" t="n"/>
      <c r="P161" s="1234" t="n"/>
      <c r="Q161" s="1234" t="n"/>
      <c r="R161" s="1235" t="n"/>
    </row>
    <row r="162" ht="18" customHeight="1">
      <c r="B162" s="359" t="n"/>
      <c r="C162" s="997" t="n"/>
      <c r="D162" s="997" t="n"/>
      <c r="E162" s="997" t="n"/>
      <c r="F162" s="997" t="n"/>
      <c r="G162" s="997" t="n"/>
      <c r="H162" s="997" t="n"/>
      <c r="I162" s="997" t="n"/>
      <c r="J162" s="997" t="n"/>
      <c r="K162" s="997" t="n"/>
      <c r="L162" s="997" t="n"/>
      <c r="M162" s="997" t="n"/>
      <c r="N162" s="997" t="n"/>
      <c r="O162" s="997" t="n"/>
      <c r="P162" s="997" t="n"/>
      <c r="Q162" s="997" t="n"/>
      <c r="R162" s="222" t="n"/>
    </row>
    <row r="163" ht="18" customHeight="1">
      <c r="B163" s="359" t="n"/>
      <c r="C163" s="349" t="inlineStr">
        <is>
          <t>Total Sales</t>
        </is>
      </c>
      <c r="D163" s="350">
        <f>(D76+D69+D62+D55+D48+D41+D34+D27)*$D$10</f>
        <v/>
      </c>
      <c r="E163" s="350">
        <f>(E76+E69+E62+E55+E48+E41+E34+E27)*$D$10</f>
        <v/>
      </c>
      <c r="F163" s="350">
        <f>(F76+F69+F62+F55+F48+F41+F34+F27)*$D$10</f>
        <v/>
      </c>
      <c r="G163" s="350">
        <f>(G76+G69+G62+G55+G48+G41+G34+G27)*$D$10</f>
        <v/>
      </c>
      <c r="H163" s="350">
        <f>(H76+H69+H62+H55+H48+H41+H34+H27)*$D$10</f>
        <v/>
      </c>
      <c r="I163" s="350">
        <f>(I76+I69+I62+I55+I48+I41+I34+I27)*$D$10</f>
        <v/>
      </c>
      <c r="J163" s="350">
        <f>(J76+J69+J62+J55+J48+J41+J34+J27)*$D$10</f>
        <v/>
      </c>
      <c r="K163" s="350">
        <f>(K76+K69+K62+K55+K48+K41+K34+K27)*$D$10</f>
        <v/>
      </c>
      <c r="L163" s="350">
        <f>(L76+L69+L62+L55+L48+L41+L34+L27)*$D$10</f>
        <v/>
      </c>
      <c r="M163" s="350">
        <f>(M76+M69+M62+M55+M48+M41+M34+M27)*$D$10</f>
        <v/>
      </c>
      <c r="N163" s="350">
        <f>(N76+N69+N62+N55+N48+N41+N34+N27)*$D$10</f>
        <v/>
      </c>
      <c r="O163" s="351">
        <f>(O76+O69+O62+O55+O48+O41+O34+O27)*$D$10</f>
        <v/>
      </c>
      <c r="P163" s="59">
        <f>SUM(D163:O163)</f>
        <v/>
      </c>
      <c r="Q163" s="1175">
        <f>(Q164+Q165)</f>
        <v/>
      </c>
      <c r="R163" s="1236" t="inlineStr">
        <is>
          <t xml:space="preserve"> </t>
        </is>
      </c>
    </row>
    <row r="164" ht="18" customHeight="1">
      <c r="B164" s="359" t="n"/>
      <c r="C164" s="118" t="inlineStr">
        <is>
          <t>Total COGS</t>
        </is>
      </c>
      <c r="D164" s="193">
        <f>(D76+D69+D62+D55+D48+D41+D34+D27)*$E$10</f>
        <v/>
      </c>
      <c r="E164" s="193">
        <f>(E76+E69+E62+E55+E48+E41+E34+E27)*$E$10</f>
        <v/>
      </c>
      <c r="F164" s="193">
        <f>(F76+F69+F62+F55+F48+F41+F34+F27)*$E$10</f>
        <v/>
      </c>
      <c r="G164" s="193">
        <f>(G76+G69+G62+G55+G48+G41+G34+G27)*$E$10</f>
        <v/>
      </c>
      <c r="H164" s="193">
        <f>(H76+H69+H62+H55+H48+H41+H34+H27)*$E$10</f>
        <v/>
      </c>
      <c r="I164" s="193">
        <f>(I76+I69+I62+I55+I48+I41+I34+I27)*$E$10</f>
        <v/>
      </c>
      <c r="J164" s="193">
        <f>(J76+J69+J62+J55+J48+J41+J34+J27)*$E$10</f>
        <v/>
      </c>
      <c r="K164" s="193">
        <f>(K76+K69+K62+K55+K48+K41+K34+K27)*$E$10</f>
        <v/>
      </c>
      <c r="L164" s="193">
        <f>(L76+L69+L62+L55+L48+L41+L34+L27)*$E$10</f>
        <v/>
      </c>
      <c r="M164" s="193">
        <f>(M76+M69+M62+M55+M48+M41+M34+M27)*$E$10</f>
        <v/>
      </c>
      <c r="N164" s="193">
        <f>(N76+N69+N62+N55+N48+N41+N34+N27)*$E$10</f>
        <v/>
      </c>
      <c r="O164" s="193">
        <f>(O76+O69+O62+O55+O48+O41+O34+O27)*$E$10</f>
        <v/>
      </c>
      <c r="P164" s="345">
        <f>SUM(D164:O164)</f>
        <v/>
      </c>
      <c r="Q164" s="1178">
        <f>IF(P163=0,0,P164/P163)</f>
        <v/>
      </c>
      <c r="R164" s="1237" t="inlineStr">
        <is>
          <t xml:space="preserve"> </t>
        </is>
      </c>
    </row>
    <row r="165" ht="19" customHeight="1" thickBot="1">
      <c r="B165" s="1114" t="n"/>
      <c r="C165" s="343" t="inlineStr">
        <is>
          <t>Total Margin</t>
        </is>
      </c>
      <c r="D165" s="111">
        <f>D163-D164</f>
        <v/>
      </c>
      <c r="E165" s="111">
        <f>E163-E164</f>
        <v/>
      </c>
      <c r="F165" s="111">
        <f>F163-F164</f>
        <v/>
      </c>
      <c r="G165" s="111">
        <f>G163-G164</f>
        <v/>
      </c>
      <c r="H165" s="111">
        <f>H163-H164</f>
        <v/>
      </c>
      <c r="I165" s="111">
        <f>I163-I164</f>
        <v/>
      </c>
      <c r="J165" s="111">
        <f>J163-J164</f>
        <v/>
      </c>
      <c r="K165" s="111">
        <f>K163-K164</f>
        <v/>
      </c>
      <c r="L165" s="111">
        <f>L163-L164</f>
        <v/>
      </c>
      <c r="M165" s="111">
        <f>M163-M164</f>
        <v/>
      </c>
      <c r="N165" s="111">
        <f>N163-N164</f>
        <v/>
      </c>
      <c r="O165" s="111">
        <f>O163-O164</f>
        <v/>
      </c>
      <c r="P165" s="344">
        <f>SUM(D165:O165)</f>
        <v/>
      </c>
      <c r="Q165" s="1238">
        <f>IF(P163=0,0,P165/P163)</f>
        <v/>
      </c>
      <c r="R165" s="1239" t="inlineStr">
        <is>
          <t xml:space="preserve"> </t>
        </is>
      </c>
    </row>
    <row r="166" ht="19" customHeight="1" thickBot="1">
      <c r="B166" s="989" t="n"/>
      <c r="C166" s="711" t="n"/>
      <c r="D166" s="711" t="n"/>
      <c r="E166" s="711" t="n"/>
      <c r="F166" s="711" t="n"/>
      <c r="G166" s="711" t="n"/>
      <c r="H166" s="711" t="n"/>
      <c r="I166" s="711" t="n"/>
      <c r="J166" s="711" t="n"/>
      <c r="K166" s="711" t="n"/>
      <c r="L166" s="711" t="n"/>
      <c r="M166" s="340" t="n"/>
      <c r="N166" s="340" t="n"/>
      <c r="O166" s="340" t="n"/>
      <c r="P166" s="103" t="n"/>
      <c r="Q166" s="1208" t="n"/>
      <c r="R166" s="1240" t="n"/>
    </row>
    <row r="167" ht="18" customHeight="1">
      <c r="B167" s="1226" t="inlineStr">
        <is>
          <t>Total Admin</t>
        </is>
      </c>
      <c r="C167" s="1193" t="inlineStr">
        <is>
          <t>Administrative and On-Boarding</t>
        </is>
      </c>
      <c r="D167" s="1145" t="n"/>
      <c r="E167" s="1145" t="n"/>
      <c r="F167" s="1145" t="n"/>
      <c r="G167" s="1145" t="n"/>
      <c r="H167" s="1145" t="n"/>
      <c r="I167" s="1145" t="n"/>
      <c r="J167" s="1145" t="n"/>
      <c r="K167" s="1145" t="n"/>
      <c r="L167" s="1145" t="n"/>
      <c r="M167" s="1145" t="n"/>
      <c r="N167" s="1145" t="n"/>
      <c r="O167" s="1145" t="n"/>
      <c r="P167" s="1145" t="n"/>
      <c r="Q167" s="1145" t="n"/>
      <c r="R167" s="705" t="n"/>
    </row>
    <row r="168" ht="18" customHeight="1">
      <c r="B168" s="1180" t="n"/>
      <c r="C168" s="295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1" t="n"/>
      <c r="P168" s="182" t="n"/>
      <c r="Q168" s="180" t="n"/>
      <c r="R168" s="296" t="n"/>
    </row>
    <row r="169" ht="18" customHeight="1">
      <c r="B169" s="1180" t="n"/>
      <c r="C169" s="297" t="inlineStr">
        <is>
          <t>Total Sales</t>
        </is>
      </c>
      <c r="D169" s="194">
        <f>D119+D114+D108+D102</f>
        <v/>
      </c>
      <c r="E169" s="194">
        <f>E119+E114+E108+E102</f>
        <v/>
      </c>
      <c r="F169" s="194">
        <f>F119+F114+F108+F102</f>
        <v/>
      </c>
      <c r="G169" s="194">
        <f>G119+G114+G108+G102</f>
        <v/>
      </c>
      <c r="H169" s="194">
        <f>H119+H114+H108+H102</f>
        <v/>
      </c>
      <c r="I169" s="194">
        <f>I119+I114+I108+I102</f>
        <v/>
      </c>
      <c r="J169" s="194">
        <f>J119+J114+J108+J102</f>
        <v/>
      </c>
      <c r="K169" s="194">
        <f>K119+K114+K108+K102</f>
        <v/>
      </c>
      <c r="L169" s="194">
        <f>L119+L114+L108+L102</f>
        <v/>
      </c>
      <c r="M169" s="194">
        <f>M119+M114+M108+M102</f>
        <v/>
      </c>
      <c r="N169" s="194">
        <f>N119+N114+N108+N102</f>
        <v/>
      </c>
      <c r="O169" s="194">
        <f>O119+O114+O108+O102</f>
        <v/>
      </c>
      <c r="P169" s="59">
        <f>SUM(D169:O169)</f>
        <v/>
      </c>
      <c r="Q169" s="1175">
        <f>(Q170+Q171)</f>
        <v/>
      </c>
      <c r="R169" s="1176" t="inlineStr">
        <is>
          <t xml:space="preserve"> </t>
        </is>
      </c>
    </row>
    <row r="170" ht="18" customHeight="1">
      <c r="B170" s="1180" t="n"/>
      <c r="C170" s="299" t="inlineStr">
        <is>
          <t>Total COGS</t>
        </is>
      </c>
      <c r="D170" s="193">
        <f>D121+D115+D109+D103</f>
        <v/>
      </c>
      <c r="E170" s="193">
        <f>E121+E115+E109+E103</f>
        <v/>
      </c>
      <c r="F170" s="193">
        <f>F121+F115+F109+F103</f>
        <v/>
      </c>
      <c r="G170" s="193">
        <f>G121+G115+G109+G103</f>
        <v/>
      </c>
      <c r="H170" s="193">
        <f>H121+H115+H109+H103</f>
        <v/>
      </c>
      <c r="I170" s="193">
        <f>I121+I115+I109+I103</f>
        <v/>
      </c>
      <c r="J170" s="193">
        <f>J121+J115+J109+J103</f>
        <v/>
      </c>
      <c r="K170" s="193">
        <f>K121+K115+K109+K103</f>
        <v/>
      </c>
      <c r="L170" s="193">
        <f>L121+L115+L109+L103</f>
        <v/>
      </c>
      <c r="M170" s="193">
        <f>M121+M115+M109+M103</f>
        <v/>
      </c>
      <c r="N170" s="193">
        <f>N121+N115+N109+N103</f>
        <v/>
      </c>
      <c r="O170" s="193">
        <f>O121+O115+O109+O103</f>
        <v/>
      </c>
      <c r="P170" s="64">
        <f>SUM(D170:O170)</f>
        <v/>
      </c>
      <c r="Q170" s="1178">
        <f>IF(P169=0,0,P170/P169)</f>
        <v/>
      </c>
      <c r="R170" s="1179" t="inlineStr">
        <is>
          <t xml:space="preserve"> </t>
        </is>
      </c>
    </row>
    <row r="171" ht="19" customHeight="1" thickBot="1">
      <c r="B171" s="712" t="n"/>
      <c r="C171" s="301" t="inlineStr">
        <is>
          <t>Total Margin</t>
        </is>
      </c>
      <c r="D171" s="308">
        <f>D169-D170</f>
        <v/>
      </c>
      <c r="E171" s="308">
        <f>E169-E170</f>
        <v/>
      </c>
      <c r="F171" s="308">
        <f>F169-F170</f>
        <v/>
      </c>
      <c r="G171" s="308">
        <f>G169-G170</f>
        <v/>
      </c>
      <c r="H171" s="308">
        <f>H169-H170</f>
        <v/>
      </c>
      <c r="I171" s="308">
        <f>I169-I170</f>
        <v/>
      </c>
      <c r="J171" s="308">
        <f>J169-J170</f>
        <v/>
      </c>
      <c r="K171" s="308">
        <f>K169-K170</f>
        <v/>
      </c>
      <c r="L171" s="308">
        <f>L169-L170</f>
        <v/>
      </c>
      <c r="M171" s="308">
        <f>M169-M170</f>
        <v/>
      </c>
      <c r="N171" s="308">
        <f>N169-N170</f>
        <v/>
      </c>
      <c r="O171" s="308">
        <f>O169-O170</f>
        <v/>
      </c>
      <c r="P171" s="303">
        <f>SUM(D171:O171)</f>
        <v/>
      </c>
      <c r="Q171" s="1181">
        <f>IF(P169=0,0,P171/P169)</f>
        <v/>
      </c>
      <c r="R171" s="1182" t="inlineStr">
        <is>
          <t xml:space="preserve"> </t>
        </is>
      </c>
    </row>
    <row r="172" ht="16" customHeight="1" thickBot="1">
      <c r="B172" s="203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</row>
    <row r="173" ht="18" customHeight="1">
      <c r="B173" s="1243" t="inlineStr">
        <is>
          <t>Grand Total</t>
        </is>
      </c>
      <c r="C173" s="1244" t="inlineStr">
        <is>
          <t>Grand Totals</t>
        </is>
      </c>
      <c r="R173" s="1245" t="n"/>
    </row>
    <row r="174" ht="18" customHeight="1">
      <c r="B174" s="1246" t="n"/>
      <c r="C174" s="640" t="inlineStr">
        <is>
          <t>Total Users</t>
        </is>
      </c>
      <c r="D174" s="1272">
        <f>SUM(D34,D27,D41,D48,D55,D62,D69,D76)</f>
        <v/>
      </c>
      <c r="E174" s="1272">
        <f>SUM(E34,E27,E41,E48,E55,E62,E69,E76)</f>
        <v/>
      </c>
      <c r="F174" s="1272">
        <f>SUM(F34,F27,F41,F48,F55,F62,F69,F76)</f>
        <v/>
      </c>
      <c r="G174" s="1272">
        <f>SUM(G34,G27,G41,G48,G55,G62,G69,G76)</f>
        <v/>
      </c>
      <c r="H174" s="1272">
        <f>SUM(H34,H27,H41,H48,H55,H62,H69,H76)</f>
        <v/>
      </c>
      <c r="I174" s="1272">
        <f>SUM(I34,I27,I41,I48,I55,I62,I69,I76)</f>
        <v/>
      </c>
      <c r="J174" s="1272">
        <f>SUM(J34,J27,J41,J48,J55,J62,J69,J76)</f>
        <v/>
      </c>
      <c r="K174" s="1272">
        <f>SUM(K34,K27,K41,K48,K55,K62,K69,K76)</f>
        <v/>
      </c>
      <c r="L174" s="1272">
        <f>SUM(L34,L27,L41,L48,L55,L62,L69,L76)</f>
        <v/>
      </c>
      <c r="M174" s="1272">
        <f>SUM(M34,M27,M41,M48,M55,M62,M69,M76)</f>
        <v/>
      </c>
      <c r="N174" s="1272">
        <f>SUM(N34,N27,N41,N48,N55,N62,N69,N76)</f>
        <v/>
      </c>
      <c r="O174" s="1272">
        <f>SUM(O34,O27,O41,O48,O55,O62,O69,O76)</f>
        <v/>
      </c>
      <c r="P174" s="1272">
        <f>SUM(P34,P27,P41,P48,P55,P62,P69,P76)</f>
        <v/>
      </c>
      <c r="Q174" s="762" t="n"/>
      <c r="R174" s="181" t="n"/>
      <c r="T174" s="639" t="inlineStr">
        <is>
          <t xml:space="preserve"> </t>
        </is>
      </c>
    </row>
    <row r="175" ht="18" customHeight="1">
      <c r="B175" s="1246" t="n"/>
      <c r="C175" s="210" t="inlineStr">
        <is>
          <t>Total Sales</t>
        </is>
      </c>
      <c r="D175" s="194">
        <f>D169+D157+D145+D139+D133+D151+D163+D127</f>
        <v/>
      </c>
      <c r="E175" s="194">
        <f>E169+E157+E145+E139+E133+E151+E163+E127</f>
        <v/>
      </c>
      <c r="F175" s="194">
        <f>F169+F157+F145+F139+F133+F151+F163+F127</f>
        <v/>
      </c>
      <c r="G175" s="194">
        <f>G169+G157+G145+G139+G133+G151+G163+G127</f>
        <v/>
      </c>
      <c r="H175" s="194">
        <f>H169+H157+H145+H139+H133+H151+H163+H127</f>
        <v/>
      </c>
      <c r="I175" s="194">
        <f>I169+I157+I145+I139+I133+I151+I163+I127</f>
        <v/>
      </c>
      <c r="J175" s="194">
        <f>J169+J157+J145+J139+J133+J151+J163+J127</f>
        <v/>
      </c>
      <c r="K175" s="194">
        <f>K169+K157+K145+K139+K133+K151+K163+K127</f>
        <v/>
      </c>
      <c r="L175" s="194">
        <f>L169+L157+L145+L139+L133+L151+L163+L127</f>
        <v/>
      </c>
      <c r="M175" s="194">
        <f>M169+M157+M145+M139+M133+M151+M163+M127</f>
        <v/>
      </c>
      <c r="N175" s="194">
        <f>N169+N157+N145+N139+N133+N151+N163+N127</f>
        <v/>
      </c>
      <c r="O175" s="194">
        <f>O169+O157+O145+O139+O133+O151+O163+O127</f>
        <v/>
      </c>
      <c r="P175" s="197">
        <f>SUM(D175:O175)</f>
        <v/>
      </c>
      <c r="Q175" s="1175">
        <f>(Q176+Q177)</f>
        <v/>
      </c>
      <c r="R175" s="1248" t="inlineStr">
        <is>
          <t xml:space="preserve"> </t>
        </is>
      </c>
    </row>
    <row r="176" ht="18" customHeight="1">
      <c r="B176" s="1246" t="n"/>
      <c r="C176" s="212" t="inlineStr">
        <is>
          <t>Total COGS</t>
        </is>
      </c>
      <c r="D176" s="193">
        <f>D170+D158+D152+D146+D140+D134+D128</f>
        <v/>
      </c>
      <c r="E176" s="193">
        <f>E170+E158+E152+E146+E140+E134+E128</f>
        <v/>
      </c>
      <c r="F176" s="193">
        <f>F170+F158+F152+F146+F140+F134+F128</f>
        <v/>
      </c>
      <c r="G176" s="193">
        <f>G170+G158+G152+G146+G140+G134+G128</f>
        <v/>
      </c>
      <c r="H176" s="193">
        <f>H170+H158+H152+H146+H140+H134+H128</f>
        <v/>
      </c>
      <c r="I176" s="193">
        <f>I170+I158+I152+I146+I140+I134+I128</f>
        <v/>
      </c>
      <c r="J176" s="193">
        <f>J170+J158+J152+J146+J140+J134+J128</f>
        <v/>
      </c>
      <c r="K176" s="193">
        <f>K170+K158+K152+K146+K140+K134+K128</f>
        <v/>
      </c>
      <c r="L176" s="193">
        <f>L170+L158+L152+L146+L140+L134+L128</f>
        <v/>
      </c>
      <c r="M176" s="193">
        <f>M170+M158+M152+M146+M140+M134+M128</f>
        <v/>
      </c>
      <c r="N176" s="193">
        <f>N170+N158+N152+N146+N140+N134+N128</f>
        <v/>
      </c>
      <c r="O176" s="193">
        <f>O170+O158+O152+O146+O140+O134+O128</f>
        <v/>
      </c>
      <c r="P176" s="198">
        <f>SUM(D176:O176)</f>
        <v/>
      </c>
      <c r="Q176" s="1178">
        <f>IF(P175=0,0,P176/P175)</f>
        <v/>
      </c>
      <c r="R176" s="1250" t="inlineStr">
        <is>
          <t xml:space="preserve"> </t>
        </is>
      </c>
      <c r="T176" s="46" t="n"/>
    </row>
    <row r="177" ht="19" customHeight="1" thickBot="1">
      <c r="B177" s="1251" t="n"/>
      <c r="C177" s="214" t="inlineStr">
        <is>
          <t>Total Margin</t>
        </is>
      </c>
      <c r="D177" s="111">
        <f>D175-D176</f>
        <v/>
      </c>
      <c r="E177" s="111">
        <f>E175-E176</f>
        <v/>
      </c>
      <c r="F177" s="111">
        <f>F175-F176</f>
        <v/>
      </c>
      <c r="G177" s="111">
        <f>G175-G176</f>
        <v/>
      </c>
      <c r="H177" s="111">
        <f>H175-H176</f>
        <v/>
      </c>
      <c r="I177" s="111">
        <f>I175-I176</f>
        <v/>
      </c>
      <c r="J177" s="111">
        <f>J175-J176</f>
        <v/>
      </c>
      <c r="K177" s="111">
        <f>K175-K176</f>
        <v/>
      </c>
      <c r="L177" s="111">
        <f>L175-L176</f>
        <v/>
      </c>
      <c r="M177" s="111">
        <f>M175-M176</f>
        <v/>
      </c>
      <c r="N177" s="111">
        <f>N175-N176</f>
        <v/>
      </c>
      <c r="O177" s="219">
        <f>O175-O176</f>
        <v/>
      </c>
      <c r="P177" s="220">
        <f>SUM(D177:O177)</f>
        <v/>
      </c>
      <c r="Q177" s="1252">
        <f>IF(P175=0,0,P177/P175)</f>
        <v/>
      </c>
      <c r="R177" s="1253" t="inlineStr">
        <is>
          <t xml:space="preserve"> </t>
        </is>
      </c>
    </row>
    <row r="178"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</row>
  </sheetData>
  <mergeCells count="75">
    <mergeCell ref="T48:AA48"/>
    <mergeCell ref="T30:AA30"/>
    <mergeCell ref="T39:AA39"/>
    <mergeCell ref="T33:AA33"/>
    <mergeCell ref="C61:R61"/>
    <mergeCell ref="C39:R39"/>
    <mergeCell ref="T38:AA38"/>
    <mergeCell ref="B81:R81"/>
    <mergeCell ref="T32:AA32"/>
    <mergeCell ref="B137:B141"/>
    <mergeCell ref="T29:AA29"/>
    <mergeCell ref="C106:R106"/>
    <mergeCell ref="C149:R149"/>
    <mergeCell ref="T45:AA45"/>
    <mergeCell ref="B40:B53"/>
    <mergeCell ref="T53:AA53"/>
    <mergeCell ref="B54:B67"/>
    <mergeCell ref="C125:R125"/>
    <mergeCell ref="C32:R32"/>
    <mergeCell ref="B143:B147"/>
    <mergeCell ref="C155:R155"/>
    <mergeCell ref="C161:R161"/>
    <mergeCell ref="C131:R131"/>
    <mergeCell ref="B83:B98"/>
    <mergeCell ref="T47:AA47"/>
    <mergeCell ref="C53:R53"/>
    <mergeCell ref="T54:AA54"/>
    <mergeCell ref="T55:AA55"/>
    <mergeCell ref="B173:B177"/>
    <mergeCell ref="D3:F3"/>
    <mergeCell ref="C83:R83"/>
    <mergeCell ref="T44:AA44"/>
    <mergeCell ref="T50:AA50"/>
    <mergeCell ref="C46:R46"/>
    <mergeCell ref="C68:R68"/>
    <mergeCell ref="B26:B39"/>
    <mergeCell ref="C33:R33"/>
    <mergeCell ref="B125:B129"/>
    <mergeCell ref="B166:L166"/>
    <mergeCell ref="B131:B135"/>
    <mergeCell ref="C89:R89"/>
    <mergeCell ref="T26:AA26"/>
    <mergeCell ref="C74:R74"/>
    <mergeCell ref="C88:R88"/>
    <mergeCell ref="B68:B80"/>
    <mergeCell ref="C26:R26"/>
    <mergeCell ref="T40:AA40"/>
    <mergeCell ref="T51:AA51"/>
    <mergeCell ref="T41:AA41"/>
    <mergeCell ref="C143:R143"/>
    <mergeCell ref="B101:B123"/>
    <mergeCell ref="B155:B159"/>
    <mergeCell ref="C54:R54"/>
    <mergeCell ref="C94:R94"/>
    <mergeCell ref="B149:B153"/>
    <mergeCell ref="C112:R112"/>
    <mergeCell ref="C47:R47"/>
    <mergeCell ref="B167:B171"/>
    <mergeCell ref="C137:R137"/>
    <mergeCell ref="T31:AA31"/>
    <mergeCell ref="B161:B165"/>
    <mergeCell ref="C75:R75"/>
    <mergeCell ref="C173:R173"/>
    <mergeCell ref="C40:R40"/>
    <mergeCell ref="T43:AA43"/>
    <mergeCell ref="C118:R118"/>
    <mergeCell ref="T34:AA34"/>
    <mergeCell ref="C167:R167"/>
    <mergeCell ref="T46:AA46"/>
    <mergeCell ref="T52:AA52"/>
    <mergeCell ref="T37:AA37"/>
    <mergeCell ref="T27:AA27"/>
    <mergeCell ref="C60:R60"/>
    <mergeCell ref="T36:AA36"/>
    <mergeCell ref="C95:R9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A192"/>
  <sheetViews>
    <sheetView topLeftCell="A48" zoomScale="81" zoomScaleNormal="81" workbookViewId="0">
      <selection activeCell="N69" sqref="N69"/>
    </sheetView>
  </sheetViews>
  <sheetFormatPr baseColWidth="10" defaultColWidth="11.5" defaultRowHeight="15"/>
  <cols>
    <col width="18.33203125" customWidth="1" min="1" max="1"/>
    <col width="10.5" customWidth="1" min="2" max="2"/>
    <col width="41.1640625" bestFit="1" customWidth="1" min="3" max="3"/>
    <col width="27.1640625" customWidth="1" min="4" max="4"/>
    <col width="22.1640625" customWidth="1" min="5" max="9"/>
    <col width="17.83203125" customWidth="1" min="10" max="15"/>
    <col width="19" customWidth="1" min="16" max="18"/>
    <col width="19.1640625" customWidth="1" min="20" max="25"/>
  </cols>
  <sheetData>
    <row r="2" ht="16" customHeight="1" thickBot="1"/>
    <row r="3" ht="27" customHeight="1" thickBot="1">
      <c r="B3" s="46" t="n"/>
      <c r="C3" s="120" t="n">
        <v>2029</v>
      </c>
      <c r="D3" s="1148" t="inlineStr">
        <is>
          <t>Pricing</t>
        </is>
      </c>
      <c r="E3" s="1149" t="n"/>
      <c r="F3" s="1150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46" customHeight="1" thickBot="1">
      <c r="B4" s="46" t="n"/>
      <c r="C4" s="97" t="inlineStr">
        <is>
          <t>Offerings and Distribution</t>
        </is>
      </c>
      <c r="D4" s="91" t="inlineStr">
        <is>
          <t>Price</t>
        </is>
      </c>
      <c r="E4" s="93" t="inlineStr">
        <is>
          <t>COGS</t>
        </is>
      </c>
      <c r="F4" s="99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24" customHeight="1" thickBot="1">
      <c r="B5" s="46" t="n"/>
      <c r="C5" s="188" t="inlineStr">
        <is>
          <t>Administrative</t>
        </is>
      </c>
      <c r="D5" s="189" t="n"/>
      <c r="E5" s="190" t="n"/>
      <c r="F5" s="191" t="n"/>
      <c r="G5" s="46" t="n"/>
      <c r="H5" s="46" t="n"/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31" customHeight="1">
      <c r="B6" s="46" t="n"/>
      <c r="C6" s="862" t="inlineStr">
        <is>
          <t>Configuration</t>
        </is>
      </c>
      <c r="D6" s="863" t="n">
        <v>250</v>
      </c>
      <c r="E6" s="864" t="n">
        <v>50</v>
      </c>
      <c r="F6" s="1151">
        <f>D6-E6</f>
        <v/>
      </c>
      <c r="G6" s="46" t="n"/>
      <c r="H6" s="46" t="n"/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31" customHeight="1">
      <c r="B7" s="46" t="n"/>
      <c r="C7" s="865" t="inlineStr">
        <is>
          <t>On-Boarding- Administrator</t>
        </is>
      </c>
      <c r="D7" s="484">
        <f>'Pricing Calcuator'!D79</f>
        <v/>
      </c>
      <c r="E7" s="292" t="n">
        <v>100</v>
      </c>
      <c r="F7" s="1152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51" customHeight="1">
      <c r="B8" s="46" t="n"/>
      <c r="C8" s="865" t="inlineStr">
        <is>
          <t>On-Boarding Users</t>
        </is>
      </c>
      <c r="D8" s="484">
        <f>'Pricing Calcuator'!D82</f>
        <v/>
      </c>
      <c r="E8" s="292" t="n">
        <v>100</v>
      </c>
      <c r="F8" s="1152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51" customHeight="1">
      <c r="B9" s="46" t="n"/>
      <c r="C9" s="866" t="inlineStr">
        <is>
          <t>Import</t>
        </is>
      </c>
      <c r="D9" s="485">
        <f>'Pricing Calcuator'!D86</f>
        <v/>
      </c>
      <c r="E9" s="293" t="n">
        <v>600</v>
      </c>
      <c r="F9" s="1153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31" customHeight="1" thickBot="1">
      <c r="B10" s="46" t="n"/>
      <c r="C10" s="867" t="inlineStr">
        <is>
          <t>Support</t>
        </is>
      </c>
      <c r="D10" s="486" t="n">
        <v>100</v>
      </c>
      <c r="E10" s="294">
        <f>'COGS Analysis'!D18</f>
        <v/>
      </c>
      <c r="F10" s="1154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33" customHeight="1">
      <c r="B11" s="46" t="n"/>
      <c r="C11" s="868" t="inlineStr">
        <is>
          <t>Industry Break Down</t>
        </is>
      </c>
      <c r="D11" s="487" t="inlineStr">
        <is>
          <t xml:space="preserve"> </t>
        </is>
      </c>
      <c r="E11" s="460">
        <f>'COGS Analysis'!D18</f>
        <v/>
      </c>
      <c r="F11" s="1274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33" customHeight="1">
      <c r="B12" s="46" t="n"/>
      <c r="C12" s="870">
        <f>'Pricing Calcuator'!C7</f>
        <v/>
      </c>
      <c r="D12" s="488">
        <f>'Pricing Calcuator'!D7</f>
        <v/>
      </c>
      <c r="E12" s="765">
        <f>'Revenue 2030'!$Q$210</f>
        <v/>
      </c>
      <c r="F12" s="1275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33" customHeight="1">
      <c r="B13" s="46" t="n"/>
      <c r="C13" s="870">
        <f>'Pricing Calcuator'!C8</f>
        <v/>
      </c>
      <c r="D13" s="488" t="n">
        <v>200</v>
      </c>
      <c r="E13" s="765">
        <f>'Revenue 2030'!$Q$210</f>
        <v/>
      </c>
      <c r="F13" s="1157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33" customHeight="1">
      <c r="B14" s="46" t="n"/>
      <c r="C14" s="872">
        <f>'Pricing Calcuator'!C9</f>
        <v/>
      </c>
      <c r="D14" s="489">
        <f>'Pricing Calcuator'!D9</f>
        <v/>
      </c>
      <c r="E14" s="795">
        <f>'Revenue 2030'!$Q$210</f>
        <v/>
      </c>
      <c r="F14" s="1268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33" customHeight="1">
      <c r="B15" s="46" t="n"/>
      <c r="C15" s="872">
        <f>'Pricing Calcuator'!C10</f>
        <v/>
      </c>
      <c r="D15" s="489">
        <f>'Pricing Calcuator'!D10</f>
        <v/>
      </c>
      <c r="E15" s="795">
        <f>'Revenue 2030'!$Q$210</f>
        <v/>
      </c>
      <c r="F15" s="1268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33" customHeight="1">
      <c r="B16" s="46" t="n"/>
      <c r="C16" s="870">
        <f>'Pricing Calcuator'!C11</f>
        <v/>
      </c>
      <c r="D16" s="488">
        <f>'Pricing Calcuator'!D11</f>
        <v/>
      </c>
      <c r="E16" s="765">
        <f>'Revenue 2030'!$Q$210</f>
        <v/>
      </c>
      <c r="F16" s="1265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33" customHeight="1">
      <c r="B17" s="46" t="n"/>
      <c r="C17" s="870">
        <f>'Pricing Calcuator'!C12</f>
        <v/>
      </c>
      <c r="D17" s="488">
        <f>'Pricing Calcuator'!D12</f>
        <v/>
      </c>
      <c r="E17" s="765">
        <f>'Revenue 2030'!$Q$210</f>
        <v/>
      </c>
      <c r="F17" s="1265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33" customHeight="1">
      <c r="B18" s="46" t="n"/>
      <c r="C18" s="872">
        <f>'Pricing Calcuator'!C13</f>
        <v/>
      </c>
      <c r="D18" s="489">
        <f>'Pricing Calcuator'!D13</f>
        <v/>
      </c>
      <c r="E18" s="795">
        <f>'Revenue 2030'!$Q$210</f>
        <v/>
      </c>
      <c r="F18" s="1268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27" customHeight="1" thickBot="1">
      <c r="B19" s="46" t="n"/>
      <c r="C19" s="873">
        <f>'Pricing Calcuator'!C14</f>
        <v/>
      </c>
      <c r="D19" s="874">
        <f>'Pricing Calcuator'!D14</f>
        <v/>
      </c>
      <c r="E19" s="875">
        <f>'Revenue 2030'!$Q$210</f>
        <v/>
      </c>
      <c r="F19" s="1269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26" customHeight="1" thickBot="1">
      <c r="B20" s="46" t="n"/>
      <c r="C20" s="461" t="inlineStr">
        <is>
          <t>Training / Consultancy Training as a Service</t>
        </is>
      </c>
      <c r="D20" s="490" t="n"/>
      <c r="E20" s="462" t="n"/>
      <c r="F20" s="1160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26" customHeight="1">
      <c r="B21" s="46" t="n"/>
      <c r="C21" s="464" t="inlineStr">
        <is>
          <t>Thought Library</t>
        </is>
      </c>
      <c r="D21" s="491">
        <f>'Pricing Calcuator'!D90</f>
        <v/>
      </c>
      <c r="E21" s="465" t="n">
        <v>25</v>
      </c>
      <c r="F21" s="1161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19" customHeight="1" thickBot="1">
      <c r="B22" s="46" t="n"/>
      <c r="C22" s="98" t="inlineStr">
        <is>
          <t>Consultancy Services</t>
        </is>
      </c>
      <c r="D22" s="492">
        <f>'Pricing Calcuator'!D93</f>
        <v/>
      </c>
      <c r="E22" s="95" t="n">
        <v>125</v>
      </c>
      <c r="F22" s="1162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19" customHeight="1" thickBot="1">
      <c r="B23" s="46" t="n"/>
      <c r="C23" s="106" t="n"/>
      <c r="D23" s="338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34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922" t="inlineStr">
        <is>
          <t>Profit margin comparison</t>
        </is>
      </c>
      <c r="S24" s="901" t="inlineStr">
        <is>
          <t>CHURN</t>
        </is>
      </c>
    </row>
    <row r="25" ht="17" customHeigh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</row>
    <row r="26" ht="20" customHeight="1" thickBot="1">
      <c r="B26" s="1163" t="inlineStr">
        <is>
          <t>Hospitality</t>
        </is>
      </c>
      <c r="C26" s="1164">
        <f>C12</f>
        <v/>
      </c>
      <c r="R26" s="1165" t="n"/>
    </row>
    <row r="27" ht="27" customHeight="1" thickBot="1">
      <c r="B27" s="1169" t="n"/>
      <c r="C27" s="116" t="inlineStr">
        <is>
          <t>Licenses Sold</t>
        </is>
      </c>
      <c r="D27" s="1170" t="n">
        <v>1250</v>
      </c>
      <c r="E27" s="1170" t="n">
        <v>1280</v>
      </c>
      <c r="F27" s="1170" t="n">
        <v>1325</v>
      </c>
      <c r="G27" s="1170" t="n">
        <v>1378</v>
      </c>
      <c r="H27" s="1170" t="n">
        <v>1400</v>
      </c>
      <c r="I27" s="1170" t="n">
        <v>1450</v>
      </c>
      <c r="J27" s="1170" t="n">
        <v>1475</v>
      </c>
      <c r="K27" s="1170" t="n">
        <v>1500</v>
      </c>
      <c r="L27" s="1170" t="n">
        <v>1525</v>
      </c>
      <c r="M27" s="1170" t="n">
        <v>1530</v>
      </c>
      <c r="N27" s="1170" t="n">
        <v>1550</v>
      </c>
      <c r="O27" s="1212" t="n">
        <v>1560</v>
      </c>
      <c r="P27" s="1171">
        <f>O27</f>
        <v/>
      </c>
      <c r="Q27" s="323" t="n"/>
      <c r="R27" s="324" t="n"/>
      <c r="S27" s="902" t="n">
        <v>0.03</v>
      </c>
      <c r="T27" s="1276" t="inlineStr">
        <is>
          <t>Assumptions</t>
        </is>
      </c>
      <c r="U27" s="1167" t="n"/>
      <c r="V27" s="1167" t="n"/>
      <c r="W27" s="1167" t="n"/>
      <c r="X27" s="1167" t="n"/>
      <c r="Y27" s="1167" t="n"/>
      <c r="Z27" s="1167" t="n"/>
      <c r="AA27" s="1168" t="n"/>
    </row>
    <row r="28" hidden="1" ht="27" customHeight="1" thickBo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174" t="n"/>
      <c r="Q28" s="909" t="n"/>
      <c r="R28" s="910" t="n"/>
      <c r="S28" s="902" t="n"/>
      <c r="T28" s="923" t="n"/>
      <c r="U28" s="924" t="n"/>
      <c r="V28" s="924" t="n"/>
      <c r="W28" s="924" t="n"/>
      <c r="X28" s="924" t="n"/>
      <c r="Y28" s="924" t="n"/>
      <c r="Z28" s="924" t="n"/>
      <c r="AA28" s="925" t="n"/>
    </row>
    <row r="29" ht="21" customHeight="1">
      <c r="B29" s="1169" t="n"/>
      <c r="C29" s="117" t="inlineStr">
        <is>
          <t>Total Sales</t>
        </is>
      </c>
      <c r="D29" s="194">
        <f>(D27-D28)*$D$12</f>
        <v/>
      </c>
      <c r="E29" s="194">
        <f>(E27-E28)*$D$12</f>
        <v/>
      </c>
      <c r="F29" s="194">
        <f>(F27-F28)*$D$12</f>
        <v/>
      </c>
      <c r="G29" s="194">
        <f>(G27-G28)*$D$12</f>
        <v/>
      </c>
      <c r="H29" s="194">
        <f>(H27-H28)*$D$12</f>
        <v/>
      </c>
      <c r="I29" s="194">
        <f>(I27-I28)*$D$12</f>
        <v/>
      </c>
      <c r="J29" s="194">
        <f>(J27-J28)*$D$12</f>
        <v/>
      </c>
      <c r="K29" s="194">
        <f>(K27-K28)*$D$12</f>
        <v/>
      </c>
      <c r="L29" s="194">
        <f>(L27-L28)*$D$12</f>
        <v/>
      </c>
      <c r="M29" s="194">
        <f>(M27-M28)*$D$12</f>
        <v/>
      </c>
      <c r="N29" s="194">
        <f>(N27-N28)*$D$12</f>
        <v/>
      </c>
      <c r="O29" s="194">
        <f>(O27-O28)*$D$12</f>
        <v/>
      </c>
      <c r="P29" s="319">
        <f>SUM(D29:O29)</f>
        <v/>
      </c>
      <c r="Q29" s="1175">
        <f>(Q30+Q31)</f>
        <v/>
      </c>
      <c r="R29" s="1176" t="inlineStr">
        <is>
          <t xml:space="preserve"> </t>
        </is>
      </c>
      <c r="T29" s="1277" t="inlineStr">
        <is>
          <t xml:space="preserve"> </t>
        </is>
      </c>
      <c r="U29" s="1145" t="n"/>
      <c r="V29" s="1145" t="n"/>
      <c r="W29" s="1145" t="n"/>
      <c r="X29" s="1145" t="n"/>
      <c r="Y29" s="1145" t="n"/>
      <c r="Z29" s="1145" t="n"/>
      <c r="AA29" s="705" t="n"/>
    </row>
    <row r="30" ht="20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320">
        <f>SUM(D30:O30)</f>
        <v/>
      </c>
      <c r="Q30" s="1178">
        <f>IF(P29=0,0,P30/P29)</f>
        <v/>
      </c>
      <c r="R30" s="1179" t="inlineStr">
        <is>
          <t xml:space="preserve"> </t>
        </is>
      </c>
      <c r="T30" s="1278" t="inlineStr">
        <is>
          <t>t Additonal Sales person for flex</t>
        </is>
      </c>
      <c r="AA30" s="707" t="n"/>
    </row>
    <row r="31" ht="22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321">
        <f>SUM(D31:O31)</f>
        <v/>
      </c>
      <c r="Q31" s="1181">
        <f>IF(P29=0,0,P31/P29)</f>
        <v/>
      </c>
      <c r="R31" s="1182" t="inlineStr">
        <is>
          <t xml:space="preserve"> </t>
        </is>
      </c>
      <c r="T31" s="1279" t="inlineStr">
        <is>
          <t xml:space="preserve"> </t>
        </is>
      </c>
      <c r="AA31" s="707" t="n"/>
    </row>
    <row r="32" ht="19" customHeight="1">
      <c r="B32" s="1169" t="n"/>
      <c r="C32" s="1183" t="inlineStr">
        <is>
          <t xml:space="preserve"> </t>
        </is>
      </c>
      <c r="T32" s="1280" t="n"/>
      <c r="AA32" s="707" t="n"/>
    </row>
    <row r="33" ht="19" customHeight="1" thickBot="1">
      <c r="B33" s="1169" t="n"/>
      <c r="C33" s="1185">
        <f>C13</f>
        <v/>
      </c>
      <c r="R33" s="707" t="n"/>
      <c r="T33" s="1280" t="n"/>
      <c r="AA33" s="707" t="n"/>
    </row>
    <row r="34" ht="22" customHeight="1" thickBot="1">
      <c r="B34" s="1169" t="n"/>
      <c r="C34" s="116" t="inlineStr">
        <is>
          <t>Licences Sold</t>
        </is>
      </c>
      <c r="D34" s="1170" t="n">
        <v>600</v>
      </c>
      <c r="E34" s="1170" t="n">
        <v>610</v>
      </c>
      <c r="F34" s="1170" t="n">
        <v>625</v>
      </c>
      <c r="G34" s="1170" t="n">
        <v>675</v>
      </c>
      <c r="H34" s="1170" t="n">
        <v>685</v>
      </c>
      <c r="I34" s="1170" t="n">
        <v>690</v>
      </c>
      <c r="J34" s="1170" t="n">
        <v>700</v>
      </c>
      <c r="K34" s="1170" t="n">
        <v>715</v>
      </c>
      <c r="L34" s="1170" t="n">
        <v>725</v>
      </c>
      <c r="M34" s="1170" t="n">
        <v>735</v>
      </c>
      <c r="N34" s="1170" t="n">
        <v>745</v>
      </c>
      <c r="O34" s="1212" t="n">
        <v>750</v>
      </c>
      <c r="P34" s="1187">
        <f>O34</f>
        <v/>
      </c>
      <c r="Q34" s="72" t="n"/>
      <c r="R34" s="318" t="n"/>
      <c r="S34" s="902" t="n">
        <v>0.03</v>
      </c>
      <c r="T34" s="1280" t="n"/>
      <c r="AA34" s="707" t="n"/>
    </row>
    <row r="35" hidden="1" ht="21" customHeight="1">
      <c r="B35" s="1169" t="n"/>
      <c r="C35" s="906" t="n"/>
      <c r="D35" s="1173">
        <f>D34*$S$27</f>
        <v/>
      </c>
      <c r="E35" s="1173">
        <f>E34*$S$27</f>
        <v/>
      </c>
      <c r="F35" s="1173">
        <f>F34*$S$27</f>
        <v/>
      </c>
      <c r="G35" s="1173">
        <f>G34*$S$27</f>
        <v/>
      </c>
      <c r="H35" s="1173">
        <f>H34*$S$27</f>
        <v/>
      </c>
      <c r="I35" s="1173">
        <f>I34*$S$27</f>
        <v/>
      </c>
      <c r="J35" s="1173">
        <f>J34*$S$27</f>
        <v/>
      </c>
      <c r="K35" s="1173">
        <f>K34*$S$27</f>
        <v/>
      </c>
      <c r="L35" s="1173">
        <f>L34*$S$27</f>
        <v/>
      </c>
      <c r="M35" s="1173">
        <f>M34*$S$27</f>
        <v/>
      </c>
      <c r="N35" s="1173">
        <f>N34*$S$27</f>
        <v/>
      </c>
      <c r="O35" s="1173">
        <f>O34*$S$27</f>
        <v/>
      </c>
      <c r="P35" s="1174" t="n"/>
      <c r="Q35" s="909" t="n"/>
      <c r="R35" s="910" t="n"/>
      <c r="S35" s="902" t="n"/>
      <c r="T35" s="1064" t="n"/>
      <c r="U35" s="1062" t="n"/>
      <c r="V35" s="1062" t="n"/>
      <c r="W35" s="1062" t="n"/>
      <c r="X35" s="1062" t="n"/>
      <c r="Y35" s="1062" t="n"/>
      <c r="Z35" s="1062" t="n"/>
      <c r="AA35" s="1063" t="n"/>
    </row>
    <row r="36" ht="21" customHeight="1">
      <c r="B36" s="1169" t="n"/>
      <c r="C36" s="117" t="inlineStr">
        <is>
          <t>Total Sales</t>
        </is>
      </c>
      <c r="D36" s="194">
        <f>(D34-D35)*$D$13</f>
        <v/>
      </c>
      <c r="E36" s="194">
        <f>(E34-E35)*$D$13</f>
        <v/>
      </c>
      <c r="F36" s="194">
        <f>(F34-F35)*$D$13</f>
        <v/>
      </c>
      <c r="G36" s="194">
        <f>(G34-G35)*$D$13</f>
        <v/>
      </c>
      <c r="H36" s="194">
        <f>(H34-H35)*$D$13</f>
        <v/>
      </c>
      <c r="I36" s="194">
        <f>(I34-I35)*$D$13</f>
        <v/>
      </c>
      <c r="J36" s="194">
        <f>(J34-J35)*$D$13</f>
        <v/>
      </c>
      <c r="K36" s="194">
        <f>(K34-K35)*$D$13</f>
        <v/>
      </c>
      <c r="L36" s="194">
        <f>(L34-L35)*$D$13</f>
        <v/>
      </c>
      <c r="M36" s="194">
        <f>(M34-M35)*$D$13</f>
        <v/>
      </c>
      <c r="N36" s="194">
        <f>(N34-N35)*$D$13</f>
        <v/>
      </c>
      <c r="O36" s="194">
        <f>(O34-O35)*$D$13</f>
        <v/>
      </c>
      <c r="P36" s="319">
        <f>SUM(D36:O36)</f>
        <v/>
      </c>
      <c r="Q36" s="1175">
        <f>(Q37+Q38)</f>
        <v/>
      </c>
      <c r="R36" s="1176" t="inlineStr">
        <is>
          <t xml:space="preserve"> </t>
        </is>
      </c>
      <c r="T36" s="1280" t="n"/>
      <c r="AA36" s="707" t="n"/>
    </row>
    <row r="37" ht="21" customHeight="1">
      <c r="B37" s="1169" t="n"/>
      <c r="C37" s="118" t="inlineStr">
        <is>
          <t>Total COGS</t>
        </is>
      </c>
      <c r="D37" s="193">
        <f>D34*$E$13</f>
        <v/>
      </c>
      <c r="E37" s="193">
        <f>E34*$E$13</f>
        <v/>
      </c>
      <c r="F37" s="193">
        <f>F34*$E$13</f>
        <v/>
      </c>
      <c r="G37" s="193">
        <f>G34*$E$13</f>
        <v/>
      </c>
      <c r="H37" s="193">
        <f>H34*$E$13</f>
        <v/>
      </c>
      <c r="I37" s="193">
        <f>I34*$E$13</f>
        <v/>
      </c>
      <c r="J37" s="193">
        <f>J34*$E$13</f>
        <v/>
      </c>
      <c r="K37" s="193">
        <f>K34*$E$13</f>
        <v/>
      </c>
      <c r="L37" s="193">
        <f>L34*$E$13</f>
        <v/>
      </c>
      <c r="M37" s="193">
        <f>M34*$E$13</f>
        <v/>
      </c>
      <c r="N37" s="193">
        <f>N34*$E$13</f>
        <v/>
      </c>
      <c r="O37" s="273">
        <f>O34*$E$13</f>
        <v/>
      </c>
      <c r="P37" s="320">
        <f>SUM(D37:O37)</f>
        <v/>
      </c>
      <c r="Q37" s="1178">
        <f>IF(P36=0,0,P37/P36)</f>
        <v/>
      </c>
      <c r="R37" s="1179" t="inlineStr">
        <is>
          <t xml:space="preserve"> </t>
        </is>
      </c>
      <c r="T37" s="1280" t="n"/>
      <c r="AA37" s="707" t="n"/>
    </row>
    <row r="38" ht="22" customHeight="1" thickBot="1">
      <c r="B38" s="1169" t="n"/>
      <c r="C38" s="119" t="inlineStr">
        <is>
          <t>Total Margin</t>
        </is>
      </c>
      <c r="D38" s="68">
        <f>D36-D37</f>
        <v/>
      </c>
      <c r="E38" s="68">
        <f>E36-E37</f>
        <v/>
      </c>
      <c r="F38" s="68">
        <f>F36-F37</f>
        <v/>
      </c>
      <c r="G38" s="68">
        <f>G36-G37</f>
        <v/>
      </c>
      <c r="H38" s="68">
        <f>H36-H37</f>
        <v/>
      </c>
      <c r="I38" s="68">
        <f>I36-I37</f>
        <v/>
      </c>
      <c r="J38" s="68">
        <f>J36-J37</f>
        <v/>
      </c>
      <c r="K38" s="68">
        <f>K36-K37</f>
        <v/>
      </c>
      <c r="L38" s="68">
        <f>L36-L37</f>
        <v/>
      </c>
      <c r="M38" s="68">
        <f>M36-M37</f>
        <v/>
      </c>
      <c r="N38" s="68">
        <f>N36-N37</f>
        <v/>
      </c>
      <c r="O38" s="69">
        <f>O36-O37</f>
        <v/>
      </c>
      <c r="P38" s="321">
        <f>SUM(D38:O38)</f>
        <v/>
      </c>
      <c r="Q38" s="1181">
        <f>IF(P36=0,0,P38/P36)</f>
        <v/>
      </c>
      <c r="R38" s="1182" t="inlineStr">
        <is>
          <t xml:space="preserve"> </t>
        </is>
      </c>
      <c r="T38" s="1280" t="n"/>
      <c r="AA38" s="707" t="n"/>
    </row>
    <row r="39" ht="19" customHeight="1" thickBot="1">
      <c r="B39" s="1189" t="n"/>
      <c r="C39" s="1190" t="inlineStr">
        <is>
          <t xml:space="preserve"> </t>
        </is>
      </c>
      <c r="R39" s="1191" t="n"/>
      <c r="T39" s="1280" t="n"/>
      <c r="AA39" s="707" t="n"/>
    </row>
    <row r="40" ht="23" customHeight="1" thickBot="1">
      <c r="B40" s="1192" t="inlineStr">
        <is>
          <t>Real Estate</t>
        </is>
      </c>
      <c r="C40" s="1193">
        <f>C14</f>
        <v/>
      </c>
      <c r="D40" s="1145" t="n"/>
      <c r="E40" s="1145" t="n"/>
      <c r="F40" s="1145" t="n"/>
      <c r="G40" s="1145" t="n"/>
      <c r="H40" s="1145" t="n"/>
      <c r="I40" s="1145" t="n"/>
      <c r="J40" s="1145" t="n"/>
      <c r="K40" s="1145" t="n"/>
      <c r="L40" s="1145" t="n"/>
      <c r="M40" s="1145" t="n"/>
      <c r="N40" s="1145" t="n"/>
      <c r="O40" s="1145" t="n"/>
      <c r="P40" s="1145" t="n"/>
      <c r="Q40" s="1145" t="n"/>
      <c r="R40" s="705" t="n"/>
      <c r="T40" s="1280" t="n"/>
      <c r="AA40" s="707" t="n"/>
    </row>
    <row r="41" ht="22" customHeight="1" thickBot="1">
      <c r="B41" s="1194" t="n"/>
      <c r="C41" s="325" t="inlineStr">
        <is>
          <t>Licences Sold</t>
        </is>
      </c>
      <c r="D41" s="1170" t="n">
        <v>660</v>
      </c>
      <c r="E41" s="1170" t="n">
        <v>670</v>
      </c>
      <c r="F41" s="1170" t="n">
        <v>680</v>
      </c>
      <c r="G41" s="1170" t="n">
        <v>690</v>
      </c>
      <c r="H41" s="1170" t="n">
        <v>700</v>
      </c>
      <c r="I41" s="1170" t="n">
        <v>710</v>
      </c>
      <c r="J41" s="1170" t="n">
        <v>720</v>
      </c>
      <c r="K41" s="1170" t="n">
        <v>730</v>
      </c>
      <c r="L41" s="1170" t="n">
        <v>740</v>
      </c>
      <c r="M41" s="1170" t="n">
        <v>750</v>
      </c>
      <c r="N41" s="1170" t="n">
        <v>750</v>
      </c>
      <c r="O41" s="1212" t="n">
        <v>750</v>
      </c>
      <c r="P41" s="1187">
        <f>O41</f>
        <v/>
      </c>
      <c r="Q41" s="72" t="n"/>
      <c r="R41" s="318" t="n"/>
      <c r="S41" s="902" t="n">
        <v>0.03</v>
      </c>
      <c r="T41" s="1280" t="n"/>
      <c r="AA41" s="707" t="n"/>
    </row>
    <row r="42" hidden="1" ht="21" customHeight="1">
      <c r="B42" s="1194" t="n"/>
      <c r="C42" s="911" t="n"/>
      <c r="D42" s="1173">
        <f>D41*S41</f>
        <v/>
      </c>
      <c r="E42" s="1173">
        <f>E41*$S$41</f>
        <v/>
      </c>
      <c r="F42" s="1173">
        <f>F41*$S$41</f>
        <v/>
      </c>
      <c r="G42" s="1173">
        <f>G41*$S$41</f>
        <v/>
      </c>
      <c r="H42" s="1173">
        <f>H41*$S$41</f>
        <v/>
      </c>
      <c r="I42" s="1173">
        <f>I41*$S$41</f>
        <v/>
      </c>
      <c r="J42" s="1173">
        <f>J41*$S$41</f>
        <v/>
      </c>
      <c r="K42" s="1173">
        <f>K41*$S$41</f>
        <v/>
      </c>
      <c r="L42" s="1173">
        <f>L41*$S$41</f>
        <v/>
      </c>
      <c r="M42" s="1173">
        <f>M41*$S$41</f>
        <v/>
      </c>
      <c r="N42" s="1173">
        <f>N41*$S$41</f>
        <v/>
      </c>
      <c r="O42" s="1173">
        <f>O41*$S$41</f>
        <v/>
      </c>
      <c r="P42" s="1174" t="n"/>
      <c r="Q42" s="909" t="n"/>
      <c r="R42" s="910" t="n"/>
      <c r="S42" s="902" t="n"/>
      <c r="T42" s="1064" t="n"/>
      <c r="U42" s="1062" t="n"/>
      <c r="V42" s="1062" t="n"/>
      <c r="W42" s="1062" t="n"/>
      <c r="X42" s="1062" t="n"/>
      <c r="Y42" s="1062" t="n"/>
      <c r="Z42" s="1062" t="n"/>
      <c r="AA42" s="1063" t="n"/>
    </row>
    <row r="43" ht="21" customHeight="1">
      <c r="B43" s="1194" t="n"/>
      <c r="C43" s="297" t="inlineStr">
        <is>
          <t>Total Sales</t>
        </is>
      </c>
      <c r="D43" s="194">
        <f>(D41-D42)*$D$14</f>
        <v/>
      </c>
      <c r="E43" s="194">
        <f>(E41-E42)*$D$14</f>
        <v/>
      </c>
      <c r="F43" s="194">
        <f>(F41-F42)*$D$14</f>
        <v/>
      </c>
      <c r="G43" s="194">
        <f>(G41-G42)*$D$14</f>
        <v/>
      </c>
      <c r="H43" s="194">
        <f>(H41-H42)*$D$14</f>
        <v/>
      </c>
      <c r="I43" s="194">
        <f>(I41-I42)*$D$14</f>
        <v/>
      </c>
      <c r="J43" s="194">
        <f>(J41-J42)*$D$14</f>
        <v/>
      </c>
      <c r="K43" s="194">
        <f>(K41-K42)*$D$14</f>
        <v/>
      </c>
      <c r="L43" s="194">
        <f>(L41-L42)*$D$14</f>
        <v/>
      </c>
      <c r="M43" s="194">
        <f>(M41-M42)*$D$14</f>
        <v/>
      </c>
      <c r="N43" s="194">
        <f>(N41-N42)*$D$14</f>
        <v/>
      </c>
      <c r="O43" s="194">
        <f>(O41-O42)*$D$14</f>
        <v/>
      </c>
      <c r="P43" s="319">
        <f>SUM(D43:O43)</f>
        <v/>
      </c>
      <c r="Q43" s="1175">
        <f>(Q44+Q45)</f>
        <v/>
      </c>
      <c r="R43" s="1176" t="inlineStr">
        <is>
          <t xml:space="preserve"> </t>
        </is>
      </c>
      <c r="T43" s="1280" t="n"/>
      <c r="AA43" s="707" t="n"/>
    </row>
    <row r="44" ht="21" customHeight="1">
      <c r="B44" s="1194" t="n"/>
      <c r="C44" s="299" t="inlineStr">
        <is>
          <t>Total COGS</t>
        </is>
      </c>
      <c r="D44" s="193">
        <f>D41*$E$14</f>
        <v/>
      </c>
      <c r="E44" s="193">
        <f>E41*$E$14</f>
        <v/>
      </c>
      <c r="F44" s="193">
        <f>F41*$E$14</f>
        <v/>
      </c>
      <c r="G44" s="193">
        <f>G41*$E$14</f>
        <v/>
      </c>
      <c r="H44" s="193">
        <f>H41*$E$14</f>
        <v/>
      </c>
      <c r="I44" s="193">
        <f>I41*$E$14</f>
        <v/>
      </c>
      <c r="J44" s="193">
        <f>J41*$E$14</f>
        <v/>
      </c>
      <c r="K44" s="193">
        <f>K41*$E$14</f>
        <v/>
      </c>
      <c r="L44" s="193">
        <f>L41*$E$14</f>
        <v/>
      </c>
      <c r="M44" s="193">
        <f>M41*$E$14</f>
        <v/>
      </c>
      <c r="N44" s="193">
        <f>N41*$E$14</f>
        <v/>
      </c>
      <c r="O44" s="273">
        <f>O41*$E$14</f>
        <v/>
      </c>
      <c r="P44" s="320">
        <f>SUM(D44:O44)</f>
        <v/>
      </c>
      <c r="Q44" s="1178">
        <f>IF(P43=0,0,P44/P43)</f>
        <v/>
      </c>
      <c r="R44" s="1179" t="inlineStr">
        <is>
          <t xml:space="preserve"> </t>
        </is>
      </c>
      <c r="T44" s="1280" t="n"/>
      <c r="AA44" s="707" t="n"/>
    </row>
    <row r="45" ht="21" customHeight="1">
      <c r="B45" s="1194" t="n"/>
      <c r="C45" s="326" t="inlineStr">
        <is>
          <t>Total Margin</t>
        </is>
      </c>
      <c r="D45" s="68">
        <f>D43-D44</f>
        <v/>
      </c>
      <c r="E45" s="68">
        <f>E43-E44</f>
        <v/>
      </c>
      <c r="F45" s="68">
        <f>F43-F44</f>
        <v/>
      </c>
      <c r="G45" s="68">
        <f>G43-G44</f>
        <v/>
      </c>
      <c r="H45" s="68">
        <f>H43-H44</f>
        <v/>
      </c>
      <c r="I45" s="68">
        <f>I43-I44</f>
        <v/>
      </c>
      <c r="J45" s="68">
        <f>J43-J44</f>
        <v/>
      </c>
      <c r="K45" s="68">
        <f>K43-K44</f>
        <v/>
      </c>
      <c r="L45" s="68">
        <f>L43-L44</f>
        <v/>
      </c>
      <c r="M45" s="68">
        <f>M43-M44</f>
        <v/>
      </c>
      <c r="N45" s="68">
        <f>N43-N44</f>
        <v/>
      </c>
      <c r="O45" s="69">
        <f>O43-O44</f>
        <v/>
      </c>
      <c r="P45" s="320">
        <f>SUM(D45:O45)</f>
        <v/>
      </c>
      <c r="Q45" s="1178">
        <f>IF(P43=0,0,P45/P43)</f>
        <v/>
      </c>
      <c r="R45" s="1179" t="inlineStr">
        <is>
          <t xml:space="preserve"> </t>
        </is>
      </c>
      <c r="T45" s="1280" t="n"/>
      <c r="AA45" s="707" t="n"/>
    </row>
    <row r="46" ht="21" customHeight="1">
      <c r="B46" s="1194" t="n"/>
      <c r="C46" s="1195" t="inlineStr">
        <is>
          <t xml:space="preserve"> </t>
        </is>
      </c>
      <c r="R46" s="707" t="n"/>
      <c r="T46" s="1280" t="n"/>
      <c r="AA46" s="707" t="n"/>
    </row>
    <row r="47" ht="22" customHeight="1" thickBot="1">
      <c r="B47" s="1194" t="n"/>
      <c r="C47" s="1197">
        <f>C15</f>
        <v/>
      </c>
      <c r="R47" s="707" t="n"/>
      <c r="T47" s="1281" t="n"/>
      <c r="AA47" s="707" t="n"/>
    </row>
    <row r="48" ht="22" customHeight="1" thickBot="1">
      <c r="B48" s="1194" t="n"/>
      <c r="C48" s="325" t="inlineStr">
        <is>
          <t>Licences Sold</t>
        </is>
      </c>
      <c r="D48" s="1170" t="n">
        <v>280</v>
      </c>
      <c r="E48" s="1170" t="n">
        <v>280</v>
      </c>
      <c r="F48" s="1170" t="n">
        <v>300</v>
      </c>
      <c r="G48" s="1170" t="n">
        <v>305</v>
      </c>
      <c r="H48" s="1170" t="n">
        <v>310</v>
      </c>
      <c r="I48" s="1170" t="n">
        <v>315</v>
      </c>
      <c r="J48" s="1170" t="n">
        <v>320</v>
      </c>
      <c r="K48" s="1170" t="n">
        <v>325</v>
      </c>
      <c r="L48" s="1170" t="n">
        <v>340</v>
      </c>
      <c r="M48" s="1170" t="n">
        <v>350</v>
      </c>
      <c r="N48" s="1170" t="n">
        <v>305</v>
      </c>
      <c r="O48" s="1212" t="n">
        <v>350</v>
      </c>
      <c r="P48" s="1187">
        <f>O48</f>
        <v/>
      </c>
      <c r="Q48" s="72" t="n"/>
      <c r="R48" s="318" t="inlineStr">
        <is>
          <t xml:space="preserve"> </t>
        </is>
      </c>
      <c r="S48" s="902" t="n">
        <v>0.03</v>
      </c>
      <c r="T48" s="1280" t="n"/>
      <c r="AA48" s="707" t="n"/>
    </row>
    <row r="49" hidden="1" ht="21" customHeight="1">
      <c r="B49" s="1194" t="n"/>
      <c r="C49" s="911" t="n"/>
      <c r="D49" s="1173">
        <f>D48*$S$48</f>
        <v/>
      </c>
      <c r="E49" s="1173">
        <f>E48*T48</f>
        <v/>
      </c>
      <c r="F49" s="1173">
        <f>F48*U48</f>
        <v/>
      </c>
      <c r="G49" s="1173">
        <f>G48*V48</f>
        <v/>
      </c>
      <c r="H49" s="1173">
        <f>H48*W48</f>
        <v/>
      </c>
      <c r="I49" s="1173">
        <f>I48*X48</f>
        <v/>
      </c>
      <c r="J49" s="1173">
        <f>J48*Y48</f>
        <v/>
      </c>
      <c r="K49" s="1173">
        <f>K48*Z48</f>
        <v/>
      </c>
      <c r="L49" s="1173">
        <f>L48*AA48</f>
        <v/>
      </c>
      <c r="M49" s="1173">
        <f>M48*AB48</f>
        <v/>
      </c>
      <c r="N49" s="1173">
        <f>N48*AC48</f>
        <v/>
      </c>
      <c r="O49" s="1173">
        <f>O48*AD48</f>
        <v/>
      </c>
      <c r="P49" s="1174" t="n"/>
      <c r="Q49" s="909" t="n"/>
      <c r="R49" s="910" t="n"/>
      <c r="S49" s="902" t="n"/>
      <c r="T49" s="1064" t="n"/>
      <c r="U49" s="1062" t="n"/>
      <c r="V49" s="1062" t="n"/>
      <c r="W49" s="1062" t="n"/>
      <c r="X49" s="1062" t="n"/>
      <c r="Y49" s="1062" t="n"/>
      <c r="Z49" s="1062" t="n"/>
      <c r="AA49" s="1063" t="n"/>
    </row>
    <row r="50" ht="21" customHeight="1">
      <c r="B50" s="1194" t="n"/>
      <c r="C50" s="297" t="inlineStr">
        <is>
          <t>Total Sales</t>
        </is>
      </c>
      <c r="D50" s="194">
        <f>(D48-D49)*$D$15</f>
        <v/>
      </c>
      <c r="E50" s="194">
        <f>(E48-E49)*$D$15</f>
        <v/>
      </c>
      <c r="F50" s="194">
        <f>(F48-F49)*$D$15</f>
        <v/>
      </c>
      <c r="G50" s="194">
        <f>(G48-G49)*$D$15</f>
        <v/>
      </c>
      <c r="H50" s="194">
        <f>(H48-H49)*$D$15</f>
        <v/>
      </c>
      <c r="I50" s="194">
        <f>(I48-I49)*$D$15</f>
        <v/>
      </c>
      <c r="J50" s="194">
        <f>(J48-J49)*$D$15</f>
        <v/>
      </c>
      <c r="K50" s="194">
        <f>(K48-K49)*$D$15</f>
        <v/>
      </c>
      <c r="L50" s="194">
        <f>(L48-L49)*$D$15</f>
        <v/>
      </c>
      <c r="M50" s="194">
        <f>(M48-M49)*$D$15</f>
        <v/>
      </c>
      <c r="N50" s="194">
        <f>(N48-N49)*$D$15</f>
        <v/>
      </c>
      <c r="O50" s="194">
        <f>(O48-O49)*$D$15</f>
        <v/>
      </c>
      <c r="P50" s="319">
        <f>SUM(D50:O50)</f>
        <v/>
      </c>
      <c r="Q50" s="1175">
        <f>(Q51+Q52)</f>
        <v/>
      </c>
      <c r="R50" s="1176" t="inlineStr">
        <is>
          <t xml:space="preserve"> </t>
        </is>
      </c>
      <c r="T50" s="1280" t="n"/>
      <c r="AA50" s="707" t="n"/>
    </row>
    <row r="51" ht="21" customHeight="1">
      <c r="B51" s="1194" t="n"/>
      <c r="C51" s="299" t="inlineStr">
        <is>
          <t>Total COGS</t>
        </is>
      </c>
      <c r="D51" s="193">
        <f>D48*$E$15</f>
        <v/>
      </c>
      <c r="E51" s="193">
        <f>E48*$E$15</f>
        <v/>
      </c>
      <c r="F51" s="193">
        <f>F48*$E$15</f>
        <v/>
      </c>
      <c r="G51" s="193">
        <f>G48*$E$15</f>
        <v/>
      </c>
      <c r="H51" s="193">
        <f>H48*$E$15</f>
        <v/>
      </c>
      <c r="I51" s="193">
        <f>I48*$E$15</f>
        <v/>
      </c>
      <c r="J51" s="193">
        <f>J48*$E$15</f>
        <v/>
      </c>
      <c r="K51" s="193">
        <f>K48*$E$15</f>
        <v/>
      </c>
      <c r="L51" s="193">
        <f>L48*$E$15</f>
        <v/>
      </c>
      <c r="M51" s="193">
        <f>M48*$E$15</f>
        <v/>
      </c>
      <c r="N51" s="193">
        <f>N48*$E$15</f>
        <v/>
      </c>
      <c r="O51" s="273">
        <f>O48*$E$15</f>
        <v/>
      </c>
      <c r="P51" s="320">
        <f>SUM(D51:O51)</f>
        <v/>
      </c>
      <c r="Q51" s="1178">
        <f>IF(P50=0,0,P51/P50)</f>
        <v/>
      </c>
      <c r="R51" s="1179" t="inlineStr">
        <is>
          <t xml:space="preserve"> </t>
        </is>
      </c>
      <c r="T51" s="1280" t="n"/>
      <c r="AA51" s="707" t="n"/>
    </row>
    <row r="52" ht="21" customHeight="1">
      <c r="B52" s="1194" t="n"/>
      <c r="C52" s="326" t="inlineStr">
        <is>
          <t>Total Margin</t>
        </is>
      </c>
      <c r="D52" s="68">
        <f>D50-D51</f>
        <v/>
      </c>
      <c r="E52" s="68">
        <f>E50-E51</f>
        <v/>
      </c>
      <c r="F52" s="68">
        <f>F50-F51</f>
        <v/>
      </c>
      <c r="G52" s="68">
        <f>G50-G51</f>
        <v/>
      </c>
      <c r="H52" s="68">
        <f>H50-H51</f>
        <v/>
      </c>
      <c r="I52" s="68">
        <f>I50-I51</f>
        <v/>
      </c>
      <c r="J52" s="68">
        <f>J50-J51</f>
        <v/>
      </c>
      <c r="K52" s="68">
        <f>K50-K51</f>
        <v/>
      </c>
      <c r="L52" s="68">
        <f>L50-L51</f>
        <v/>
      </c>
      <c r="M52" s="68">
        <f>M50-M51</f>
        <v/>
      </c>
      <c r="N52" s="68">
        <f>N50-N51</f>
        <v/>
      </c>
      <c r="O52" s="69">
        <f>O50-O51</f>
        <v/>
      </c>
      <c r="P52" s="320">
        <f>SUM(D52:O52)</f>
        <v/>
      </c>
      <c r="Q52" s="1178">
        <f>IF(P50=0,0,P52/P50)</f>
        <v/>
      </c>
      <c r="R52" s="1179" t="inlineStr">
        <is>
          <t xml:space="preserve"> </t>
        </is>
      </c>
      <c r="T52" s="1280" t="n"/>
      <c r="AA52" s="707" t="n"/>
    </row>
    <row r="53" ht="19" customHeight="1" thickBot="1">
      <c r="B53" s="1202" t="n"/>
      <c r="C53" s="1203" t="inlineStr">
        <is>
          <t xml:space="preserve"> </t>
        </is>
      </c>
      <c r="D53" s="711" t="n"/>
      <c r="E53" s="711" t="n"/>
      <c r="F53" s="711" t="n"/>
      <c r="G53" s="711" t="n"/>
      <c r="H53" s="711" t="n"/>
      <c r="I53" s="711" t="n"/>
      <c r="J53" s="711" t="n"/>
      <c r="K53" s="711" t="n"/>
      <c r="L53" s="711" t="n"/>
      <c r="M53" s="711" t="n"/>
      <c r="N53" s="711" t="n"/>
      <c r="O53" s="711" t="n"/>
      <c r="P53" s="711" t="n"/>
      <c r="Q53" s="711" t="n"/>
      <c r="R53" s="1204" t="n"/>
      <c r="T53" s="1280" t="n"/>
      <c r="AA53" s="707" t="n"/>
    </row>
    <row r="54" ht="18" customHeight="1" thickBot="1">
      <c r="B54" s="1163" t="inlineStr">
        <is>
          <t>Pharma</t>
        </is>
      </c>
      <c r="C54" s="1205">
        <f>C16</f>
        <v/>
      </c>
      <c r="R54" s="1191" t="n"/>
      <c r="T54" s="1280" t="n"/>
      <c r="AA54" s="707" t="n"/>
    </row>
    <row r="55" ht="22" customHeight="1" thickBot="1">
      <c r="B55" s="1169" t="n"/>
      <c r="C55" s="116" t="inlineStr">
        <is>
          <t>Licences Sold</t>
        </is>
      </c>
      <c r="D55" s="1170" t="n">
        <v>285</v>
      </c>
      <c r="E55" s="1170" t="n">
        <v>310</v>
      </c>
      <c r="F55" s="1170" t="n">
        <v>325</v>
      </c>
      <c r="G55" s="1170" t="n">
        <v>360</v>
      </c>
      <c r="H55" s="1170" t="n">
        <v>375</v>
      </c>
      <c r="I55" s="1170" t="n">
        <v>380</v>
      </c>
      <c r="J55" s="1170" t="n">
        <v>390</v>
      </c>
      <c r="K55" s="1170" t="n">
        <v>400</v>
      </c>
      <c r="L55" s="1170" t="n">
        <v>410</v>
      </c>
      <c r="M55" s="1170" t="n">
        <v>425</v>
      </c>
      <c r="N55" s="1170" t="n">
        <v>435</v>
      </c>
      <c r="O55" s="1212" t="n">
        <v>445</v>
      </c>
      <c r="P55" s="1171">
        <f>O55</f>
        <v/>
      </c>
      <c r="Q55" s="323" t="n"/>
      <c r="R55" s="324" t="n"/>
      <c r="S55" s="902" t="n">
        <v>0.03</v>
      </c>
      <c r="T55" s="1280" t="n"/>
      <c r="AA55" s="707" t="n"/>
    </row>
    <row r="56" hidden="1" ht="21" customHeight="1">
      <c r="B56" s="1169" t="n"/>
      <c r="C56" s="906" t="n"/>
      <c r="D56" s="1173">
        <f>D55*$S$55</f>
        <v/>
      </c>
      <c r="E56" s="1173">
        <f>E55*$S$55</f>
        <v/>
      </c>
      <c r="F56" s="1173">
        <f>F55*$S$55</f>
        <v/>
      </c>
      <c r="G56" s="1173">
        <f>G55*$S$55</f>
        <v/>
      </c>
      <c r="H56" s="1173">
        <f>H55*$S$55</f>
        <v/>
      </c>
      <c r="I56" s="1173">
        <f>I55*$S$55</f>
        <v/>
      </c>
      <c r="J56" s="1173">
        <f>J55*$S$55</f>
        <v/>
      </c>
      <c r="K56" s="1173">
        <f>K55*$S$55</f>
        <v/>
      </c>
      <c r="L56" s="1173">
        <f>L55*$S$55</f>
        <v/>
      </c>
      <c r="M56" s="1173">
        <f>M55*$S$55</f>
        <v/>
      </c>
      <c r="N56" s="1173">
        <f>N55*$S$55</f>
        <v/>
      </c>
      <c r="O56" s="1173">
        <f>O55*$S$55</f>
        <v/>
      </c>
      <c r="P56" s="1174" t="n"/>
      <c r="Q56" s="909" t="n"/>
      <c r="R56" s="910" t="n"/>
      <c r="S56" s="902" t="n"/>
      <c r="T56" s="1064" t="n"/>
      <c r="U56" s="1062" t="n"/>
      <c r="V56" s="1062" t="n"/>
      <c r="W56" s="1062" t="n"/>
      <c r="X56" s="1062" t="n"/>
      <c r="Y56" s="1062" t="n"/>
      <c r="Z56" s="1062" t="n"/>
      <c r="AA56" s="1063" t="n"/>
    </row>
    <row r="57" ht="22" customHeight="1" thickBot="1">
      <c r="B57" s="1169" t="n"/>
      <c r="C57" s="117" t="inlineStr">
        <is>
          <t>Total Sales</t>
        </is>
      </c>
      <c r="D57" s="194">
        <f>(D55-D56)*$D$16</f>
        <v/>
      </c>
      <c r="E57" s="194">
        <f>(E55-E56)*$D$16</f>
        <v/>
      </c>
      <c r="F57" s="194">
        <f>(F55-F56)*$D$16</f>
        <v/>
      </c>
      <c r="G57" s="194">
        <f>(G55-G56)*$D$16</f>
        <v/>
      </c>
      <c r="H57" s="194">
        <f>(H55-H56)*$D$16</f>
        <v/>
      </c>
      <c r="I57" s="194">
        <f>(I55-I56)*$D$16</f>
        <v/>
      </c>
      <c r="J57" s="194">
        <f>(J55-J56)*$D$16</f>
        <v/>
      </c>
      <c r="K57" s="194">
        <f>(K55-K56)*$D$16</f>
        <v/>
      </c>
      <c r="L57" s="194">
        <f>(L55-L56)*$D$16</f>
        <v/>
      </c>
      <c r="M57" s="194">
        <f>(M55-M56)*$D$16</f>
        <v/>
      </c>
      <c r="N57" s="194">
        <f>(N55-N56)*$D$16</f>
        <v/>
      </c>
      <c r="O57" s="194">
        <f>(O55-O56)*$D$16</f>
        <v/>
      </c>
      <c r="P57" s="319">
        <f>SUM(D57:O57)</f>
        <v/>
      </c>
      <c r="Q57" s="1175">
        <f>(Q58+Q59)</f>
        <v/>
      </c>
      <c r="R57" s="1176" t="inlineStr">
        <is>
          <t xml:space="preserve"> </t>
        </is>
      </c>
      <c r="T57" s="1282" t="n"/>
      <c r="U57" s="711" t="n"/>
      <c r="V57" s="711" t="n"/>
      <c r="W57" s="711" t="n"/>
      <c r="X57" s="711" t="n"/>
      <c r="Y57" s="711" t="n"/>
      <c r="Z57" s="711" t="n"/>
      <c r="AA57" s="1204" t="n"/>
    </row>
    <row r="58" ht="20" customHeight="1">
      <c r="B58" s="1169" t="n"/>
      <c r="C58" s="118" t="inlineStr">
        <is>
          <t>Total COGS</t>
        </is>
      </c>
      <c r="D58" s="193">
        <f>D55*$E$16</f>
        <v/>
      </c>
      <c r="E58" s="193">
        <f>E55*$E$16</f>
        <v/>
      </c>
      <c r="F58" s="193">
        <f>F55*$E$16</f>
        <v/>
      </c>
      <c r="G58" s="193">
        <f>G55*$E$16</f>
        <v/>
      </c>
      <c r="H58" s="193">
        <f>H55*$E$16</f>
        <v/>
      </c>
      <c r="I58" s="193">
        <f>I55*$E$16</f>
        <v/>
      </c>
      <c r="J58" s="193">
        <f>J55*$E$16</f>
        <v/>
      </c>
      <c r="K58" s="193">
        <f>K55*$E$16</f>
        <v/>
      </c>
      <c r="L58" s="193">
        <f>L55*$E$16</f>
        <v/>
      </c>
      <c r="M58" s="193">
        <f>M55*$E$16</f>
        <v/>
      </c>
      <c r="N58" s="193">
        <f>N55*$E$16</f>
        <v/>
      </c>
      <c r="O58" s="273">
        <f>O55*$E$16</f>
        <v/>
      </c>
      <c r="P58" s="320">
        <f>SUM(D58:O58)</f>
        <v/>
      </c>
      <c r="Q58" s="1178">
        <f>IF(P57=0,0,P58/P57)</f>
        <v/>
      </c>
      <c r="R58" s="1179" t="inlineStr">
        <is>
          <t xml:space="preserve"> </t>
        </is>
      </c>
    </row>
    <row r="59" ht="19" customHeight="1" thickBot="1">
      <c r="B59" s="1169" t="n"/>
      <c r="C59" s="119" t="inlineStr">
        <is>
          <t>Total Margin</t>
        </is>
      </c>
      <c r="D59" s="68">
        <f>D57-D58</f>
        <v/>
      </c>
      <c r="E59" s="68">
        <f>E57-E58</f>
        <v/>
      </c>
      <c r="F59" s="68">
        <f>F57-F58</f>
        <v/>
      </c>
      <c r="G59" s="68">
        <f>G57-G58</f>
        <v/>
      </c>
      <c r="H59" s="68">
        <f>H57-H58</f>
        <v/>
      </c>
      <c r="I59" s="68">
        <f>I57-I58</f>
        <v/>
      </c>
      <c r="J59" s="68">
        <f>J57-J58</f>
        <v/>
      </c>
      <c r="K59" s="68">
        <f>K57-K58</f>
        <v/>
      </c>
      <c r="L59" s="68">
        <f>L57-L58</f>
        <v/>
      </c>
      <c r="M59" s="68">
        <f>M57-M58</f>
        <v/>
      </c>
      <c r="N59" s="68">
        <f>N57-N58</f>
        <v/>
      </c>
      <c r="O59" s="69">
        <f>O57-O58</f>
        <v/>
      </c>
      <c r="P59" s="321">
        <f>SUM(D59:O59)</f>
        <v/>
      </c>
      <c r="Q59" s="1181">
        <f>IF(P57=0,0,P59/P57)</f>
        <v/>
      </c>
      <c r="R59" s="1182" t="inlineStr">
        <is>
          <t xml:space="preserve"> </t>
        </is>
      </c>
    </row>
    <row r="60" ht="18" customHeight="1">
      <c r="B60" s="1169" t="n"/>
      <c r="C60" s="1207" t="n"/>
      <c r="R60" s="1191" t="n"/>
    </row>
    <row r="61" ht="19" customHeight="1" thickBot="1">
      <c r="B61" s="1169" t="n"/>
      <c r="C61" s="1185">
        <f>C17</f>
        <v/>
      </c>
      <c r="R61" s="707" t="n"/>
    </row>
    <row r="62" ht="19" customHeight="1" thickBot="1">
      <c r="B62" s="1169" t="n"/>
      <c r="C62" s="116" t="inlineStr">
        <is>
          <t>Licences Sold</t>
        </is>
      </c>
      <c r="D62" s="1170" t="n">
        <v>50</v>
      </c>
      <c r="E62" s="1170" t="n">
        <v>50</v>
      </c>
      <c r="F62" s="1170" t="n">
        <v>60</v>
      </c>
      <c r="G62" s="1170" t="n">
        <v>65</v>
      </c>
      <c r="H62" s="1170" t="n">
        <v>70</v>
      </c>
      <c r="I62" s="1170" t="n">
        <v>75</v>
      </c>
      <c r="J62" s="1170" t="n">
        <v>80</v>
      </c>
      <c r="K62" s="1170" t="n">
        <v>85</v>
      </c>
      <c r="L62" s="1170" t="n">
        <v>90</v>
      </c>
      <c r="M62" s="1170" t="n">
        <v>95</v>
      </c>
      <c r="N62" s="1170" t="n">
        <v>100</v>
      </c>
      <c r="O62" s="1212" t="n">
        <v>110</v>
      </c>
      <c r="P62" s="1187">
        <f>O62</f>
        <v/>
      </c>
      <c r="Q62" s="72" t="n"/>
      <c r="R62" s="318" t="n"/>
      <c r="S62" s="902" t="n">
        <v>0.03</v>
      </c>
    </row>
    <row r="63" hidden="1" ht="18" customHeight="1">
      <c r="B63" s="1169" t="n"/>
      <c r="C63" s="906" t="n"/>
      <c r="D63" s="1173">
        <f>D62*$S$62</f>
        <v/>
      </c>
      <c r="E63" s="1173">
        <f>E62*$S$62</f>
        <v/>
      </c>
      <c r="F63" s="1173">
        <f>F62*$S$62</f>
        <v/>
      </c>
      <c r="G63" s="1173">
        <f>G62*$S$62</f>
        <v/>
      </c>
      <c r="H63" s="1173">
        <f>H62*$S$62</f>
        <v/>
      </c>
      <c r="I63" s="1173">
        <f>I62*$S$62</f>
        <v/>
      </c>
      <c r="J63" s="1173">
        <f>J62*$S$62</f>
        <v/>
      </c>
      <c r="K63" s="1173">
        <f>K62*$S$62</f>
        <v/>
      </c>
      <c r="L63" s="1173">
        <f>L62*$S$62</f>
        <v/>
      </c>
      <c r="M63" s="1173">
        <f>M62*$S$62</f>
        <v/>
      </c>
      <c r="N63" s="1173">
        <f>N62*$S$62</f>
        <v/>
      </c>
      <c r="O63" s="1173">
        <f>O62*$S$62</f>
        <v/>
      </c>
      <c r="P63" s="1174" t="n"/>
      <c r="Q63" s="909" t="n"/>
      <c r="R63" s="910" t="n"/>
      <c r="S63" s="902" t="n"/>
    </row>
    <row r="64" ht="18" customHeight="1">
      <c r="B64" s="1169" t="n"/>
      <c r="C64" s="117" t="inlineStr">
        <is>
          <t>Total Sales</t>
        </is>
      </c>
      <c r="D64" s="194">
        <f>(D62-D63)*$D$17</f>
        <v/>
      </c>
      <c r="E64" s="194">
        <f>(E62-E63)*$D$17</f>
        <v/>
      </c>
      <c r="F64" s="194">
        <f>(F62-F63)*$D$17</f>
        <v/>
      </c>
      <c r="G64" s="194">
        <f>(G62-G63)*$D$17</f>
        <v/>
      </c>
      <c r="H64" s="194">
        <f>(H62-H63)*$D$17</f>
        <v/>
      </c>
      <c r="I64" s="194">
        <f>(I62-I63)*$D$17</f>
        <v/>
      </c>
      <c r="J64" s="194">
        <f>(J62-J63)*$D$17</f>
        <v/>
      </c>
      <c r="K64" s="194">
        <f>(K62-K63)*$D$17</f>
        <v/>
      </c>
      <c r="L64" s="194">
        <f>(L62-L63)*$D$17</f>
        <v/>
      </c>
      <c r="M64" s="194">
        <f>(M62-M63)*$D$17</f>
        <v/>
      </c>
      <c r="N64" s="194">
        <f>(N62-N63)*$D$17</f>
        <v/>
      </c>
      <c r="O64" s="194">
        <f>(O62-O63)*$D$17</f>
        <v/>
      </c>
      <c r="P64" s="319">
        <f>SUM(D64:O64)</f>
        <v/>
      </c>
      <c r="Q64" s="1175">
        <f>(Q65+Q66)</f>
        <v/>
      </c>
      <c r="R64" s="1176" t="inlineStr">
        <is>
          <t xml:space="preserve"> </t>
        </is>
      </c>
    </row>
    <row r="65" ht="18" customHeight="1">
      <c r="B65" s="1169" t="n"/>
      <c r="C65" s="118" t="inlineStr">
        <is>
          <t>Total COGS</t>
        </is>
      </c>
      <c r="D65" s="193">
        <f>D62*$E$17</f>
        <v/>
      </c>
      <c r="E65" s="193">
        <f>E62*$E$17</f>
        <v/>
      </c>
      <c r="F65" s="193">
        <f>F62*$E$17</f>
        <v/>
      </c>
      <c r="G65" s="193">
        <f>G62*$E$17</f>
        <v/>
      </c>
      <c r="H65" s="193">
        <f>H62*$E$17</f>
        <v/>
      </c>
      <c r="I65" s="193">
        <f>I62*$E$17</f>
        <v/>
      </c>
      <c r="J65" s="193">
        <f>J62*$E$17</f>
        <v/>
      </c>
      <c r="K65" s="193">
        <f>K62*$E$17</f>
        <v/>
      </c>
      <c r="L65" s="193">
        <f>L62*$E$17</f>
        <v/>
      </c>
      <c r="M65" s="193">
        <f>M62*$E$17</f>
        <v/>
      </c>
      <c r="N65" s="193">
        <f>N62*$E$17</f>
        <v/>
      </c>
      <c r="O65" s="273">
        <f>O62*$E$17</f>
        <v/>
      </c>
      <c r="P65" s="320">
        <f>SUM(D65:O65)</f>
        <v/>
      </c>
      <c r="Q65" s="1178">
        <f>IF(P64=0,0,P65/P64)</f>
        <v/>
      </c>
      <c r="R65" s="1179" t="inlineStr">
        <is>
          <t xml:space="preserve"> </t>
        </is>
      </c>
    </row>
    <row r="66" ht="19" customHeight="1" thickBot="1">
      <c r="B66" s="1169" t="n"/>
      <c r="C66" s="119" t="inlineStr">
        <is>
          <t>Total Margin</t>
        </is>
      </c>
      <c r="D66" s="68">
        <f>D64-D65</f>
        <v/>
      </c>
      <c r="E66" s="68">
        <f>E64-E65</f>
        <v/>
      </c>
      <c r="F66" s="68">
        <f>F64-F65</f>
        <v/>
      </c>
      <c r="G66" s="68">
        <f>G64-G65</f>
        <v/>
      </c>
      <c r="H66" s="68">
        <f>H64-H65</f>
        <v/>
      </c>
      <c r="I66" s="68">
        <f>I64-I65</f>
        <v/>
      </c>
      <c r="J66" s="68">
        <f>J64-J65</f>
        <v/>
      </c>
      <c r="K66" s="68">
        <f>K64-K65</f>
        <v/>
      </c>
      <c r="L66" s="68">
        <f>L64-L65</f>
        <v/>
      </c>
      <c r="M66" s="68">
        <f>M64-M65</f>
        <v/>
      </c>
      <c r="N66" s="68">
        <f>N64-N65</f>
        <v/>
      </c>
      <c r="O66" s="69">
        <f>O64-O65</f>
        <v/>
      </c>
      <c r="P66" s="321">
        <f>SUM(D66:O66)</f>
        <v/>
      </c>
      <c r="Q66" s="1181">
        <f>IF(P64=0,0,P66/P64)</f>
        <v/>
      </c>
      <c r="R66" s="1182" t="inlineStr">
        <is>
          <t xml:space="preserve"> </t>
        </is>
      </c>
    </row>
    <row r="67" ht="20" customHeight="1" thickBot="1">
      <c r="B67" s="1189" t="n"/>
      <c r="C67" s="101" t="n"/>
      <c r="D67" s="340" t="n"/>
      <c r="E67" s="340" t="n"/>
      <c r="F67" s="340" t="n"/>
      <c r="G67" s="340" t="n"/>
      <c r="H67" s="340" t="n"/>
      <c r="I67" s="340" t="n"/>
      <c r="J67" s="340" t="n"/>
      <c r="K67" s="340" t="n"/>
      <c r="L67" s="340" t="n"/>
      <c r="M67" s="340" t="n"/>
      <c r="N67" s="340" t="n"/>
      <c r="O67" s="340" t="n"/>
      <c r="P67" s="103" t="n"/>
      <c r="Q67" s="1208" t="n"/>
      <c r="R67" s="1209" t="inlineStr">
        <is>
          <t xml:space="preserve"> </t>
        </is>
      </c>
    </row>
    <row r="68" ht="21" customHeight="1" thickBot="1">
      <c r="B68" s="1012" t="inlineStr">
        <is>
          <t>Start ups</t>
        </is>
      </c>
      <c r="C68" s="1193">
        <f>C18</f>
        <v/>
      </c>
      <c r="D68" s="1145" t="n"/>
      <c r="E68" s="1145" t="n"/>
      <c r="F68" s="1145" t="n"/>
      <c r="G68" s="1145" t="n"/>
      <c r="H68" s="1145" t="n"/>
      <c r="I68" s="1145" t="n"/>
      <c r="J68" s="1145" t="n"/>
      <c r="K68" s="1145" t="n"/>
      <c r="L68" s="1145" t="n"/>
      <c r="M68" s="1145" t="n"/>
      <c r="N68" s="1145" t="n"/>
      <c r="O68" s="1145" t="n"/>
      <c r="P68" s="1145" t="n"/>
      <c r="Q68" s="1145" t="n"/>
      <c r="R68" s="705" t="n"/>
    </row>
    <row r="69" ht="19" customHeight="1" thickBot="1">
      <c r="B69" s="1194" t="n"/>
      <c r="C69" s="325" t="inlineStr">
        <is>
          <t>Licences Sold</t>
        </is>
      </c>
      <c r="D69" s="1170" t="n">
        <v>410</v>
      </c>
      <c r="E69" s="1170" t="n">
        <v>420</v>
      </c>
      <c r="F69" s="1170" t="n">
        <v>425</v>
      </c>
      <c r="G69" s="1170" t="n">
        <v>435</v>
      </c>
      <c r="H69" s="1170" t="n">
        <v>440</v>
      </c>
      <c r="I69" s="1170" t="n">
        <v>445</v>
      </c>
      <c r="J69" s="1170" t="n">
        <v>450</v>
      </c>
      <c r="K69" s="1170" t="n">
        <v>460</v>
      </c>
      <c r="L69" s="1170" t="n">
        <v>465</v>
      </c>
      <c r="M69" s="1170" t="n">
        <v>470</v>
      </c>
      <c r="N69" s="1170" t="n">
        <v>480</v>
      </c>
      <c r="O69" s="1212" t="n">
        <v>490</v>
      </c>
      <c r="P69" s="1187">
        <f>O69</f>
        <v/>
      </c>
      <c r="Q69" s="72" t="n"/>
      <c r="R69" s="318" t="n"/>
      <c r="S69" s="902" t="n">
        <v>0.05</v>
      </c>
    </row>
    <row r="70" hidden="1" ht="18" customHeight="1">
      <c r="B70" s="1194" t="n"/>
      <c r="C70" s="911" t="n"/>
      <c r="D70" s="1173">
        <f>D69*$S$69</f>
        <v/>
      </c>
      <c r="E70" s="1173">
        <f>E69*$S$69</f>
        <v/>
      </c>
      <c r="F70" s="1173">
        <f>F69*$S$69</f>
        <v/>
      </c>
      <c r="G70" s="1173">
        <f>G69*$S$69</f>
        <v/>
      </c>
      <c r="H70" s="1173">
        <f>H69*$S$69</f>
        <v/>
      </c>
      <c r="I70" s="1173">
        <f>I69*$S$69</f>
        <v/>
      </c>
      <c r="J70" s="1173">
        <f>J69*$S$69</f>
        <v/>
      </c>
      <c r="K70" s="1173">
        <f>K69*$S$69</f>
        <v/>
      </c>
      <c r="L70" s="1173">
        <f>L69*$S$69</f>
        <v/>
      </c>
      <c r="M70" s="1173">
        <f>M69*$S$69</f>
        <v/>
      </c>
      <c r="N70" s="1173">
        <f>N69*$S$69</f>
        <v/>
      </c>
      <c r="O70" s="1173">
        <f>O69*$S$69</f>
        <v/>
      </c>
      <c r="P70" s="1174" t="n"/>
      <c r="Q70" s="909" t="n"/>
      <c r="R70" s="910" t="n"/>
      <c r="S70" s="902" t="n"/>
    </row>
    <row r="71" ht="18" customHeight="1">
      <c r="B71" s="1194" t="n"/>
      <c r="C71" s="297" t="inlineStr">
        <is>
          <t>Total Sales</t>
        </is>
      </c>
      <c r="D71" s="194">
        <f>(D69-D70)*$D$18</f>
        <v/>
      </c>
      <c r="E71" s="194">
        <f>(E69-E70)*$D$18</f>
        <v/>
      </c>
      <c r="F71" s="194">
        <f>(F69-F70)*$D$18</f>
        <v/>
      </c>
      <c r="G71" s="194">
        <f>(G69-G70)*$D$18</f>
        <v/>
      </c>
      <c r="H71" s="194">
        <f>(H69-H70)*$D$18</f>
        <v/>
      </c>
      <c r="I71" s="194">
        <f>(I69-I70)*$D$18</f>
        <v/>
      </c>
      <c r="J71" s="194">
        <f>(J69-J70)*$D$18</f>
        <v/>
      </c>
      <c r="K71" s="194">
        <f>(K69-K70)*$D$18</f>
        <v/>
      </c>
      <c r="L71" s="194">
        <f>(L69-L70)*$D$18</f>
        <v/>
      </c>
      <c r="M71" s="194">
        <f>(M69-M70)*$D$18</f>
        <v/>
      </c>
      <c r="N71" s="194">
        <f>(N69-N70)*$D$18</f>
        <v/>
      </c>
      <c r="O71" s="194">
        <f>(O69-O70)*$D$18</f>
        <v/>
      </c>
      <c r="P71" s="319">
        <f>SUM(D71:O71)</f>
        <v/>
      </c>
      <c r="Q71" s="1175">
        <f>(Q72+Q73)</f>
        <v/>
      </c>
      <c r="R71" s="1176" t="inlineStr">
        <is>
          <t xml:space="preserve"> </t>
        </is>
      </c>
    </row>
    <row r="72" ht="18" customHeight="1">
      <c r="B72" s="1194" t="n"/>
      <c r="C72" s="299" t="inlineStr">
        <is>
          <t>Total COGS</t>
        </is>
      </c>
      <c r="D72" s="193">
        <f>D69*$E$18</f>
        <v/>
      </c>
      <c r="E72" s="193">
        <f>E69*$E$18</f>
        <v/>
      </c>
      <c r="F72" s="193">
        <f>F69*$E$18</f>
        <v/>
      </c>
      <c r="G72" s="193">
        <f>G69*$E$18</f>
        <v/>
      </c>
      <c r="H72" s="193">
        <f>H69*$E$18</f>
        <v/>
      </c>
      <c r="I72" s="193">
        <f>I69*$E$18</f>
        <v/>
      </c>
      <c r="J72" s="193">
        <f>J69*$E$18</f>
        <v/>
      </c>
      <c r="K72" s="193">
        <f>K69*$E$18</f>
        <v/>
      </c>
      <c r="L72" s="193">
        <f>L69*$E$18</f>
        <v/>
      </c>
      <c r="M72" s="193">
        <f>M69*$E$18</f>
        <v/>
      </c>
      <c r="N72" s="193">
        <f>N69*$E$18</f>
        <v/>
      </c>
      <c r="O72" s="273">
        <f>O69*$E$18</f>
        <v/>
      </c>
      <c r="P72" s="320">
        <f>SUM(D72:O72)</f>
        <v/>
      </c>
      <c r="Q72" s="1178">
        <f>IF(P71=0,0,P72/P71)</f>
        <v/>
      </c>
      <c r="R72" s="1179" t="inlineStr">
        <is>
          <t xml:space="preserve"> </t>
        </is>
      </c>
    </row>
    <row r="73" ht="19" customHeight="1" thickBot="1">
      <c r="B73" s="1194" t="n"/>
      <c r="C73" s="326" t="inlineStr">
        <is>
          <t>Total Margin</t>
        </is>
      </c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9">
        <f>O71-O72</f>
        <v/>
      </c>
      <c r="P73" s="321">
        <f>SUM(D73:O73)</f>
        <v/>
      </c>
      <c r="Q73" s="1181">
        <f>IF(P71=0,0,P73/P71)</f>
        <v/>
      </c>
      <c r="R73" s="1182" t="inlineStr">
        <is>
          <t xml:space="preserve"> </t>
        </is>
      </c>
    </row>
    <row r="74" ht="18" customHeight="1">
      <c r="B74" s="1194" t="n"/>
      <c r="C74" s="1211" t="n"/>
      <c r="R74" s="707" t="n"/>
    </row>
    <row r="75" ht="19" customHeight="1" thickBot="1">
      <c r="B75" s="1194" t="n"/>
      <c r="C75" s="1197">
        <f>C19</f>
        <v/>
      </c>
      <c r="R75" s="707" t="n"/>
    </row>
    <row r="76" ht="19" customHeight="1" thickBot="1">
      <c r="B76" s="1194" t="n"/>
      <c r="C76" s="325" t="inlineStr">
        <is>
          <t>Licences Sold</t>
        </is>
      </c>
      <c r="D76" s="1170" t="n"/>
      <c r="E76" s="1170" t="n"/>
      <c r="F76" s="1170" t="n"/>
      <c r="G76" s="1170" t="n"/>
      <c r="H76" s="1170" t="n"/>
      <c r="I76" s="1170" t="n"/>
      <c r="J76" s="1170" t="n"/>
      <c r="K76" s="1170" t="n">
        <v>0</v>
      </c>
      <c r="L76" s="1170" t="n">
        <v>0</v>
      </c>
      <c r="M76" s="1170" t="n">
        <v>0</v>
      </c>
      <c r="N76" s="1170" t="n">
        <v>0</v>
      </c>
      <c r="O76" s="1212" t="n">
        <v>0</v>
      </c>
      <c r="P76" s="1187">
        <f>O76</f>
        <v/>
      </c>
      <c r="Q76" s="72" t="n"/>
      <c r="R76" s="318" t="n"/>
      <c r="S76" s="902" t="n">
        <v>0.05</v>
      </c>
    </row>
    <row r="77" hidden="1" ht="18" customHeight="1">
      <c r="B77" s="1194" t="n"/>
      <c r="C77" s="911" t="n"/>
      <c r="D77" s="1173">
        <f>D76*$S$76</f>
        <v/>
      </c>
      <c r="E77" s="1173">
        <f>E76*$S$76</f>
        <v/>
      </c>
      <c r="F77" s="1173">
        <f>F76*$S$76</f>
        <v/>
      </c>
      <c r="G77" s="1173">
        <f>G76*$S$76</f>
        <v/>
      </c>
      <c r="H77" s="1173">
        <f>H76*$S$76</f>
        <v/>
      </c>
      <c r="I77" s="1173">
        <f>I76*$S$76</f>
        <v/>
      </c>
      <c r="J77" s="1173">
        <f>J76*$S$76</f>
        <v/>
      </c>
      <c r="K77" s="1173">
        <f>K76*$S$76</f>
        <v/>
      </c>
      <c r="L77" s="1173">
        <f>L76*$S$76</f>
        <v/>
      </c>
      <c r="M77" s="1173">
        <f>M76*$S$76</f>
        <v/>
      </c>
      <c r="N77" s="1173">
        <f>N76*$S$76</f>
        <v/>
      </c>
      <c r="O77" s="1173">
        <f>O76*$S$76</f>
        <v/>
      </c>
      <c r="P77" s="1174" t="n"/>
      <c r="Q77" s="909" t="n"/>
      <c r="R77" s="910" t="n"/>
      <c r="S77" s="902" t="n"/>
    </row>
    <row r="78" ht="18" customHeight="1">
      <c r="B78" s="1194" t="n"/>
      <c r="C78" s="297" t="inlineStr">
        <is>
          <t>Total Sales</t>
        </is>
      </c>
      <c r="D78" s="194">
        <f>(D76-D77)*$D$19</f>
        <v/>
      </c>
      <c r="E78" s="194">
        <f>(E76-E77)*$D$19</f>
        <v/>
      </c>
      <c r="F78" s="194">
        <f>(F76-F77)*$D$19</f>
        <v/>
      </c>
      <c r="G78" s="194">
        <f>(G76-G77)*$D$19</f>
        <v/>
      </c>
      <c r="H78" s="194">
        <f>(H76-H77)*$D$19</f>
        <v/>
      </c>
      <c r="I78" s="194">
        <f>(I76-I77)*$D$19</f>
        <v/>
      </c>
      <c r="J78" s="194">
        <f>(J76-J77)*$D$19</f>
        <v/>
      </c>
      <c r="K78" s="194">
        <f>(K76-K77)*$D$19</f>
        <v/>
      </c>
      <c r="L78" s="194">
        <f>(L76-L77)*$D$19</f>
        <v/>
      </c>
      <c r="M78" s="194">
        <f>(M76-M77)*$D$19</f>
        <v/>
      </c>
      <c r="N78" s="194">
        <f>(N76-N77)*$D$19</f>
        <v/>
      </c>
      <c r="O78" s="194">
        <f>(O76-O77)*$D$19</f>
        <v/>
      </c>
      <c r="P78" s="319">
        <f>SUM(D78:O78)</f>
        <v/>
      </c>
      <c r="Q78" s="1175">
        <f>(Q79+Q80)</f>
        <v/>
      </c>
      <c r="R78" s="1176" t="inlineStr">
        <is>
          <t xml:space="preserve"> </t>
        </is>
      </c>
    </row>
    <row r="79" ht="18" customHeight="1">
      <c r="B79" s="1194" t="n"/>
      <c r="C79" s="299" t="inlineStr">
        <is>
          <t>Total COGS</t>
        </is>
      </c>
      <c r="D79" s="193">
        <f>D76*$E$19</f>
        <v/>
      </c>
      <c r="E79" s="193">
        <f>E76*$E$19</f>
        <v/>
      </c>
      <c r="F79" s="193">
        <f>F76*$E$19</f>
        <v/>
      </c>
      <c r="G79" s="193">
        <f>G76*$E$19</f>
        <v/>
      </c>
      <c r="H79" s="193">
        <f>H76*$E$19</f>
        <v/>
      </c>
      <c r="I79" s="193">
        <f>I76*$E$19</f>
        <v/>
      </c>
      <c r="J79" s="193">
        <f>J76*$E$19</f>
        <v/>
      </c>
      <c r="K79" s="193">
        <f>K76*$E$19</f>
        <v/>
      </c>
      <c r="L79" s="193">
        <f>L76*$E$19</f>
        <v/>
      </c>
      <c r="M79" s="193">
        <f>M76*$E$19</f>
        <v/>
      </c>
      <c r="N79" s="193">
        <f>N76*$E$19</f>
        <v/>
      </c>
      <c r="O79" s="273">
        <f>O76*$E$19</f>
        <v/>
      </c>
      <c r="P79" s="320">
        <f>SUM(D79:O79)</f>
        <v/>
      </c>
      <c r="Q79" s="1178">
        <f>IF(P78=0,0,P79/P78)</f>
        <v/>
      </c>
      <c r="R79" s="1179" t="inlineStr">
        <is>
          <t xml:space="preserve"> </t>
        </is>
      </c>
    </row>
    <row r="80" ht="19" customHeight="1" thickBot="1">
      <c r="B80" s="1194" t="n"/>
      <c r="C80" s="301" t="inlineStr">
        <is>
          <t>Total Margin</t>
        </is>
      </c>
      <c r="D80" s="308">
        <f>D78-D79</f>
        <v/>
      </c>
      <c r="E80" s="308">
        <f>E78-E79</f>
        <v/>
      </c>
      <c r="F80" s="308">
        <f>F78-F79</f>
        <v/>
      </c>
      <c r="G80" s="308">
        <f>G78-G79</f>
        <v/>
      </c>
      <c r="H80" s="308">
        <f>H78-H79</f>
        <v/>
      </c>
      <c r="I80" s="308">
        <f>I78-I79</f>
        <v/>
      </c>
      <c r="J80" s="308">
        <f>J78-J79</f>
        <v/>
      </c>
      <c r="K80" s="308">
        <f>K78-K79</f>
        <v/>
      </c>
      <c r="L80" s="308">
        <f>L78-L79</f>
        <v/>
      </c>
      <c r="M80" s="308">
        <f>M78-M79</f>
        <v/>
      </c>
      <c r="N80" s="308">
        <f>N78-N79</f>
        <v/>
      </c>
      <c r="O80" s="532">
        <f>O78-O79</f>
        <v/>
      </c>
      <c r="P80" s="321">
        <f>SUM(D80:O80)</f>
        <v/>
      </c>
      <c r="Q80" s="1181">
        <f>IF(P78=0,0,P80/P78)</f>
        <v/>
      </c>
      <c r="R80" s="1182" t="inlineStr">
        <is>
          <t xml:space="preserve"> </t>
        </is>
      </c>
    </row>
    <row r="81" ht="18" customHeight="1">
      <c r="B81" s="1018" t="inlineStr">
        <is>
          <t xml:space="preserve"> </t>
        </is>
      </c>
    </row>
    <row r="82" ht="20" customHeight="1">
      <c r="B82" s="129" t="n"/>
      <c r="C82" s="207" t="n"/>
      <c r="D82" s="207" t="n"/>
      <c r="E82" s="207" t="n"/>
      <c r="F82" s="207" t="n"/>
      <c r="G82" s="207" t="inlineStr">
        <is>
          <t xml:space="preserve"> </t>
        </is>
      </c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</row>
    <row r="83" ht="19" customHeight="1" thickBot="1">
      <c r="B83" s="1005" t="inlineStr">
        <is>
          <t>Consultancy / Training</t>
        </is>
      </c>
      <c r="C83" s="1185">
        <f>C21</f>
        <v/>
      </c>
      <c r="R83" s="707" t="n"/>
    </row>
    <row r="84" ht="19" customHeight="1" thickBot="1">
      <c r="B84" s="1169" t="n"/>
      <c r="C84" s="116" t="inlineStr">
        <is>
          <t>Access sold</t>
        </is>
      </c>
      <c r="D84" s="1170">
        <f>D175*0.35</f>
        <v/>
      </c>
      <c r="E84" s="1170">
        <f>E175*0.35</f>
        <v/>
      </c>
      <c r="F84" s="1170">
        <f>F175*0.35</f>
        <v/>
      </c>
      <c r="G84" s="1170">
        <f>G175*0.35</f>
        <v/>
      </c>
      <c r="H84" s="1170">
        <f>H175*0.35</f>
        <v/>
      </c>
      <c r="I84" s="1170">
        <f>I175*0.35</f>
        <v/>
      </c>
      <c r="J84" s="1170">
        <f>J175*0.35</f>
        <v/>
      </c>
      <c r="K84" s="1170">
        <f>K175*0.35</f>
        <v/>
      </c>
      <c r="L84" s="1170">
        <f>L175*0.35</f>
        <v/>
      </c>
      <c r="M84" s="1170">
        <f>M175*0.35</f>
        <v/>
      </c>
      <c r="N84" s="1170">
        <f>N175*0.35</f>
        <v/>
      </c>
      <c r="O84" s="1170">
        <f>O175*0.35</f>
        <v/>
      </c>
      <c r="P84" s="322" t="n"/>
      <c r="Q84" s="323" t="n"/>
      <c r="R84" s="324" t="n"/>
    </row>
    <row r="85" ht="18" customHeight="1">
      <c r="B85" s="1169" t="n"/>
      <c r="C85" s="117" t="inlineStr">
        <is>
          <t>Total Sales</t>
        </is>
      </c>
      <c r="D85" s="194">
        <f>D84*$D$21</f>
        <v/>
      </c>
      <c r="E85" s="194">
        <f>E84*$D$21</f>
        <v/>
      </c>
      <c r="F85" s="194">
        <f>F84*$D$21</f>
        <v/>
      </c>
      <c r="G85" s="194">
        <f>G84*$D$21</f>
        <v/>
      </c>
      <c r="H85" s="194">
        <f>H84*$D$21</f>
        <v/>
      </c>
      <c r="I85" s="194">
        <f>I84*$D$21</f>
        <v/>
      </c>
      <c r="J85" s="194">
        <f>J84*$D$21</f>
        <v/>
      </c>
      <c r="K85" s="194">
        <f>K84*$D$21</f>
        <v/>
      </c>
      <c r="L85" s="194">
        <f>L84*$D$21</f>
        <v/>
      </c>
      <c r="M85" s="194">
        <f>M84*$D$21</f>
        <v/>
      </c>
      <c r="N85" s="194">
        <f>N84*$D$21</f>
        <v/>
      </c>
      <c r="O85" s="523">
        <f>O84*$D$21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1169" t="n"/>
      <c r="C86" s="118" t="inlineStr">
        <is>
          <t>Total COGS</t>
        </is>
      </c>
      <c r="D86" s="107">
        <f>D84*$E$21</f>
        <v/>
      </c>
      <c r="E86" s="107">
        <f>E84*$E$21</f>
        <v/>
      </c>
      <c r="F86" s="107">
        <f>F84*$E$21</f>
        <v/>
      </c>
      <c r="G86" s="107">
        <f>G84*$E$21</f>
        <v/>
      </c>
      <c r="H86" s="107">
        <f>H84*$E$21</f>
        <v/>
      </c>
      <c r="I86" s="107">
        <f>I84*$E$21</f>
        <v/>
      </c>
      <c r="J86" s="107">
        <f>J84*$E$21</f>
        <v/>
      </c>
      <c r="K86" s="107">
        <f>K84*$E$21</f>
        <v/>
      </c>
      <c r="L86" s="107">
        <f>L84*$E$21</f>
        <v/>
      </c>
      <c r="M86" s="107">
        <f>M84*$E$21</f>
        <v/>
      </c>
      <c r="N86" s="107">
        <f>N84*$E$21</f>
        <v/>
      </c>
      <c r="O86" s="316">
        <f>O84*$E$21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9" customHeight="1" thickBot="1">
      <c r="B87" s="116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16" customHeight="1">
      <c r="B88" s="1169" t="n"/>
      <c r="C88" s="1190" t="inlineStr">
        <is>
          <t xml:space="preserve"> </t>
        </is>
      </c>
      <c r="R88" s="1191" t="n"/>
    </row>
    <row r="89" ht="19" customHeight="1" thickBot="1">
      <c r="B89" s="1169" t="n"/>
      <c r="C89" s="1185">
        <f>C22</f>
        <v/>
      </c>
      <c r="R89" s="707" t="n"/>
    </row>
    <row r="90" ht="19" customHeight="1" thickBot="1">
      <c r="B90" s="1169" t="n"/>
      <c r="C90" s="116" t="inlineStr">
        <is>
          <t>Hours Sold</t>
        </is>
      </c>
      <c r="D90" s="1170">
        <f>D175*0.25</f>
        <v/>
      </c>
      <c r="E90" s="1170">
        <f>E175*0.25</f>
        <v/>
      </c>
      <c r="F90" s="1170">
        <f>F175*0.25</f>
        <v/>
      </c>
      <c r="G90" s="1170">
        <f>G175*0.25</f>
        <v/>
      </c>
      <c r="H90" s="1170">
        <f>H175*0.25</f>
        <v/>
      </c>
      <c r="I90" s="1170">
        <f>I175*0.25</f>
        <v/>
      </c>
      <c r="J90" s="1170">
        <f>J175*0.25</f>
        <v/>
      </c>
      <c r="K90" s="1170">
        <f>K175*0.25</f>
        <v/>
      </c>
      <c r="L90" s="1170">
        <f>L175*0.25</f>
        <v/>
      </c>
      <c r="M90" s="1170">
        <f>M175*0.25</f>
        <v/>
      </c>
      <c r="N90" s="1170">
        <f>N175*0.25</f>
        <v/>
      </c>
      <c r="O90" s="1170">
        <f>O175*0.25</f>
        <v/>
      </c>
      <c r="P90" s="317" t="n"/>
      <c r="Q90" s="72" t="n"/>
      <c r="R90" s="318" t="n"/>
    </row>
    <row r="91" ht="18" customHeight="1">
      <c r="B91" s="1169" t="n"/>
      <c r="C91" s="117" t="inlineStr">
        <is>
          <t>Total Sales</t>
        </is>
      </c>
      <c r="D91" s="194">
        <f>D90*$D$22</f>
        <v/>
      </c>
      <c r="E91" s="194">
        <f>E90*$D$22</f>
        <v/>
      </c>
      <c r="F91" s="194">
        <f>F90*$D$22</f>
        <v/>
      </c>
      <c r="G91" s="194">
        <f>G90*$D$22</f>
        <v/>
      </c>
      <c r="H91" s="194">
        <f>H90*$D$22</f>
        <v/>
      </c>
      <c r="I91" s="194">
        <f>I90*$D$22</f>
        <v/>
      </c>
      <c r="J91" s="194">
        <f>J90*$D$22</f>
        <v/>
      </c>
      <c r="K91" s="194">
        <f>K90*$D$22</f>
        <v/>
      </c>
      <c r="L91" s="194">
        <f>L90*$D$22</f>
        <v/>
      </c>
      <c r="M91" s="194">
        <f>M90*$D$22</f>
        <v/>
      </c>
      <c r="N91" s="194">
        <f>N90*$D$22</f>
        <v/>
      </c>
      <c r="O91" s="523">
        <f>O90*$D$22</f>
        <v/>
      </c>
      <c r="P91" s="319">
        <f>SUM(D91:O91)</f>
        <v/>
      </c>
      <c r="Q91" s="1175">
        <f>(Q92+Q93)</f>
        <v/>
      </c>
      <c r="R91" s="1176" t="inlineStr">
        <is>
          <t xml:space="preserve"> </t>
        </is>
      </c>
    </row>
    <row r="92" ht="18" customHeight="1">
      <c r="B92" s="1169" t="n"/>
      <c r="C92" s="118" t="inlineStr">
        <is>
          <t>Total COGS</t>
        </is>
      </c>
      <c r="D92" s="107">
        <f>D90*$E$22</f>
        <v/>
      </c>
      <c r="E92" s="107">
        <f>E90*$E$22</f>
        <v/>
      </c>
      <c r="F92" s="107">
        <f>F90*$E$22</f>
        <v/>
      </c>
      <c r="G92" s="107">
        <f>G90*$E$22</f>
        <v/>
      </c>
      <c r="H92" s="107">
        <f>H90*$E$22</f>
        <v/>
      </c>
      <c r="I92" s="107">
        <f>I90*$E$22</f>
        <v/>
      </c>
      <c r="J92" s="107">
        <f>J90*$E$22</f>
        <v/>
      </c>
      <c r="K92" s="107">
        <f>K90*$E$22</f>
        <v/>
      </c>
      <c r="L92" s="107">
        <f>L90*$E$22</f>
        <v/>
      </c>
      <c r="M92" s="107">
        <f>M90*$E$22</f>
        <v/>
      </c>
      <c r="N92" s="107">
        <f>N90*$E$22</f>
        <v/>
      </c>
      <c r="O92" s="316">
        <f>O90*$E$22</f>
        <v/>
      </c>
      <c r="P92" s="320">
        <f>SUM(D92:O92)</f>
        <v/>
      </c>
      <c r="Q92" s="1178">
        <f>IF(P91=0,0,P92/P91)</f>
        <v/>
      </c>
      <c r="R92" s="1179" t="inlineStr">
        <is>
          <t xml:space="preserve"> </t>
        </is>
      </c>
    </row>
    <row r="93" ht="19" customHeight="1" thickBot="1">
      <c r="B93" s="1169" t="n"/>
      <c r="C93" s="119" t="inlineStr">
        <is>
          <t>Total Margin</t>
        </is>
      </c>
      <c r="D93" s="68">
        <f>D91-D92</f>
        <v/>
      </c>
      <c r="E93" s="68">
        <f>E91-E92</f>
        <v/>
      </c>
      <c r="F93" s="68">
        <f>F91-F92</f>
        <v/>
      </c>
      <c r="G93" s="68">
        <f>G91-G92</f>
        <v/>
      </c>
      <c r="H93" s="68">
        <f>H91-H92</f>
        <v/>
      </c>
      <c r="I93" s="68">
        <f>I91-I92</f>
        <v/>
      </c>
      <c r="J93" s="68">
        <f>J91-J92</f>
        <v/>
      </c>
      <c r="K93" s="68">
        <f>K91-K92</f>
        <v/>
      </c>
      <c r="L93" s="68">
        <f>L91-L92</f>
        <v/>
      </c>
      <c r="M93" s="68">
        <f>M91-M92</f>
        <v/>
      </c>
      <c r="N93" s="68">
        <f>N91-N92</f>
        <v/>
      </c>
      <c r="O93" s="69">
        <f>O91-O92</f>
        <v/>
      </c>
      <c r="P93" s="321">
        <f>SUM(D93:O93)</f>
        <v/>
      </c>
      <c r="Q93" s="1181">
        <f>IF(P91=0,0,P93/P91)</f>
        <v/>
      </c>
      <c r="R93" s="1182" t="inlineStr">
        <is>
          <t xml:space="preserve"> </t>
        </is>
      </c>
    </row>
    <row r="94" ht="16" customHeight="1">
      <c r="B94" s="1169" t="n"/>
      <c r="C94" s="1190" t="inlineStr">
        <is>
          <t xml:space="preserve"> </t>
        </is>
      </c>
      <c r="R94" s="1191" t="n"/>
    </row>
    <row r="95" ht="18" customHeight="1">
      <c r="B95" s="1169" t="n"/>
      <c r="C95" s="1185" t="inlineStr">
        <is>
          <t>Total Training Consultancy</t>
        </is>
      </c>
      <c r="R95" s="707" t="n"/>
    </row>
    <row r="96" ht="18" customHeight="1">
      <c r="B96" s="1169" t="n"/>
      <c r="C96" s="117" t="inlineStr">
        <is>
          <t>Total Sales</t>
        </is>
      </c>
      <c r="D96" s="194">
        <f>D91+D85</f>
        <v/>
      </c>
      <c r="E96" s="194">
        <f>E91+E85</f>
        <v/>
      </c>
      <c r="F96" s="194">
        <f>F91+F85</f>
        <v/>
      </c>
      <c r="G96" s="194">
        <f>G91+G85</f>
        <v/>
      </c>
      <c r="H96" s="194">
        <f>H91+H85</f>
        <v/>
      </c>
      <c r="I96" s="194">
        <f>I91+I85</f>
        <v/>
      </c>
      <c r="J96" s="194">
        <f>J91+J85</f>
        <v/>
      </c>
      <c r="K96" s="194">
        <f>K91+K85</f>
        <v/>
      </c>
      <c r="L96" s="194">
        <f>L91+L85</f>
        <v/>
      </c>
      <c r="M96" s="194">
        <f>M91+M85</f>
        <v/>
      </c>
      <c r="N96" s="194">
        <f>N91+N85</f>
        <v/>
      </c>
      <c r="O96" s="523">
        <f>O91+O85</f>
        <v/>
      </c>
      <c r="P96" s="319">
        <f>SUM(D96:O96)</f>
        <v/>
      </c>
      <c r="Q96" s="1175">
        <f>(Q97+Q98)</f>
        <v/>
      </c>
      <c r="R96" s="1176" t="inlineStr">
        <is>
          <t xml:space="preserve"> </t>
        </is>
      </c>
    </row>
    <row r="97" ht="18" customHeight="1">
      <c r="B97" s="1169" t="n"/>
      <c r="C97" s="118" t="inlineStr">
        <is>
          <t>Total COGS</t>
        </is>
      </c>
      <c r="D97" s="193">
        <f>D92+D86</f>
        <v/>
      </c>
      <c r="E97" s="193">
        <f>E92+E86</f>
        <v/>
      </c>
      <c r="F97" s="193">
        <f>F92+F86</f>
        <v/>
      </c>
      <c r="G97" s="193">
        <f>G92+G86</f>
        <v/>
      </c>
      <c r="H97" s="193">
        <f>H92+H86</f>
        <v/>
      </c>
      <c r="I97" s="193">
        <f>I92+I86</f>
        <v/>
      </c>
      <c r="J97" s="193">
        <f>J92+J86</f>
        <v/>
      </c>
      <c r="K97" s="193">
        <f>K92+K86</f>
        <v/>
      </c>
      <c r="L97" s="193">
        <f>L92+L86</f>
        <v/>
      </c>
      <c r="M97" s="193">
        <f>M92+M86</f>
        <v/>
      </c>
      <c r="N97" s="193">
        <f>N92+N86</f>
        <v/>
      </c>
      <c r="O97" s="273">
        <f>O92+O86</f>
        <v/>
      </c>
      <c r="P97" s="320">
        <f>SUM(D97:O97)</f>
        <v/>
      </c>
      <c r="Q97" s="1178">
        <f>IF(P96=0,0,P97/P96)</f>
        <v/>
      </c>
      <c r="R97" s="1179" t="inlineStr">
        <is>
          <t xml:space="preserve"> </t>
        </is>
      </c>
    </row>
    <row r="98" ht="19" customHeight="1" thickBot="1">
      <c r="B98" s="1169" t="n"/>
      <c r="C98" s="119" t="inlineStr">
        <is>
          <t>Total Margin</t>
        </is>
      </c>
      <c r="D98" s="68">
        <f>D96-D97</f>
        <v/>
      </c>
      <c r="E98" s="68">
        <f>E96-E97</f>
        <v/>
      </c>
      <c r="F98" s="68">
        <f>F96-F97</f>
        <v/>
      </c>
      <c r="G98" s="68">
        <f>G96-G97</f>
        <v/>
      </c>
      <c r="H98" s="68">
        <f>H96-H97</f>
        <v/>
      </c>
      <c r="I98" s="68">
        <f>I96-I97</f>
        <v/>
      </c>
      <c r="J98" s="68">
        <f>J96-J97</f>
        <v/>
      </c>
      <c r="K98" s="68">
        <f>K96-K97</f>
        <v/>
      </c>
      <c r="L98" s="68">
        <f>L96-L97</f>
        <v/>
      </c>
      <c r="M98" s="68">
        <f>M96-M97</f>
        <v/>
      </c>
      <c r="N98" s="68">
        <f>N96-N97</f>
        <v/>
      </c>
      <c r="O98" s="69">
        <f>O96-O97</f>
        <v/>
      </c>
      <c r="P98" s="321">
        <f>SUM(D98:O98)</f>
        <v/>
      </c>
      <c r="Q98" s="1181">
        <f>IF(P96=0,0,P98/P96)</f>
        <v/>
      </c>
      <c r="R98" s="1182" t="inlineStr">
        <is>
          <t xml:space="preserve"> </t>
        </is>
      </c>
    </row>
    <row r="99" ht="19" customHeight="1" thickBot="1">
      <c r="B99" s="272" t="n"/>
      <c r="C99" s="370" t="n"/>
      <c r="D99" s="290">
        <f>D76+D69+D62+D55+D48+D41+D34+D27</f>
        <v/>
      </c>
      <c r="E99" s="290">
        <f>E76+E69+E62+E55+E48+E41+E34+E27</f>
        <v/>
      </c>
      <c r="F99" s="290">
        <f>F76+F69+F62+F55+F48+F41+F34+F27</f>
        <v/>
      </c>
      <c r="G99" s="290">
        <f>G76+G69+G62+G55+G48+G41+G34+G27</f>
        <v/>
      </c>
      <c r="H99" s="290">
        <f>H76+H69+H62+H55+H48+H41+H34+H27</f>
        <v/>
      </c>
      <c r="I99" s="290">
        <f>I76+I69+I62+I55+I48+I41+I34+I27</f>
        <v/>
      </c>
      <c r="J99" s="290">
        <f>J76+J69+J62+J55+J48+J41+J34+J27</f>
        <v/>
      </c>
      <c r="K99" s="290">
        <f>K76+K69+K62+K55+K48+K41+K34+K27</f>
        <v/>
      </c>
      <c r="L99" s="290">
        <f>L76+L69+L62+L55+L48+L41+L34+L27</f>
        <v/>
      </c>
      <c r="M99" s="290">
        <f>M76+M69+M62+M55+M48+M41+M34+M27</f>
        <v/>
      </c>
      <c r="N99" s="290">
        <f>N76+N69+N62+N55+N48+N41+N34+N27</f>
        <v/>
      </c>
      <c r="O99" s="290">
        <f>O76+O69+O62+O55+O48+O41+O34+O27</f>
        <v/>
      </c>
      <c r="P99" s="371" t="n"/>
      <c r="Q99" s="1283" t="n"/>
      <c r="R99" s="1284" t="n"/>
      <c r="T99" s="682" t="inlineStr">
        <is>
          <t xml:space="preserve">Assumptions </t>
        </is>
      </c>
    </row>
    <row r="100" ht="20" customHeight="1" thickBot="1">
      <c r="B100" s="288" t="n"/>
      <c r="C100" s="287" t="inlineStr">
        <is>
          <t>Net New</t>
        </is>
      </c>
      <c r="D100" s="283">
        <f>(D76+D69+D62+D55+D48+D41+D34+D27)-'Revenue 2028'!O99</f>
        <v/>
      </c>
      <c r="E100" s="283">
        <f>E99-D99</f>
        <v/>
      </c>
      <c r="F100" s="283">
        <f>F99-E99</f>
        <v/>
      </c>
      <c r="G100" s="283">
        <f>G99-F99</f>
        <v/>
      </c>
      <c r="H100" s="283">
        <f>H99-G99</f>
        <v/>
      </c>
      <c r="I100" s="283">
        <f>I99-H99</f>
        <v/>
      </c>
      <c r="J100" s="283">
        <f>J99-I99</f>
        <v/>
      </c>
      <c r="K100" s="283">
        <f>K99-J99</f>
        <v/>
      </c>
      <c r="L100" s="283">
        <f>L99-K99</f>
        <v/>
      </c>
      <c r="M100" s="283">
        <f>M99-L99</f>
        <v/>
      </c>
      <c r="N100" s="283">
        <f>N99-M99</f>
        <v/>
      </c>
      <c r="O100" s="283">
        <f>O99-N99</f>
        <v/>
      </c>
      <c r="P100" s="284" t="n"/>
      <c r="Q100" s="1215" t="n"/>
      <c r="R100" s="1216" t="n"/>
      <c r="T100" s="682" t="inlineStr">
        <is>
          <t xml:space="preserve">work hours </t>
        </is>
      </c>
    </row>
    <row r="101" ht="19" customHeight="1" thickBot="1">
      <c r="B101" s="1039" t="inlineStr">
        <is>
          <t>Administrative</t>
        </is>
      </c>
      <c r="C101" s="1217">
        <f>C6</f>
        <v/>
      </c>
      <c r="D101" s="1218" t="n"/>
      <c r="E101" s="1218" t="n"/>
      <c r="F101" s="1218" t="n"/>
      <c r="G101" s="1218" t="n"/>
      <c r="H101" s="1218" t="n"/>
      <c r="I101" s="1218" t="n"/>
      <c r="J101" s="1218" t="n"/>
      <c r="K101" s="1218" t="n"/>
      <c r="L101" s="1218" t="n"/>
      <c r="M101" s="1218" t="n"/>
      <c r="N101" s="1218" t="n"/>
      <c r="O101" s="1218" t="n"/>
      <c r="P101" s="1218" t="n"/>
      <c r="Q101" s="1218" t="n"/>
      <c r="R101" s="1219" t="n"/>
      <c r="T101" s="682" t="inlineStr">
        <is>
          <t>per new acct</t>
        </is>
      </c>
    </row>
    <row r="102" ht="19" customHeight="1" thickBot="1">
      <c r="B102" s="1220" t="n"/>
      <c r="C102" s="56" t="inlineStr">
        <is>
          <t>Net New Licences Sold</t>
        </is>
      </c>
      <c r="D102" s="1285">
        <f>D100*$T$102</f>
        <v/>
      </c>
      <c r="E102" s="1285">
        <f>E100*$T$102</f>
        <v/>
      </c>
      <c r="F102" s="1285">
        <f>F100*$T$102</f>
        <v/>
      </c>
      <c r="G102" s="1285">
        <f>G100*$T$102</f>
        <v/>
      </c>
      <c r="H102" s="1285">
        <f>H100*$T$102</f>
        <v/>
      </c>
      <c r="I102" s="1285">
        <f>I100*$T$102</f>
        <v/>
      </c>
      <c r="J102" s="1285">
        <f>J100*$T$102</f>
        <v/>
      </c>
      <c r="K102" s="1285">
        <f>K100*$T$102</f>
        <v/>
      </c>
      <c r="L102" s="1285">
        <f>L100*$T$102</f>
        <v/>
      </c>
      <c r="M102" s="1285">
        <f>M100*$T$102</f>
        <v/>
      </c>
      <c r="N102" s="1285">
        <f>N100*$T$102</f>
        <v/>
      </c>
      <c r="O102" s="1285">
        <f>O100*$T$102</f>
        <v/>
      </c>
      <c r="P102" s="71" t="n"/>
      <c r="Q102" s="72" t="n"/>
      <c r="R102" s="73" t="n"/>
      <c r="T102" s="314" t="n">
        <v>1</v>
      </c>
      <c r="U102" t="inlineStr">
        <is>
          <t xml:space="preserve"> </t>
        </is>
      </c>
    </row>
    <row r="103" ht="18" customHeight="1">
      <c r="B103" s="1220" t="n"/>
      <c r="C103" s="57" t="inlineStr">
        <is>
          <t>Total Sales</t>
        </is>
      </c>
      <c r="D103" s="194">
        <f>D102*$D$6</f>
        <v/>
      </c>
      <c r="E103" s="194">
        <f>E102*$D$6</f>
        <v/>
      </c>
      <c r="F103" s="194">
        <f>F102*$D$6</f>
        <v/>
      </c>
      <c r="G103" s="194">
        <f>G102*$D$6</f>
        <v/>
      </c>
      <c r="H103" s="194">
        <f>H102*$D$6</f>
        <v/>
      </c>
      <c r="I103" s="194">
        <f>I102*$D$6</f>
        <v/>
      </c>
      <c r="J103" s="194">
        <f>J102*$D$6</f>
        <v/>
      </c>
      <c r="K103" s="194">
        <f>K102*$D$6</f>
        <v/>
      </c>
      <c r="L103" s="194">
        <f>L102*$D$6</f>
        <v/>
      </c>
      <c r="M103" s="194">
        <f>M102*$D$6</f>
        <v/>
      </c>
      <c r="N103" s="194">
        <f>N102*$D$6</f>
        <v/>
      </c>
      <c r="O103" s="194">
        <f>O102*$D$6</f>
        <v/>
      </c>
      <c r="P103" s="59">
        <f>SUM(D103:O103)</f>
        <v/>
      </c>
      <c r="Q103" s="1175">
        <f>(Q104+Q105)</f>
        <v/>
      </c>
      <c r="R103" s="1221" t="inlineStr">
        <is>
          <t xml:space="preserve"> </t>
        </is>
      </c>
      <c r="T103" s="315" t="n"/>
    </row>
    <row r="104" ht="18" customHeight="1">
      <c r="B104" s="1220" t="n"/>
      <c r="C104" s="62" t="inlineStr">
        <is>
          <t>Total COGS</t>
        </is>
      </c>
      <c r="D104" s="193">
        <f>D102*$E$6</f>
        <v/>
      </c>
      <c r="E104" s="193">
        <f>E102*$E$6</f>
        <v/>
      </c>
      <c r="F104" s="193">
        <f>F102*$E$6</f>
        <v/>
      </c>
      <c r="G104" s="193">
        <f>G102*$E$6</f>
        <v/>
      </c>
      <c r="H104" s="193">
        <f>H102*$E$6</f>
        <v/>
      </c>
      <c r="I104" s="193">
        <f>I102*$E$6</f>
        <v/>
      </c>
      <c r="J104" s="193">
        <f>J102*$E$6</f>
        <v/>
      </c>
      <c r="K104" s="193">
        <f>K102*$E$6</f>
        <v/>
      </c>
      <c r="L104" s="193">
        <f>L102*$E$6</f>
        <v/>
      </c>
      <c r="M104" s="193">
        <f>M102*$E$6</f>
        <v/>
      </c>
      <c r="N104" s="193">
        <f>N102*$E$6</f>
        <v/>
      </c>
      <c r="O104" s="193">
        <f>O102*$E$6</f>
        <v/>
      </c>
      <c r="P104" s="64">
        <f>SUM(D104:O104)</f>
        <v/>
      </c>
      <c r="Q104" s="1178">
        <f>IF(P103=0,0,P104/P103)</f>
        <v/>
      </c>
      <c r="R104" s="1222" t="inlineStr">
        <is>
          <t xml:space="preserve"> </t>
        </is>
      </c>
      <c r="T104" s="315" t="n"/>
    </row>
    <row r="105" ht="18" customHeight="1">
      <c r="B105" s="1220" t="n"/>
      <c r="C105" s="67" t="inlineStr">
        <is>
          <t>Total Margin</t>
        </is>
      </c>
      <c r="D105" s="68">
        <f>D103-D104</f>
        <v/>
      </c>
      <c r="E105" s="68">
        <f>E103-E104</f>
        <v/>
      </c>
      <c r="F105" s="68">
        <f>F103-F104</f>
        <v/>
      </c>
      <c r="G105" s="68">
        <f>G103-G104</f>
        <v/>
      </c>
      <c r="H105" s="68">
        <f>H103-H104</f>
        <v/>
      </c>
      <c r="I105" s="68">
        <f>I103-I104</f>
        <v/>
      </c>
      <c r="J105" s="68">
        <f>J103-J104</f>
        <v/>
      </c>
      <c r="K105" s="68">
        <f>K103-K104</f>
        <v/>
      </c>
      <c r="L105" s="68">
        <f>L103-L104</f>
        <v/>
      </c>
      <c r="M105" s="68">
        <f>M103-M104</f>
        <v/>
      </c>
      <c r="N105" s="68">
        <f>N103-N104</f>
        <v/>
      </c>
      <c r="O105" s="69">
        <f>O103-O104</f>
        <v/>
      </c>
      <c r="P105" s="64">
        <f>SUM(D105:O105)</f>
        <v/>
      </c>
      <c r="Q105" s="1178">
        <f>IF(P103=0,0,P105/P103)</f>
        <v/>
      </c>
      <c r="R105" s="1222" t="inlineStr">
        <is>
          <t xml:space="preserve"> </t>
        </is>
      </c>
      <c r="T105" s="315" t="n"/>
    </row>
    <row r="106" ht="18" customHeight="1">
      <c r="B106" s="1220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1223" t="inlineStr">
        <is>
          <t xml:space="preserve"> </t>
        </is>
      </c>
      <c r="T106" s="315" t="n"/>
    </row>
    <row r="107" ht="19" customHeight="1" thickBot="1">
      <c r="B107" s="1220" t="n"/>
      <c r="C107" s="1224">
        <f>C7</f>
        <v/>
      </c>
      <c r="R107" s="1191" t="n"/>
      <c r="T107" s="315" t="n"/>
    </row>
    <row r="108" ht="19" customHeight="1" thickBot="1">
      <c r="B108" s="1220" t="n"/>
      <c r="C108" s="56" t="inlineStr">
        <is>
          <t>Net New Licences Sold</t>
        </is>
      </c>
      <c r="D108" s="1170">
        <f>D100*$T$108</f>
        <v/>
      </c>
      <c r="E108" s="1170">
        <f>E100*$T$108</f>
        <v/>
      </c>
      <c r="F108" s="1170">
        <f>F100*$T$108</f>
        <v/>
      </c>
      <c r="G108" s="1170">
        <f>G100*$T$108</f>
        <v/>
      </c>
      <c r="H108" s="1170">
        <f>H100*$T$108</f>
        <v/>
      </c>
      <c r="I108" s="1170">
        <f>I100*$T$108</f>
        <v/>
      </c>
      <c r="J108" s="1170">
        <f>J100*$T$108</f>
        <v/>
      </c>
      <c r="K108" s="1170">
        <f>K100*$T$108</f>
        <v/>
      </c>
      <c r="L108" s="1170">
        <f>L100*$T$108</f>
        <v/>
      </c>
      <c r="M108" s="1170">
        <f>M100*$T$108</f>
        <v/>
      </c>
      <c r="N108" s="1170">
        <f>N100*$T$108</f>
        <v/>
      </c>
      <c r="O108" s="1170">
        <f>O100*$T$108</f>
        <v/>
      </c>
      <c r="P108" s="71" t="n"/>
      <c r="Q108" s="72" t="n"/>
      <c r="R108" s="73" t="n"/>
      <c r="T108" s="315" t="n">
        <v>1</v>
      </c>
    </row>
    <row r="109" ht="18" customHeight="1">
      <c r="B109" s="1220" t="n"/>
      <c r="C109" s="57" t="inlineStr">
        <is>
          <t>Total Sales</t>
        </is>
      </c>
      <c r="D109" s="194">
        <f>D108*$D$7</f>
        <v/>
      </c>
      <c r="E109" s="194">
        <f>E108*$D$7</f>
        <v/>
      </c>
      <c r="F109" s="194">
        <f>F108*$D$7</f>
        <v/>
      </c>
      <c r="G109" s="194">
        <f>G108*$D$7</f>
        <v/>
      </c>
      <c r="H109" s="194">
        <f>H108*$D$7</f>
        <v/>
      </c>
      <c r="I109" s="194">
        <f>I108*$D$7</f>
        <v/>
      </c>
      <c r="J109" s="194">
        <f>J108*$D$7</f>
        <v/>
      </c>
      <c r="K109" s="194">
        <f>K108*$D$7</f>
        <v/>
      </c>
      <c r="L109" s="194">
        <f>L108*$D$7</f>
        <v/>
      </c>
      <c r="M109" s="194">
        <f>M108*$D$7</f>
        <v/>
      </c>
      <c r="N109" s="194">
        <f>N108*$D$7</f>
        <v/>
      </c>
      <c r="O109" s="194">
        <f>O108*$D$7</f>
        <v/>
      </c>
      <c r="P109" s="59">
        <f>SUM(D109:O109)</f>
        <v/>
      </c>
      <c r="Q109" s="1175">
        <f>(Q110+Q111)</f>
        <v/>
      </c>
      <c r="R109" s="1221" t="inlineStr">
        <is>
          <t xml:space="preserve"> </t>
        </is>
      </c>
      <c r="T109" s="315" t="n"/>
    </row>
    <row r="110" ht="18" customHeight="1">
      <c r="B110" s="1220" t="n"/>
      <c r="C110" s="62" t="inlineStr">
        <is>
          <t>Total COGS</t>
        </is>
      </c>
      <c r="D110" s="193">
        <f>D108*$E$7</f>
        <v/>
      </c>
      <c r="E110" s="193">
        <f>E108*$E$7</f>
        <v/>
      </c>
      <c r="F110" s="193">
        <f>F108*$E$7</f>
        <v/>
      </c>
      <c r="G110" s="193">
        <f>G108*$E$7</f>
        <v/>
      </c>
      <c r="H110" s="193">
        <f>H108*$E$7</f>
        <v/>
      </c>
      <c r="I110" s="193">
        <f>I108*$E$7</f>
        <v/>
      </c>
      <c r="J110" s="193">
        <f>J108*$E$7</f>
        <v/>
      </c>
      <c r="K110" s="193">
        <f>K108*$E$7</f>
        <v/>
      </c>
      <c r="L110" s="193">
        <f>L108*$E$7</f>
        <v/>
      </c>
      <c r="M110" s="193">
        <f>M108*$E$7</f>
        <v/>
      </c>
      <c r="N110" s="193">
        <f>N108*$E$7</f>
        <v/>
      </c>
      <c r="O110" s="193">
        <f>O108*$E$7</f>
        <v/>
      </c>
      <c r="P110" s="64">
        <f>SUM(D110:O110)</f>
        <v/>
      </c>
      <c r="Q110" s="1178">
        <f>IF(P109=0,0,P110/P109)</f>
        <v/>
      </c>
      <c r="R110" s="1222" t="inlineStr">
        <is>
          <t xml:space="preserve"> </t>
        </is>
      </c>
      <c r="T110" s="315" t="n"/>
    </row>
    <row r="111" ht="18" customHeight="1">
      <c r="B111" s="1220" t="n"/>
      <c r="C111" s="67" t="inlineStr">
        <is>
          <t>Total Margin</t>
        </is>
      </c>
      <c r="D111" s="68">
        <f>D109-D110</f>
        <v/>
      </c>
      <c r="E111" s="68">
        <f>E109-E110</f>
        <v/>
      </c>
      <c r="F111" s="68">
        <f>F109-F110</f>
        <v/>
      </c>
      <c r="G111" s="68">
        <f>G109-G110</f>
        <v/>
      </c>
      <c r="H111" s="68">
        <f>H109-H110</f>
        <v/>
      </c>
      <c r="I111" s="68">
        <f>I109-I110</f>
        <v/>
      </c>
      <c r="J111" s="68">
        <f>J109-J110</f>
        <v/>
      </c>
      <c r="K111" s="68">
        <f>K109-K110</f>
        <v/>
      </c>
      <c r="L111" s="68">
        <f>L109-L110</f>
        <v/>
      </c>
      <c r="M111" s="68">
        <f>M109-M110</f>
        <v/>
      </c>
      <c r="N111" s="68">
        <f>N109-N110</f>
        <v/>
      </c>
      <c r="O111" s="68">
        <f>O109-O110</f>
        <v/>
      </c>
      <c r="P111" s="64">
        <f>SUM(D111:O111)</f>
        <v/>
      </c>
      <c r="Q111" s="1178">
        <f>IF(P109=0,0,P111/P109)</f>
        <v/>
      </c>
      <c r="R111" s="1222" t="inlineStr">
        <is>
          <t xml:space="preserve"> </t>
        </is>
      </c>
      <c r="T111" s="315" t="n"/>
    </row>
    <row r="112" ht="18" customHeight="1">
      <c r="B112" s="1220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1223" t="inlineStr">
        <is>
          <t xml:space="preserve"> </t>
        </is>
      </c>
      <c r="T112" s="315" t="n"/>
    </row>
    <row r="113" ht="19" customHeight="1" thickBot="1">
      <c r="B113" s="1220" t="n"/>
      <c r="C113" s="1224">
        <f>C8</f>
        <v/>
      </c>
      <c r="R113" s="1191" t="n"/>
      <c r="T113" s="315" t="n"/>
    </row>
    <row r="114" ht="19" customHeight="1" thickBot="1">
      <c r="B114" s="1220" t="n"/>
      <c r="C114" s="56" t="inlineStr">
        <is>
          <t>Net New Licences Sold</t>
        </is>
      </c>
      <c r="D114" s="1170">
        <f>D100*$T$114</f>
        <v/>
      </c>
      <c r="E114" s="1170">
        <f>E100*$T$114</f>
        <v/>
      </c>
      <c r="F114" s="1170">
        <f>F100*$T$114</f>
        <v/>
      </c>
      <c r="G114" s="1170">
        <f>G100*$T$114</f>
        <v/>
      </c>
      <c r="H114" s="1170">
        <f>H100*$T$114</f>
        <v/>
      </c>
      <c r="I114" s="1170">
        <f>I100*$T$114</f>
        <v/>
      </c>
      <c r="J114" s="1170">
        <f>J100*$T$114</f>
        <v/>
      </c>
      <c r="K114" s="1170">
        <f>K100*$T$114</f>
        <v/>
      </c>
      <c r="L114" s="1170">
        <f>L100*$T$114</f>
        <v/>
      </c>
      <c r="M114" s="1170">
        <f>M100*$T$114</f>
        <v/>
      </c>
      <c r="N114" s="1170">
        <f>N100*$T$114</f>
        <v/>
      </c>
      <c r="O114" s="1170">
        <f>O100*$T$114</f>
        <v/>
      </c>
      <c r="P114" s="71" t="n"/>
      <c r="Q114" s="72" t="n"/>
      <c r="R114" s="73" t="n"/>
      <c r="T114" s="315" t="n">
        <v>2</v>
      </c>
    </row>
    <row r="115" ht="18" customHeight="1">
      <c r="B115" s="1220" t="n"/>
      <c r="C115" s="57" t="inlineStr">
        <is>
          <t>Total Sales</t>
        </is>
      </c>
      <c r="D115" s="194">
        <f>D114*$D$8</f>
        <v/>
      </c>
      <c r="E115" s="194">
        <f>E114*$D$8</f>
        <v/>
      </c>
      <c r="F115" s="194">
        <f>F114*$D$8</f>
        <v/>
      </c>
      <c r="G115" s="194">
        <f>G114*$D$8</f>
        <v/>
      </c>
      <c r="H115" s="194">
        <f>H114*$D$8</f>
        <v/>
      </c>
      <c r="I115" s="194">
        <f>I114*$D$8</f>
        <v/>
      </c>
      <c r="J115" s="194">
        <f>J114*$D$8</f>
        <v/>
      </c>
      <c r="K115" s="194">
        <f>K114*$D$8</f>
        <v/>
      </c>
      <c r="L115" s="194">
        <f>L114*$D$8</f>
        <v/>
      </c>
      <c r="M115" s="194">
        <f>M114*$D$8</f>
        <v/>
      </c>
      <c r="N115" s="194">
        <f>N114*$D$8</f>
        <v/>
      </c>
      <c r="O115" s="194">
        <f>O114*$D$8</f>
        <v/>
      </c>
      <c r="P115" s="59">
        <f>SUM(D115:O115)</f>
        <v/>
      </c>
      <c r="Q115" s="1175">
        <f>(Q116+Q117)</f>
        <v/>
      </c>
      <c r="R115" s="1221" t="inlineStr">
        <is>
          <t xml:space="preserve"> </t>
        </is>
      </c>
      <c r="T115" s="315" t="n"/>
    </row>
    <row r="116" ht="18" customHeight="1">
      <c r="B116" s="1220" t="n"/>
      <c r="C116" s="62" t="inlineStr">
        <is>
          <t>Total COGS</t>
        </is>
      </c>
      <c r="D116" s="193">
        <f>D114*$E$8</f>
        <v/>
      </c>
      <c r="E116" s="193">
        <f>E114*$E$8</f>
        <v/>
      </c>
      <c r="F116" s="193">
        <f>F114*$E$8</f>
        <v/>
      </c>
      <c r="G116" s="193">
        <f>G114*$E$8</f>
        <v/>
      </c>
      <c r="H116" s="193">
        <f>H114*$E$8</f>
        <v/>
      </c>
      <c r="I116" s="193">
        <f>I114*$E$8</f>
        <v/>
      </c>
      <c r="J116" s="193">
        <f>J114*$E$8</f>
        <v/>
      </c>
      <c r="K116" s="193">
        <f>K114*$E$8</f>
        <v/>
      </c>
      <c r="L116" s="193">
        <f>L114*$E$8</f>
        <v/>
      </c>
      <c r="M116" s="193">
        <f>M114*$E$8</f>
        <v/>
      </c>
      <c r="N116" s="193">
        <f>N114*$E$8</f>
        <v/>
      </c>
      <c r="O116" s="193">
        <f>O114*$E$8</f>
        <v/>
      </c>
      <c r="P116" s="64">
        <f>SUM(D116:O116)</f>
        <v/>
      </c>
      <c r="Q116" s="1178">
        <f>IF(P115=0,0,P116/P115)</f>
        <v/>
      </c>
      <c r="R116" s="1222" t="inlineStr">
        <is>
          <t xml:space="preserve"> </t>
        </is>
      </c>
      <c r="T116" s="315" t="n"/>
    </row>
    <row r="117" ht="18" customHeight="1">
      <c r="B117" s="1220" t="n"/>
      <c r="C117" s="67" t="inlineStr">
        <is>
          <t>Total Margin</t>
        </is>
      </c>
      <c r="D117" s="68">
        <f>D115-D116</f>
        <v/>
      </c>
      <c r="E117" s="68">
        <f>E115-E116</f>
        <v/>
      </c>
      <c r="F117" s="68">
        <f>F115-F116</f>
        <v/>
      </c>
      <c r="G117" s="68">
        <f>G115-G116</f>
        <v/>
      </c>
      <c r="H117" s="68">
        <f>H115-H116</f>
        <v/>
      </c>
      <c r="I117" s="68">
        <f>I115-I116</f>
        <v/>
      </c>
      <c r="J117" s="68">
        <f>J115-J116</f>
        <v/>
      </c>
      <c r="K117" s="68">
        <f>K115-K116</f>
        <v/>
      </c>
      <c r="L117" s="68">
        <f>L115-L116</f>
        <v/>
      </c>
      <c r="M117" s="68">
        <f>M115-M116</f>
        <v/>
      </c>
      <c r="N117" s="68">
        <f>N115-N116</f>
        <v/>
      </c>
      <c r="O117" s="68">
        <f>O115-O116</f>
        <v/>
      </c>
      <c r="P117" s="64">
        <f>SUM(D117:O117)</f>
        <v/>
      </c>
      <c r="Q117" s="1178">
        <f>IF(P115=0,0,P117/P115)</f>
        <v/>
      </c>
      <c r="R117" s="1222" t="inlineStr">
        <is>
          <t xml:space="preserve"> </t>
        </is>
      </c>
      <c r="T117" s="315" t="n"/>
    </row>
    <row r="118" ht="18" customHeight="1">
      <c r="B118" s="1220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1223" t="inlineStr">
        <is>
          <t xml:space="preserve"> </t>
        </is>
      </c>
      <c r="T118" s="315" t="n"/>
    </row>
    <row r="119" ht="19" customHeight="1" thickBot="1">
      <c r="B119" s="1220" t="n"/>
      <c r="C119" s="1224">
        <f>C9</f>
        <v/>
      </c>
      <c r="R119" s="1191" t="n"/>
      <c r="T119" s="315" t="n"/>
    </row>
    <row r="120" ht="19" customHeight="1" thickBot="1">
      <c r="B120" s="1220" t="n"/>
      <c r="C120" s="56" t="inlineStr">
        <is>
          <t>Net New Licences Sold</t>
        </is>
      </c>
      <c r="D120" s="1170">
        <f>D100*$T$120</f>
        <v/>
      </c>
      <c r="E120" s="1170">
        <f>E100*$T$120</f>
        <v/>
      </c>
      <c r="F120" s="1170">
        <f>F100*$T$120</f>
        <v/>
      </c>
      <c r="G120" s="1170">
        <f>G100*$T$120</f>
        <v/>
      </c>
      <c r="H120" s="1170">
        <f>H100*$T$120</f>
        <v/>
      </c>
      <c r="I120" s="1170">
        <f>I100*$T$120</f>
        <v/>
      </c>
      <c r="J120" s="1170">
        <f>J100*$T$120</f>
        <v/>
      </c>
      <c r="K120" s="1170">
        <f>K100*$T$120</f>
        <v/>
      </c>
      <c r="L120" s="1170">
        <f>L100*$T$120</f>
        <v/>
      </c>
      <c r="M120" s="1170">
        <f>M100*$T$120</f>
        <v/>
      </c>
      <c r="N120" s="1170">
        <f>N100*$T$120</f>
        <v/>
      </c>
      <c r="O120" s="1170">
        <f>O100*$T$120</f>
        <v/>
      </c>
      <c r="P120" s="71" t="n"/>
      <c r="Q120" s="72" t="n"/>
      <c r="R120" s="73" t="n"/>
      <c r="T120" s="315" t="n">
        <v>1</v>
      </c>
    </row>
    <row r="121" ht="18" customHeight="1">
      <c r="B121" s="1220" t="n"/>
      <c r="C121" s="57" t="inlineStr">
        <is>
          <t>Total Sales</t>
        </is>
      </c>
      <c r="D121" s="194">
        <f>D120*$D$9</f>
        <v/>
      </c>
      <c r="E121" s="194">
        <f>E120*$D$9</f>
        <v/>
      </c>
      <c r="F121" s="194">
        <f>F120*$D$9</f>
        <v/>
      </c>
      <c r="G121" s="194">
        <f>G120*$D$9</f>
        <v/>
      </c>
      <c r="H121" s="194">
        <f>H120*$D$9</f>
        <v/>
      </c>
      <c r="I121" s="194">
        <f>I120*$D$9</f>
        <v/>
      </c>
      <c r="J121" s="194">
        <f>J120*$D$9</f>
        <v/>
      </c>
      <c r="K121" s="194">
        <f>K120*$D$9</f>
        <v/>
      </c>
      <c r="L121" s="194">
        <f>L120*$D$9</f>
        <v/>
      </c>
      <c r="M121" s="194">
        <f>M120*$D$9</f>
        <v/>
      </c>
      <c r="N121" s="194">
        <f>N120*$D$9</f>
        <v/>
      </c>
      <c r="O121" s="194">
        <f>O120*$D$9</f>
        <v/>
      </c>
      <c r="P121" s="59">
        <f>SUM(D121:O121)</f>
        <v/>
      </c>
      <c r="Q121" s="1175">
        <f>(Q122+Q123)</f>
        <v/>
      </c>
      <c r="R121" s="1221" t="inlineStr">
        <is>
          <t xml:space="preserve"> </t>
        </is>
      </c>
      <c r="T121" s="315" t="n"/>
    </row>
    <row r="122" ht="18" customHeight="1">
      <c r="B122" s="1220" t="n"/>
      <c r="C122" s="62" t="inlineStr">
        <is>
          <t>Total COGS</t>
        </is>
      </c>
      <c r="D122" s="193">
        <f>D120*$E$9</f>
        <v/>
      </c>
      <c r="E122" s="193">
        <f>E120*$E$9</f>
        <v/>
      </c>
      <c r="F122" s="193">
        <f>F120*$E$9</f>
        <v/>
      </c>
      <c r="G122" s="193">
        <f>G120*$E$9</f>
        <v/>
      </c>
      <c r="H122" s="193">
        <f>H120*$E$9</f>
        <v/>
      </c>
      <c r="I122" s="193">
        <f>I120*$E$9</f>
        <v/>
      </c>
      <c r="J122" s="193">
        <f>J120*$E$9</f>
        <v/>
      </c>
      <c r="K122" s="193">
        <f>K120*$E$9</f>
        <v/>
      </c>
      <c r="L122" s="193">
        <f>L120*$E$9</f>
        <v/>
      </c>
      <c r="M122" s="193">
        <f>M120*$E$9</f>
        <v/>
      </c>
      <c r="N122" s="193">
        <f>N120*$E$9</f>
        <v/>
      </c>
      <c r="O122" s="193">
        <f>O120*$E$9</f>
        <v/>
      </c>
      <c r="P122" s="64">
        <f>SUM(D122:O122)</f>
        <v/>
      </c>
      <c r="Q122" s="1178">
        <f>IF(P121=0,0,P122/P121)</f>
        <v/>
      </c>
      <c r="R122" s="1222" t="inlineStr">
        <is>
          <t xml:space="preserve"> </t>
        </is>
      </c>
      <c r="T122" s="315" t="n"/>
    </row>
    <row r="123" ht="19" customHeight="1">
      <c r="B123" s="1220" t="n"/>
      <c r="C123" s="67" t="inlineStr">
        <is>
          <t>Total Margin</t>
        </is>
      </c>
      <c r="D123" s="68">
        <f>D121-D122</f>
        <v/>
      </c>
      <c r="E123" s="68">
        <f>E121-E122</f>
        <v/>
      </c>
      <c r="F123" s="68">
        <f>F121-F122</f>
        <v/>
      </c>
      <c r="G123" s="68">
        <f>G121-G122</f>
        <v/>
      </c>
      <c r="H123" s="68">
        <f>H121-H122</f>
        <v/>
      </c>
      <c r="I123" s="68">
        <f>I121-I122</f>
        <v/>
      </c>
      <c r="J123" s="68">
        <f>J121-J122</f>
        <v/>
      </c>
      <c r="K123" s="68">
        <f>K121-K122</f>
        <v/>
      </c>
      <c r="L123" s="68">
        <f>L121-L122</f>
        <v/>
      </c>
      <c r="M123" s="68">
        <f>M121-M122</f>
        <v/>
      </c>
      <c r="N123" s="68">
        <f>N121-N122</f>
        <v/>
      </c>
      <c r="O123" s="68">
        <f>O121-O122</f>
        <v/>
      </c>
      <c r="P123" s="64">
        <f>SUM(D123:O123)</f>
        <v/>
      </c>
      <c r="Q123" s="1178">
        <f>IF(P121=0,0,P123/P121)</f>
        <v/>
      </c>
      <c r="R123" s="1222" t="inlineStr">
        <is>
          <t xml:space="preserve"> </t>
        </is>
      </c>
      <c r="T123" s="315" t="n"/>
    </row>
    <row r="124" ht="18" customHeight="1">
      <c r="B124" s="1220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1223" t="inlineStr">
        <is>
          <t xml:space="preserve"> </t>
        </is>
      </c>
    </row>
    <row r="125" ht="18" customHeight="1" thickBot="1"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</row>
    <row r="126" ht="18" customHeight="1">
      <c r="B126" s="1225" t="inlineStr">
        <is>
          <t>Total Distribution</t>
        </is>
      </c>
      <c r="C126" s="1193" t="inlineStr">
        <is>
          <t>Total Distribution / Reseller</t>
        </is>
      </c>
      <c r="D126" s="1145" t="n"/>
      <c r="E126" s="1145" t="n"/>
      <c r="F126" s="1145" t="n"/>
      <c r="G126" s="1145" t="n"/>
      <c r="H126" s="1145" t="n"/>
      <c r="I126" s="1145" t="n"/>
      <c r="J126" s="1145" t="n"/>
      <c r="K126" s="1145" t="n"/>
      <c r="L126" s="1145" t="n"/>
      <c r="M126" s="1145" t="n"/>
      <c r="N126" s="1145" t="n"/>
      <c r="O126" s="1145" t="n"/>
      <c r="P126" s="1145" t="n"/>
      <c r="Q126" s="1145" t="n"/>
      <c r="R126" s="705" t="n"/>
    </row>
    <row r="127" ht="18" customHeight="1">
      <c r="B127" s="1180" t="n"/>
      <c r="C127" s="295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99" t="n"/>
      <c r="P127" s="182" t="n"/>
      <c r="Q127" s="180" t="n"/>
      <c r="R127" s="296" t="n"/>
    </row>
    <row r="128" ht="18" customHeight="1">
      <c r="B128" s="1180" t="n"/>
      <c r="C128" s="297" t="inlineStr">
        <is>
          <t>Total Sales</t>
        </is>
      </c>
      <c r="D128" s="194">
        <f>D36+D50+D64+D78</f>
        <v/>
      </c>
      <c r="E128" s="194">
        <f>E36+E50+E64+E78</f>
        <v/>
      </c>
      <c r="F128" s="194">
        <f>F36+F50+F64+F78</f>
        <v/>
      </c>
      <c r="G128" s="194">
        <f>G36+G50+G64+G78</f>
        <v/>
      </c>
      <c r="H128" s="194">
        <f>H36+H50+H64+H78</f>
        <v/>
      </c>
      <c r="I128" s="194">
        <f>I36+I50+I64+I78</f>
        <v/>
      </c>
      <c r="J128" s="194">
        <f>J36+J50+J64+J78</f>
        <v/>
      </c>
      <c r="K128" s="194">
        <f>K36+K50+K64+K78</f>
        <v/>
      </c>
      <c r="L128" s="194">
        <f>L36+L50+L64+L78</f>
        <v/>
      </c>
      <c r="M128" s="194">
        <f>M36+M50+M64+M78</f>
        <v/>
      </c>
      <c r="N128" s="194">
        <f>N36+N50+N64+N78</f>
        <v/>
      </c>
      <c r="O128" s="217">
        <f>O36+O50+O64+O78</f>
        <v/>
      </c>
      <c r="P128" s="59">
        <f>SUM(D128:O128)</f>
        <v/>
      </c>
      <c r="Q128" s="1175">
        <f>(Q129+Q130)</f>
        <v/>
      </c>
      <c r="R128" s="1176" t="inlineStr">
        <is>
          <t xml:space="preserve"> </t>
        </is>
      </c>
    </row>
    <row r="129" ht="18" customHeight="1">
      <c r="B129" s="1180" t="n"/>
      <c r="C129" s="299" t="inlineStr">
        <is>
          <t>Total COGS</t>
        </is>
      </c>
      <c r="D129" s="108">
        <f>D37+D44+D51+D79</f>
        <v/>
      </c>
      <c r="E129" s="108">
        <f>E37+E44+E51+E79</f>
        <v/>
      </c>
      <c r="F129" s="108">
        <f>F37+F44+F51+F79</f>
        <v/>
      </c>
      <c r="G129" s="108">
        <f>G37+G44+G51+G79</f>
        <v/>
      </c>
      <c r="H129" s="108">
        <f>H37+H44+H51+H79</f>
        <v/>
      </c>
      <c r="I129" s="108">
        <f>I37+I44+I51+I79</f>
        <v/>
      </c>
      <c r="J129" s="108">
        <f>J37+J44+J51+J79</f>
        <v/>
      </c>
      <c r="K129" s="108">
        <f>K37+K44+K51+K79</f>
        <v/>
      </c>
      <c r="L129" s="108">
        <f>L37+L44+L51+L79</f>
        <v/>
      </c>
      <c r="M129" s="108">
        <f>M37+M44+M51+M79</f>
        <v/>
      </c>
      <c r="N129" s="108">
        <f>N37+N44+N51+N79</f>
        <v/>
      </c>
      <c r="O129" s="221">
        <f>O37+O44+O51+O79</f>
        <v/>
      </c>
      <c r="P129" s="64">
        <f>SUM(D129:O129)</f>
        <v/>
      </c>
      <c r="Q129" s="1178">
        <f>IF(P128=0,0,P129/P128)</f>
        <v/>
      </c>
      <c r="R129" s="1179" t="inlineStr">
        <is>
          <t xml:space="preserve"> </t>
        </is>
      </c>
    </row>
    <row r="130" ht="19" customHeight="1" thickBot="1">
      <c r="B130" s="712" t="n"/>
      <c r="C130" s="301" t="inlineStr">
        <is>
          <t>Total Margin</t>
        </is>
      </c>
      <c r="D130" s="308">
        <f>D128-D129</f>
        <v/>
      </c>
      <c r="E130" s="308">
        <f>E128-E129</f>
        <v/>
      </c>
      <c r="F130" s="308">
        <f>F128-F129</f>
        <v/>
      </c>
      <c r="G130" s="308">
        <f>G128-G129</f>
        <v/>
      </c>
      <c r="H130" s="308">
        <f>H128-H129</f>
        <v/>
      </c>
      <c r="I130" s="308">
        <f>I128-I129</f>
        <v/>
      </c>
      <c r="J130" s="308">
        <f>J128-J129</f>
        <v/>
      </c>
      <c r="K130" s="308">
        <f>K128-K129</f>
        <v/>
      </c>
      <c r="L130" s="308">
        <f>L128-L129</f>
        <v/>
      </c>
      <c r="M130" s="308">
        <f>M128-M129</f>
        <v/>
      </c>
      <c r="N130" s="308">
        <f>N128-N129</f>
        <v/>
      </c>
      <c r="O130" s="309">
        <f>O128-O129</f>
        <v/>
      </c>
      <c r="P130" s="303">
        <f>SUM(D130:O130)</f>
        <v/>
      </c>
      <c r="Q130" s="1181">
        <f>IF(P128=0,0,P130/P128)</f>
        <v/>
      </c>
      <c r="R130" s="1182" t="inlineStr">
        <is>
          <t xml:space="preserve"> </t>
        </is>
      </c>
    </row>
    <row r="131" ht="18" customHeight="1" thickBot="1">
      <c r="B131" s="252" t="inlineStr">
        <is>
          <t xml:space="preserve"> </t>
        </is>
      </c>
      <c r="C131" s="252" t="n"/>
      <c r="D131" s="252" t="n"/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2" t="n"/>
      <c r="N131" s="252" t="n"/>
      <c r="O131" s="252" t="n"/>
      <c r="P131" s="252" t="n"/>
      <c r="Q131" s="252" t="n"/>
      <c r="R131" s="252" t="n"/>
    </row>
    <row r="132" ht="18" customHeight="1">
      <c r="B132" s="1226" t="inlineStr">
        <is>
          <t>Total Hospitality</t>
        </is>
      </c>
      <c r="C132" s="1193" t="inlineStr">
        <is>
          <t>Total Hospitality</t>
        </is>
      </c>
      <c r="D132" s="1145" t="n"/>
      <c r="E132" s="1145" t="n"/>
      <c r="F132" s="1145" t="n"/>
      <c r="G132" s="1145" t="n"/>
      <c r="H132" s="1145" t="n"/>
      <c r="I132" s="1145" t="n"/>
      <c r="J132" s="1145" t="n"/>
      <c r="K132" s="1145" t="n"/>
      <c r="L132" s="1145" t="n"/>
      <c r="M132" s="1145" t="n"/>
      <c r="N132" s="1145" t="n"/>
      <c r="O132" s="1145" t="n"/>
      <c r="P132" s="1145" t="n"/>
      <c r="Q132" s="1145" t="n"/>
      <c r="R132" s="705" t="n"/>
    </row>
    <row r="133" ht="18" customHeight="1">
      <c r="B133" s="1180" t="n"/>
      <c r="C133" s="1017" t="n"/>
      <c r="D133" s="997" t="n"/>
      <c r="E133" s="997" t="n"/>
      <c r="F133" s="997" t="n"/>
      <c r="G133" s="997" t="n"/>
      <c r="H133" s="997" t="n"/>
      <c r="I133" s="997" t="n"/>
      <c r="J133" s="997" t="n"/>
      <c r="K133" s="997" t="n"/>
      <c r="L133" s="997" t="n"/>
      <c r="M133" s="997" t="n"/>
      <c r="N133" s="997" t="n"/>
      <c r="O133" s="222" t="n"/>
      <c r="P133" s="182" t="n"/>
      <c r="Q133" s="180" t="n"/>
      <c r="R133" s="296" t="n"/>
    </row>
    <row r="134" ht="18" customHeight="1">
      <c r="B134" s="1180" t="n"/>
      <c r="C134" s="297" t="inlineStr">
        <is>
          <t>Total Sales</t>
        </is>
      </c>
      <c r="D134" s="194">
        <f>D29+D36</f>
        <v/>
      </c>
      <c r="E134" s="194">
        <f>E29+E36</f>
        <v/>
      </c>
      <c r="F134" s="194">
        <f>F29+F36</f>
        <v/>
      </c>
      <c r="G134" s="194">
        <f>G29+G36</f>
        <v/>
      </c>
      <c r="H134" s="194">
        <f>H29+H36</f>
        <v/>
      </c>
      <c r="I134" s="194">
        <f>I29+I36</f>
        <v/>
      </c>
      <c r="J134" s="194">
        <f>J29+J36</f>
        <v/>
      </c>
      <c r="K134" s="194">
        <f>K29+K36</f>
        <v/>
      </c>
      <c r="L134" s="194">
        <f>L29+L36</f>
        <v/>
      </c>
      <c r="M134" s="194">
        <f>M29+M36</f>
        <v/>
      </c>
      <c r="N134" s="194">
        <f>N29+N36</f>
        <v/>
      </c>
      <c r="O134" s="217">
        <f>O29+O36</f>
        <v/>
      </c>
      <c r="P134" s="59">
        <f>SUM(D134:O134)</f>
        <v/>
      </c>
      <c r="Q134" s="1175">
        <f>(Q135+Q136)</f>
        <v/>
      </c>
      <c r="R134" s="1176" t="inlineStr">
        <is>
          <t xml:space="preserve"> </t>
        </is>
      </c>
    </row>
    <row r="135" ht="18" customHeight="1">
      <c r="B135" s="1180" t="n"/>
      <c r="C135" s="299" t="inlineStr">
        <is>
          <t>Total COGS</t>
        </is>
      </c>
      <c r="D135" s="193">
        <f>D30+D37</f>
        <v/>
      </c>
      <c r="E135" s="193">
        <f>E30+E37</f>
        <v/>
      </c>
      <c r="F135" s="193">
        <f>F30+F37</f>
        <v/>
      </c>
      <c r="G135" s="193">
        <f>G30+G37</f>
        <v/>
      </c>
      <c r="H135" s="193">
        <f>H30+H37</f>
        <v/>
      </c>
      <c r="I135" s="193">
        <f>I30+I37</f>
        <v/>
      </c>
      <c r="J135" s="193">
        <f>J30+J37</f>
        <v/>
      </c>
      <c r="K135" s="193">
        <f>K30+K37</f>
        <v/>
      </c>
      <c r="L135" s="193">
        <f>L30+L37</f>
        <v/>
      </c>
      <c r="M135" s="193">
        <f>M30+M37</f>
        <v/>
      </c>
      <c r="N135" s="193">
        <f>N30+N37</f>
        <v/>
      </c>
      <c r="O135" s="218">
        <f>O30+O37</f>
        <v/>
      </c>
      <c r="P135" s="64">
        <f>SUM(D135:O135)</f>
        <v/>
      </c>
      <c r="Q135" s="1178">
        <f>IF(P134=0,0,P135/P134)</f>
        <v/>
      </c>
      <c r="R135" s="1179" t="inlineStr">
        <is>
          <t xml:space="preserve"> </t>
        </is>
      </c>
    </row>
    <row r="136" ht="19" customHeight="1" thickBot="1">
      <c r="B136" s="712" t="n"/>
      <c r="C136" s="301" t="inlineStr">
        <is>
          <t>Total Margin</t>
        </is>
      </c>
      <c r="D136" s="308">
        <f>D134-D135</f>
        <v/>
      </c>
      <c r="E136" s="308">
        <f>E134-E135</f>
        <v/>
      </c>
      <c r="F136" s="308">
        <f>F134-F135</f>
        <v/>
      </c>
      <c r="G136" s="308">
        <f>G134-G135</f>
        <v/>
      </c>
      <c r="H136" s="308">
        <f>H134-H135</f>
        <v/>
      </c>
      <c r="I136" s="308">
        <f>I134-I135</f>
        <v/>
      </c>
      <c r="J136" s="308">
        <f>J134-J135</f>
        <v/>
      </c>
      <c r="K136" s="308">
        <f>K134-K135</f>
        <v/>
      </c>
      <c r="L136" s="308">
        <f>L134-L135</f>
        <v/>
      </c>
      <c r="M136" s="308">
        <f>M134-M135</f>
        <v/>
      </c>
      <c r="N136" s="308">
        <f>N134-N135</f>
        <v/>
      </c>
      <c r="O136" s="309">
        <f>O134-O135</f>
        <v/>
      </c>
      <c r="P136" s="303">
        <f>SUM(D136:O136)</f>
        <v/>
      </c>
      <c r="Q136" s="1181">
        <f>IF(P134=0,0,P136/P134)</f>
        <v/>
      </c>
      <c r="R136" s="1182" t="inlineStr">
        <is>
          <t xml:space="preserve"> </t>
        </is>
      </c>
    </row>
    <row r="137" ht="18" customHeight="1" thickBot="1">
      <c r="B137" s="128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1227" t="inlineStr">
        <is>
          <t xml:space="preserve"> </t>
        </is>
      </c>
    </row>
    <row r="138" ht="18" customHeight="1">
      <c r="B138" s="1226" t="inlineStr">
        <is>
          <t>Total Real Estate</t>
        </is>
      </c>
      <c r="C138" s="1193" t="inlineStr">
        <is>
          <t>Total Real Estate Development</t>
        </is>
      </c>
      <c r="D138" s="1145" t="n"/>
      <c r="E138" s="1145" t="n"/>
      <c r="F138" s="1145" t="n"/>
      <c r="G138" s="1145" t="n"/>
      <c r="H138" s="1145" t="n"/>
      <c r="I138" s="1145" t="n"/>
      <c r="J138" s="1145" t="n"/>
      <c r="K138" s="1145" t="n"/>
      <c r="L138" s="1145" t="n"/>
      <c r="M138" s="1145" t="n"/>
      <c r="N138" s="1145" t="n"/>
      <c r="O138" s="1145" t="n"/>
      <c r="P138" s="1145" t="n"/>
      <c r="Q138" s="1145" t="n"/>
      <c r="R138" s="705" t="n"/>
    </row>
    <row r="139" ht="18" customHeight="1">
      <c r="B139" s="1180" t="n"/>
      <c r="C139" s="310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99" t="n"/>
      <c r="P139" s="182" t="n"/>
      <c r="Q139" s="180" t="n"/>
      <c r="R139" s="296" t="n"/>
    </row>
    <row r="140" ht="18" customHeight="1">
      <c r="B140" s="1180" t="n"/>
      <c r="C140" s="299" t="inlineStr">
        <is>
          <t>Total Sales</t>
        </is>
      </c>
      <c r="D140" s="195">
        <f>D43+D50</f>
        <v/>
      </c>
      <c r="E140" s="194">
        <f>E43+E50</f>
        <v/>
      </c>
      <c r="F140" s="194">
        <f>F43+F50</f>
        <v/>
      </c>
      <c r="G140" s="194">
        <f>G43+G50</f>
        <v/>
      </c>
      <c r="H140" s="194">
        <f>H43+H50</f>
        <v/>
      </c>
      <c r="I140" s="194">
        <f>I43+I50</f>
        <v/>
      </c>
      <c r="J140" s="194">
        <f>J43+J50</f>
        <v/>
      </c>
      <c r="K140" s="194">
        <f>K43+K50</f>
        <v/>
      </c>
      <c r="L140" s="194">
        <f>L43+L50</f>
        <v/>
      </c>
      <c r="M140" s="194">
        <f>M43+M50</f>
        <v/>
      </c>
      <c r="N140" s="194">
        <f>N43+N50</f>
        <v/>
      </c>
      <c r="O140" s="217">
        <f>O43+O50</f>
        <v/>
      </c>
      <c r="P140" s="59">
        <f>SUM(D140:O140)</f>
        <v/>
      </c>
      <c r="Q140" s="1175">
        <f>(Q141+Q142)</f>
        <v/>
      </c>
      <c r="R140" s="1176" t="inlineStr">
        <is>
          <t xml:space="preserve"> </t>
        </is>
      </c>
    </row>
    <row r="141" ht="32" customHeight="1">
      <c r="B141" s="1180" t="n"/>
      <c r="C141" s="299" t="inlineStr">
        <is>
          <t>Total COGS</t>
        </is>
      </c>
      <c r="D141" s="196">
        <f>D44+D51</f>
        <v/>
      </c>
      <c r="E141" s="193">
        <f>E44+E51</f>
        <v/>
      </c>
      <c r="F141" s="193">
        <f>F44+F51</f>
        <v/>
      </c>
      <c r="G141" s="193">
        <f>G44+G51</f>
        <v/>
      </c>
      <c r="H141" s="193">
        <f>H44+H51</f>
        <v/>
      </c>
      <c r="I141" s="193">
        <f>I44+I51</f>
        <v/>
      </c>
      <c r="J141" s="193">
        <f>J44+J51</f>
        <v/>
      </c>
      <c r="K141" s="193">
        <f>K44+K51</f>
        <v/>
      </c>
      <c r="L141" s="193">
        <f>L44+L51</f>
        <v/>
      </c>
      <c r="M141" s="193">
        <f>M44+M51</f>
        <v/>
      </c>
      <c r="N141" s="193">
        <f>N44+N51</f>
        <v/>
      </c>
      <c r="O141" s="218">
        <f>O44+O51</f>
        <v/>
      </c>
      <c r="P141" s="64">
        <f>SUM(D141:O141)</f>
        <v/>
      </c>
      <c r="Q141" s="1178">
        <f>IF(P140=0,0,P141/P140)</f>
        <v/>
      </c>
      <c r="R141" s="1179" t="inlineStr">
        <is>
          <t xml:space="preserve"> </t>
        </is>
      </c>
    </row>
    <row r="142" ht="19" customHeight="1" thickBot="1">
      <c r="B142" s="712" t="n"/>
      <c r="C142" s="301" t="inlineStr">
        <is>
          <t>Total Margin</t>
        </is>
      </c>
      <c r="D142" s="311">
        <f>D140-D141</f>
        <v/>
      </c>
      <c r="E142" s="308">
        <f>E140-E141</f>
        <v/>
      </c>
      <c r="F142" s="308">
        <f>F140-F141</f>
        <v/>
      </c>
      <c r="G142" s="308">
        <f>G140-G141</f>
        <v/>
      </c>
      <c r="H142" s="308">
        <f>H140-H141</f>
        <v/>
      </c>
      <c r="I142" s="308">
        <f>I140-I141</f>
        <v/>
      </c>
      <c r="J142" s="308">
        <f>J140-J141</f>
        <v/>
      </c>
      <c r="K142" s="308">
        <f>K140-K141</f>
        <v/>
      </c>
      <c r="L142" s="308">
        <f>L140-L141</f>
        <v/>
      </c>
      <c r="M142" s="308">
        <f>M140-M141</f>
        <v/>
      </c>
      <c r="N142" s="308">
        <f>N140-N141</f>
        <v/>
      </c>
      <c r="O142" s="309">
        <f>O140-O141</f>
        <v/>
      </c>
      <c r="P142" s="303">
        <f>SUM(D142:O142)</f>
        <v/>
      </c>
      <c r="Q142" s="1181">
        <f>IF(P140=0,0,P142/P140)</f>
        <v/>
      </c>
      <c r="R142" s="1182" t="inlineStr">
        <is>
          <t xml:space="preserve"> </t>
        </is>
      </c>
    </row>
    <row r="143" ht="16" customHeight="1" thickBot="1">
      <c r="B143" s="128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</row>
    <row r="144" ht="18" customHeight="1">
      <c r="B144" s="1226" t="inlineStr">
        <is>
          <t>Total Pharma</t>
        </is>
      </c>
      <c r="C144" s="1193" t="inlineStr">
        <is>
          <t>Total Pharma</t>
        </is>
      </c>
      <c r="D144" s="1145" t="n"/>
      <c r="E144" s="1145" t="n"/>
      <c r="F144" s="1145" t="n"/>
      <c r="G144" s="1145" t="n"/>
      <c r="H144" s="1145" t="n"/>
      <c r="I144" s="1145" t="n"/>
      <c r="J144" s="1145" t="n"/>
      <c r="K144" s="1145" t="n"/>
      <c r="L144" s="1145" t="n"/>
      <c r="M144" s="1145" t="n"/>
      <c r="N144" s="1145" t="n"/>
      <c r="O144" s="1145" t="n"/>
      <c r="P144" s="1145" t="n"/>
      <c r="Q144" s="1145" t="n"/>
      <c r="R144" s="705" t="n"/>
    </row>
    <row r="145" ht="18" customHeight="1">
      <c r="B145" s="1180" t="n"/>
      <c r="C145" s="295" t="n"/>
      <c r="D145" s="183" t="n"/>
      <c r="E145" s="183" t="n"/>
      <c r="F145" s="183" t="n"/>
      <c r="G145" s="183" t="n"/>
      <c r="H145" s="183" t="n"/>
      <c r="I145" s="183" t="n"/>
      <c r="J145" s="183" t="n"/>
      <c r="K145" s="183" t="n"/>
      <c r="L145" s="183" t="n"/>
      <c r="M145" s="183" t="n"/>
      <c r="N145" s="183" t="n"/>
      <c r="O145" s="199" t="n"/>
      <c r="P145" s="182" t="n"/>
      <c r="Q145" s="180" t="n"/>
      <c r="R145" s="296" t="n"/>
    </row>
    <row r="146" ht="18" customHeight="1">
      <c r="B146" s="1180" t="n"/>
      <c r="C146" s="297" t="inlineStr">
        <is>
          <t>Total Sales</t>
        </is>
      </c>
      <c r="D146" s="194">
        <f>D57+D64</f>
        <v/>
      </c>
      <c r="E146" s="194">
        <f>E57+E64</f>
        <v/>
      </c>
      <c r="F146" s="194">
        <f>F57+F64</f>
        <v/>
      </c>
      <c r="G146" s="194">
        <f>G57+G64</f>
        <v/>
      </c>
      <c r="H146" s="194">
        <f>H57+H64</f>
        <v/>
      </c>
      <c r="I146" s="194">
        <f>I57+I64</f>
        <v/>
      </c>
      <c r="J146" s="194">
        <f>J57+J64</f>
        <v/>
      </c>
      <c r="K146" s="194">
        <f>K57+K64</f>
        <v/>
      </c>
      <c r="L146" s="194">
        <f>L57+L64</f>
        <v/>
      </c>
      <c r="M146" s="194">
        <f>M57+M64</f>
        <v/>
      </c>
      <c r="N146" s="194">
        <f>N57+N64</f>
        <v/>
      </c>
      <c r="O146" s="217">
        <f>O57+O64</f>
        <v/>
      </c>
      <c r="P146" s="59">
        <f>SUM(D146:O146)</f>
        <v/>
      </c>
      <c r="Q146" s="1175">
        <f>(Q147+Q148)</f>
        <v/>
      </c>
      <c r="R146" s="1176" t="inlineStr">
        <is>
          <t xml:space="preserve"> </t>
        </is>
      </c>
    </row>
    <row r="147" ht="18" customHeight="1">
      <c r="B147" s="1180" t="n"/>
      <c r="C147" s="299" t="inlineStr">
        <is>
          <t>Total COGS</t>
        </is>
      </c>
      <c r="D147" s="193">
        <f>D58+D65</f>
        <v/>
      </c>
      <c r="E147" s="193">
        <f>E58+E65</f>
        <v/>
      </c>
      <c r="F147" s="193">
        <f>F58+F65</f>
        <v/>
      </c>
      <c r="G147" s="193">
        <f>G58+G65</f>
        <v/>
      </c>
      <c r="H147" s="193">
        <f>H58+H65</f>
        <v/>
      </c>
      <c r="I147" s="193">
        <f>I58+I65</f>
        <v/>
      </c>
      <c r="J147" s="193">
        <f>J58+J65</f>
        <v/>
      </c>
      <c r="K147" s="193">
        <f>K58+K65</f>
        <v/>
      </c>
      <c r="L147" s="193">
        <f>L58+L65</f>
        <v/>
      </c>
      <c r="M147" s="193">
        <f>M58+M65</f>
        <v/>
      </c>
      <c r="N147" s="193">
        <f>N58+N65</f>
        <v/>
      </c>
      <c r="O147" s="218">
        <f>O58+O65</f>
        <v/>
      </c>
      <c r="P147" s="64">
        <f>SUM(D147:O147)</f>
        <v/>
      </c>
      <c r="Q147" s="1178">
        <f>IF(P146=0,0,P147/P146)</f>
        <v/>
      </c>
      <c r="R147" s="1179" t="inlineStr">
        <is>
          <t xml:space="preserve"> </t>
        </is>
      </c>
    </row>
    <row r="148" ht="19" customHeight="1" thickBot="1">
      <c r="B148" s="712" t="n"/>
      <c r="C148" s="301" t="inlineStr">
        <is>
          <t>Total Margin</t>
        </is>
      </c>
      <c r="D148" s="308">
        <f>D146-D147</f>
        <v/>
      </c>
      <c r="E148" s="308">
        <f>E146-E147</f>
        <v/>
      </c>
      <c r="F148" s="308">
        <f>F146-F147</f>
        <v/>
      </c>
      <c r="G148" s="308">
        <f>G146-G147</f>
        <v/>
      </c>
      <c r="H148" s="308">
        <f>H146-H147</f>
        <v/>
      </c>
      <c r="I148" s="308">
        <f>I146-I147</f>
        <v/>
      </c>
      <c r="J148" s="308">
        <f>J146-J147</f>
        <v/>
      </c>
      <c r="K148" s="308">
        <f>K146-K147</f>
        <v/>
      </c>
      <c r="L148" s="308">
        <f>L146-L147</f>
        <v/>
      </c>
      <c r="M148" s="308">
        <f>M146-M147</f>
        <v/>
      </c>
      <c r="N148" s="308">
        <f>N146-N147</f>
        <v/>
      </c>
      <c r="O148" s="309">
        <f>O146-O147</f>
        <v/>
      </c>
      <c r="P148" s="303">
        <f>SUM(D148:O148)</f>
        <v/>
      </c>
      <c r="Q148" s="1181">
        <f>IF(P146=0,0,P148/P146)</f>
        <v/>
      </c>
      <c r="R148" s="1182" t="inlineStr">
        <is>
          <t xml:space="preserve"> </t>
        </is>
      </c>
    </row>
    <row r="149" ht="16" customHeight="1" thickBot="1">
      <c r="B149" s="202" t="n"/>
      <c r="C149" s="209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215" t="n"/>
      <c r="P149" s="46" t="n"/>
      <c r="Q149" s="46" t="n"/>
      <c r="R149" s="46" t="n"/>
    </row>
    <row r="150" ht="18" customHeight="1">
      <c r="B150" s="1226" t="inlineStr">
        <is>
          <t>Total Professional Services</t>
        </is>
      </c>
      <c r="C150" s="1193" t="inlineStr">
        <is>
          <t>Total Professional Services</t>
        </is>
      </c>
      <c r="D150" s="1145" t="n"/>
      <c r="E150" s="1145" t="n"/>
      <c r="F150" s="1145" t="n"/>
      <c r="G150" s="1145" t="n"/>
      <c r="H150" s="1145" t="n"/>
      <c r="I150" s="1145" t="n"/>
      <c r="J150" s="1145" t="n"/>
      <c r="K150" s="1145" t="n"/>
      <c r="L150" s="1145" t="n"/>
      <c r="M150" s="1145" t="n"/>
      <c r="N150" s="1145" t="n"/>
      <c r="O150" s="1145" t="n"/>
      <c r="P150" s="1145" t="n"/>
      <c r="Q150" s="1145" t="n"/>
      <c r="R150" s="705" t="n"/>
    </row>
    <row r="151" ht="18" customHeight="1">
      <c r="B151" s="1180" t="n"/>
      <c r="C151" s="306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99" t="n"/>
      <c r="P151" s="182" t="n"/>
      <c r="Q151" s="180" t="n"/>
      <c r="R151" s="296" t="n"/>
    </row>
    <row r="152" ht="18" customHeight="1">
      <c r="B152" s="1180" t="n"/>
      <c r="C152" s="297" t="inlineStr">
        <is>
          <t>Total Sales</t>
        </is>
      </c>
      <c r="D152" s="194">
        <f>D71+D78</f>
        <v/>
      </c>
      <c r="E152" s="194">
        <f>E71+E78</f>
        <v/>
      </c>
      <c r="F152" s="194">
        <f>F71+F78</f>
        <v/>
      </c>
      <c r="G152" s="194">
        <f>G71+G78</f>
        <v/>
      </c>
      <c r="H152" s="194">
        <f>H71+H78</f>
        <v/>
      </c>
      <c r="I152" s="194">
        <f>I71+I78</f>
        <v/>
      </c>
      <c r="J152" s="194">
        <f>J71+J78</f>
        <v/>
      </c>
      <c r="K152" s="194">
        <f>K71+K78</f>
        <v/>
      </c>
      <c r="L152" s="194">
        <f>L71+L78</f>
        <v/>
      </c>
      <c r="M152" s="194">
        <f>M71+M78</f>
        <v/>
      </c>
      <c r="N152" s="194">
        <f>N71+N78</f>
        <v/>
      </c>
      <c r="O152" s="217">
        <f>O71+O78</f>
        <v/>
      </c>
      <c r="P152" s="59">
        <f>SUM(D152:O152)</f>
        <v/>
      </c>
      <c r="Q152" s="1175">
        <f>(Q153+Q154)</f>
        <v/>
      </c>
      <c r="R152" s="1176" t="inlineStr">
        <is>
          <t xml:space="preserve"> </t>
        </is>
      </c>
    </row>
    <row r="153" ht="18" customHeight="1">
      <c r="B153" s="1180" t="n"/>
      <c r="C153" s="299" t="inlineStr">
        <is>
          <t>Total COGS</t>
        </is>
      </c>
      <c r="D153" s="193">
        <f>D72+D79</f>
        <v/>
      </c>
      <c r="E153" s="193">
        <f>E72+E79</f>
        <v/>
      </c>
      <c r="F153" s="193">
        <f>F72+F79</f>
        <v/>
      </c>
      <c r="G153" s="193">
        <f>G72+G79</f>
        <v/>
      </c>
      <c r="H153" s="193">
        <f>H72+H79</f>
        <v/>
      </c>
      <c r="I153" s="193">
        <f>I72+I79</f>
        <v/>
      </c>
      <c r="J153" s="193">
        <f>J72+J79</f>
        <v/>
      </c>
      <c r="K153" s="193">
        <f>K72+K79</f>
        <v/>
      </c>
      <c r="L153" s="193">
        <f>L72+L79</f>
        <v/>
      </c>
      <c r="M153" s="193">
        <f>M72+M79</f>
        <v/>
      </c>
      <c r="N153" s="193">
        <f>N72+N79</f>
        <v/>
      </c>
      <c r="O153" s="218">
        <f>O72+O79</f>
        <v/>
      </c>
      <c r="P153" s="64">
        <f>SUM(D153:O153)</f>
        <v/>
      </c>
      <c r="Q153" s="1178">
        <f>IF(P152=0,0,P153/P152)</f>
        <v/>
      </c>
      <c r="R153" s="1179" t="inlineStr">
        <is>
          <t xml:space="preserve"> </t>
        </is>
      </c>
    </row>
    <row r="154" ht="19" customHeight="1" thickBot="1">
      <c r="B154" s="712" t="n"/>
      <c r="C154" s="301" t="inlineStr">
        <is>
          <t>Total Margin</t>
        </is>
      </c>
      <c r="D154" s="308">
        <f>D152-D153</f>
        <v/>
      </c>
      <c r="E154" s="308">
        <f>E152-E153</f>
        <v/>
      </c>
      <c r="F154" s="308">
        <f>F152-F153</f>
        <v/>
      </c>
      <c r="G154" s="308">
        <f>G152-G153</f>
        <v/>
      </c>
      <c r="H154" s="308">
        <f>H152-H153</f>
        <v/>
      </c>
      <c r="I154" s="308">
        <f>I152-I153</f>
        <v/>
      </c>
      <c r="J154" s="308">
        <f>J152-J153</f>
        <v/>
      </c>
      <c r="K154" s="308">
        <f>K152-K153</f>
        <v/>
      </c>
      <c r="L154" s="308">
        <f>L152-L153</f>
        <v/>
      </c>
      <c r="M154" s="308">
        <f>M152-M153</f>
        <v/>
      </c>
      <c r="N154" s="308">
        <f>N152-N153</f>
        <v/>
      </c>
      <c r="O154" s="309">
        <f>O152-O153</f>
        <v/>
      </c>
      <c r="P154" s="303">
        <f>SUM(D154:O154)</f>
        <v/>
      </c>
      <c r="Q154" s="1181">
        <f>IF(P152=0,0,P154/P152)</f>
        <v/>
      </c>
      <c r="R154" s="1182" t="inlineStr">
        <is>
          <t xml:space="preserve"> </t>
        </is>
      </c>
    </row>
    <row r="155" ht="16" customHeight="1" thickBot="1">
      <c r="B155" s="128" t="n"/>
      <c r="C155" s="209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</row>
    <row r="156" ht="18" customHeight="1">
      <c r="B156" s="1228" t="inlineStr">
        <is>
          <t>Consultancy</t>
        </is>
      </c>
      <c r="C156" s="1004" t="inlineStr">
        <is>
          <t>Consultancy</t>
        </is>
      </c>
      <c r="D156" s="1229" t="n"/>
      <c r="E156" s="1229" t="n"/>
      <c r="F156" s="1229" t="n"/>
      <c r="G156" s="1229" t="n"/>
      <c r="H156" s="1229" t="n"/>
      <c r="I156" s="1229" t="n"/>
      <c r="J156" s="1229" t="n"/>
      <c r="K156" s="1229" t="n"/>
      <c r="L156" s="1229" t="n"/>
      <c r="M156" s="1229" t="n"/>
      <c r="N156" s="1229" t="n"/>
      <c r="O156" s="1229" t="n"/>
      <c r="P156" s="1229" t="n"/>
      <c r="Q156" s="1229" t="n"/>
      <c r="R156" s="1230" t="n"/>
    </row>
    <row r="157" ht="18" customHeight="1">
      <c r="B157" s="1231" t="n"/>
      <c r="C157" s="342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1" t="n"/>
      <c r="P157" s="182" t="n"/>
      <c r="Q157" s="180" t="n"/>
      <c r="R157" s="346" t="n"/>
    </row>
    <row r="158" ht="18" customHeight="1">
      <c r="B158" s="1231" t="n"/>
      <c r="C158" s="117" t="inlineStr">
        <is>
          <t>Total Sales</t>
        </is>
      </c>
      <c r="D158" s="194">
        <f>D91+D85</f>
        <v/>
      </c>
      <c r="E158" s="194">
        <f>E91+E85</f>
        <v/>
      </c>
      <c r="F158" s="194">
        <f>F91+F85</f>
        <v/>
      </c>
      <c r="G158" s="194">
        <f>G91+G85</f>
        <v/>
      </c>
      <c r="H158" s="194">
        <f>H91+H85</f>
        <v/>
      </c>
      <c r="I158" s="194">
        <f>I91+I85</f>
        <v/>
      </c>
      <c r="J158" s="194">
        <f>J91+J85</f>
        <v/>
      </c>
      <c r="K158" s="194">
        <f>K91+K85</f>
        <v/>
      </c>
      <c r="L158" s="194">
        <f>L91+L85</f>
        <v/>
      </c>
      <c r="M158" s="194">
        <f>M91+M85</f>
        <v/>
      </c>
      <c r="N158" s="194">
        <f>N91+N85</f>
        <v/>
      </c>
      <c r="O158" s="217">
        <f>O91+O85</f>
        <v/>
      </c>
      <c r="P158" s="197">
        <f>SUM(D158:O158)</f>
        <v/>
      </c>
      <c r="Q158" s="1175">
        <f>(Q159+Q160)</f>
        <v/>
      </c>
      <c r="R158" s="1176" t="inlineStr">
        <is>
          <t xml:space="preserve"> </t>
        </is>
      </c>
    </row>
    <row r="159" ht="18" customHeight="1">
      <c r="B159" s="1231" t="n"/>
      <c r="C159" s="118" t="inlineStr">
        <is>
          <t>Total COGS</t>
        </is>
      </c>
      <c r="D159" s="193">
        <f>D86+D92</f>
        <v/>
      </c>
      <c r="E159" s="193">
        <f>E86+E92</f>
        <v/>
      </c>
      <c r="F159" s="193">
        <f>F86+F92</f>
        <v/>
      </c>
      <c r="G159" s="193">
        <f>G86+G92</f>
        <v/>
      </c>
      <c r="H159" s="193">
        <f>H86+H92</f>
        <v/>
      </c>
      <c r="I159" s="193">
        <f>I86+I92</f>
        <v/>
      </c>
      <c r="J159" s="193">
        <f>J86+J92</f>
        <v/>
      </c>
      <c r="K159" s="193">
        <f>K86+K92</f>
        <v/>
      </c>
      <c r="L159" s="193">
        <f>L86+L92</f>
        <v/>
      </c>
      <c r="M159" s="193">
        <f>M86+M92</f>
        <v/>
      </c>
      <c r="N159" s="193">
        <f>N86+N92</f>
        <v/>
      </c>
      <c r="O159" s="193">
        <f>O86+O92</f>
        <v/>
      </c>
      <c r="P159" s="198">
        <f>SUM(D158:O158)</f>
        <v/>
      </c>
      <c r="Q159" s="1178">
        <f>IF(P158=0,0,P159/P158)</f>
        <v/>
      </c>
      <c r="R159" s="1179" t="inlineStr">
        <is>
          <t xml:space="preserve"> </t>
        </is>
      </c>
    </row>
    <row r="160" ht="19" customHeight="1" thickBot="1">
      <c r="B160" s="1232" t="n"/>
      <c r="C160" s="347" t="inlineStr">
        <is>
          <t>Total Margin</t>
        </is>
      </c>
      <c r="D160" s="308">
        <f>D158-D159</f>
        <v/>
      </c>
      <c r="E160" s="308">
        <f>E158-E159</f>
        <v/>
      </c>
      <c r="F160" s="308">
        <f>F158-F159</f>
        <v/>
      </c>
      <c r="G160" s="308">
        <f>G158-G159</f>
        <v/>
      </c>
      <c r="H160" s="308">
        <f>H158-H159</f>
        <v/>
      </c>
      <c r="I160" s="308">
        <f>I158-I159</f>
        <v/>
      </c>
      <c r="J160" s="308">
        <f>J158-J159</f>
        <v/>
      </c>
      <c r="K160" s="308">
        <f>K158-K159</f>
        <v/>
      </c>
      <c r="L160" s="308">
        <f>L158-L159</f>
        <v/>
      </c>
      <c r="M160" s="308">
        <f>M158-M159</f>
        <v/>
      </c>
      <c r="N160" s="308">
        <f>N158-N159</f>
        <v/>
      </c>
      <c r="O160" s="309">
        <f>O158-O159</f>
        <v/>
      </c>
      <c r="P160" s="348">
        <f>SUM(D159:O159)</f>
        <v/>
      </c>
      <c r="Q160" s="1181">
        <f>IF(P158=0,0,P160/P158)</f>
        <v/>
      </c>
      <c r="R160" s="1182" t="inlineStr">
        <is>
          <t xml:space="preserve"> </t>
        </is>
      </c>
    </row>
    <row r="161" ht="16" customHeight="1" thickBot="1">
      <c r="B161" s="128" t="n"/>
      <c r="C161" s="405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</row>
    <row r="162" ht="18" customHeight="1">
      <c r="B162" s="1226" t="inlineStr">
        <is>
          <t>Total Support</t>
        </is>
      </c>
      <c r="C162" s="1193" t="inlineStr">
        <is>
          <t>Total Support</t>
        </is>
      </c>
      <c r="D162" s="1145" t="n"/>
      <c r="E162" s="1145" t="n"/>
      <c r="F162" s="1145" t="n"/>
      <c r="G162" s="1145" t="n"/>
      <c r="H162" s="1145" t="n"/>
      <c r="I162" s="1145" t="n"/>
      <c r="J162" s="1145" t="n"/>
      <c r="K162" s="1145" t="n"/>
      <c r="L162" s="1145" t="n"/>
      <c r="M162" s="1145" t="n"/>
      <c r="N162" s="1145" t="n"/>
      <c r="O162" s="1145" t="n"/>
      <c r="P162" s="1145" t="n"/>
      <c r="Q162" s="1145" t="n"/>
      <c r="R162" s="705" t="n"/>
    </row>
    <row r="163" ht="18" customHeight="1">
      <c r="B163" s="1180" t="n"/>
      <c r="C163" s="101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997" t="n"/>
      <c r="P163" s="997" t="n"/>
      <c r="Q163" s="997" t="n"/>
      <c r="R163" s="1008" t="n"/>
    </row>
    <row r="164" ht="18" customHeight="1">
      <c r="B164" s="1180" t="n"/>
      <c r="C164" s="349" t="inlineStr">
        <is>
          <t>Total Sales</t>
        </is>
      </c>
      <c r="D164" s="350">
        <f>(D76+D69+D62+D55+D48+D41+D34+D27)*$D$10</f>
        <v/>
      </c>
      <c r="E164" s="350">
        <f>(E76+E69+E62+E55+E48+E41+E34+E27)*$D$10</f>
        <v/>
      </c>
      <c r="F164" s="350">
        <f>(F76+F69+F62+F55+F48+F41+F34+F27)*$D$10</f>
        <v/>
      </c>
      <c r="G164" s="350">
        <f>(G76+G69+G62+G55+G48+G41+G34+G27)*$D$10</f>
        <v/>
      </c>
      <c r="H164" s="350">
        <f>(H76+H69+H62+H55+H48+H41+H34+H27)*$D$10</f>
        <v/>
      </c>
      <c r="I164" s="350">
        <f>(I76+I69+I62+I55+I48+I41+I34+I27)*$D$10</f>
        <v/>
      </c>
      <c r="J164" s="350">
        <f>(J76+J69+J62+J55+J48+J41+J34+J27)*$D$10</f>
        <v/>
      </c>
      <c r="K164" s="350">
        <f>(K76+K69+K62+K55+K48+K41+K34+K27)*$D$10</f>
        <v/>
      </c>
      <c r="L164" s="350">
        <f>(L76+L69+L62+L55+L48+L41+L34+L27)*$D$10</f>
        <v/>
      </c>
      <c r="M164" s="350">
        <f>(M76+M69+M62+M55+M48+M41+M34+M27)*$D$10</f>
        <v/>
      </c>
      <c r="N164" s="350">
        <f>(N76+N69+N62+N55+N48+N41+N34+N27)*$D$10</f>
        <v/>
      </c>
      <c r="O164" s="351">
        <f>(O76+O69+O62+O55+O48+O41+O34+O27)*$D$10</f>
        <v/>
      </c>
      <c r="P164" s="59">
        <f>SUM(D164:O164)</f>
        <v/>
      </c>
      <c r="Q164" s="1175">
        <f>(Q165+Q166)</f>
        <v/>
      </c>
      <c r="R164" s="1176" t="inlineStr">
        <is>
          <t xml:space="preserve"> </t>
        </is>
      </c>
    </row>
    <row r="165" ht="18" customHeight="1">
      <c r="B165" s="1180" t="n"/>
      <c r="C165" s="299" t="inlineStr">
        <is>
          <t>Total COGS</t>
        </is>
      </c>
      <c r="D165" s="193">
        <f>(D76+D69+D62+D55+D48+D41+D34+D27)*$E$10</f>
        <v/>
      </c>
      <c r="E165" s="193">
        <f>(E76+E69+E62+E55+E48+E41+E34+E27)*$E$10</f>
        <v/>
      </c>
      <c r="F165" s="193">
        <f>(F76+F69+F62+F55+F48+F41+F34+F27)*$E$10</f>
        <v/>
      </c>
      <c r="G165" s="193">
        <f>(G76+G69+G62+G55+G48+G41+G34+G27)*$E$10</f>
        <v/>
      </c>
      <c r="H165" s="193">
        <f>(H76+H69+H62+H55+H48+H41+H34+H27)*$E$10</f>
        <v/>
      </c>
      <c r="I165" s="193">
        <f>(I76+I69+I62+I55+I48+I41+I34+I27)*$E$10</f>
        <v/>
      </c>
      <c r="J165" s="193">
        <f>(J76+J69+J62+J55+J48+J41+J34+J27)*$E$10</f>
        <v/>
      </c>
      <c r="K165" s="193">
        <f>(K76+K69+K62+K55+K48+K41+K34+K27)*$E$10</f>
        <v/>
      </c>
      <c r="L165" s="193">
        <f>(L76+L69+L62+L55+L48+L41+L34+L27)*$E$10</f>
        <v/>
      </c>
      <c r="M165" s="193">
        <f>(M76+M69+M62+M55+M48+M41+M34+M27)*$E$10</f>
        <v/>
      </c>
      <c r="N165" s="193">
        <f>(N76+N69+N62+N55+N48+N41+N34+N27)*$E$10</f>
        <v/>
      </c>
      <c r="O165" s="193">
        <f>(O76+O69+O62+O55+O48+O41+O34+O27)*$E$10</f>
        <v/>
      </c>
      <c r="P165" s="345">
        <f>SUM(D165:O165)</f>
        <v/>
      </c>
      <c r="Q165" s="1178">
        <f>IF(P164=0,0,P165/P164)</f>
        <v/>
      </c>
      <c r="R165" s="1179" t="inlineStr">
        <is>
          <t xml:space="preserve"> </t>
        </is>
      </c>
    </row>
    <row r="166" ht="19" customHeight="1" thickBot="1">
      <c r="B166" s="712" t="n"/>
      <c r="C166" s="301" t="inlineStr">
        <is>
          <t>Total Margin</t>
        </is>
      </c>
      <c r="D166" s="308">
        <f>D164-D165</f>
        <v/>
      </c>
      <c r="E166" s="308">
        <f>E164-E165</f>
        <v/>
      </c>
      <c r="F166" s="308">
        <f>F164-F165</f>
        <v/>
      </c>
      <c r="G166" s="308">
        <f>G164-G165</f>
        <v/>
      </c>
      <c r="H166" s="308">
        <f>H164-H165</f>
        <v/>
      </c>
      <c r="I166" s="308">
        <f>I164-I165</f>
        <v/>
      </c>
      <c r="J166" s="308">
        <f>J164-J165</f>
        <v/>
      </c>
      <c r="K166" s="308">
        <f>K164-K165</f>
        <v/>
      </c>
      <c r="L166" s="308">
        <f>L164-L165</f>
        <v/>
      </c>
      <c r="M166" s="308">
        <f>M164-M165</f>
        <v/>
      </c>
      <c r="N166" s="308">
        <f>N164-N165</f>
        <v/>
      </c>
      <c r="O166" s="308">
        <f>O164-O165</f>
        <v/>
      </c>
      <c r="P166" s="366">
        <f>SUM(D166:O166)</f>
        <v/>
      </c>
      <c r="Q166" s="1181">
        <f>IF(P164=0,0,P166/P164)</f>
        <v/>
      </c>
      <c r="R166" s="1182" t="inlineStr">
        <is>
          <t xml:space="preserve"> </t>
        </is>
      </c>
    </row>
    <row r="167" ht="19" customHeight="1" thickBot="1">
      <c r="B167" s="989" t="n"/>
      <c r="C167" s="711" t="n"/>
      <c r="D167" s="711" t="n"/>
      <c r="E167" s="711" t="n"/>
      <c r="F167" s="711" t="n"/>
      <c r="G167" s="711" t="n"/>
      <c r="H167" s="711" t="n"/>
      <c r="I167" s="711" t="n"/>
      <c r="J167" s="711" t="n"/>
      <c r="K167" s="711" t="n"/>
      <c r="L167" s="711" t="n"/>
      <c r="M167" s="340" t="n"/>
      <c r="N167" s="340" t="n"/>
      <c r="O167" s="340" t="n"/>
      <c r="P167" s="103" t="n"/>
      <c r="Q167" s="1208" t="n"/>
      <c r="R167" s="1240" t="n"/>
    </row>
    <row r="168" ht="18" customHeight="1">
      <c r="B168" s="1226" t="inlineStr">
        <is>
          <t>Total Admin</t>
        </is>
      </c>
      <c r="C168" s="1193" t="inlineStr">
        <is>
          <t>Administrative and On-Boarding</t>
        </is>
      </c>
      <c r="D168" s="1145" t="n"/>
      <c r="E168" s="1145" t="n"/>
      <c r="F168" s="1145" t="n"/>
      <c r="G168" s="1145" t="n"/>
      <c r="H168" s="1145" t="n"/>
      <c r="I168" s="1145" t="n"/>
      <c r="J168" s="1145" t="n"/>
      <c r="K168" s="1145" t="n"/>
      <c r="L168" s="1145" t="n"/>
      <c r="M168" s="1145" t="n"/>
      <c r="N168" s="1145" t="n"/>
      <c r="O168" s="1145" t="n"/>
      <c r="P168" s="1145" t="n"/>
      <c r="Q168" s="1145" t="n"/>
      <c r="R168" s="705" t="n"/>
    </row>
    <row r="169" ht="18" customHeight="1">
      <c r="B169" s="1180" t="n"/>
      <c r="C169" s="295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1" t="n"/>
      <c r="P169" s="182" t="n"/>
      <c r="Q169" s="180" t="n"/>
      <c r="R169" s="296" t="n"/>
    </row>
    <row r="170" ht="18" customHeight="1">
      <c r="B170" s="1180" t="n"/>
      <c r="C170" s="297" t="inlineStr">
        <is>
          <t>Total Sales</t>
        </is>
      </c>
      <c r="D170" s="194">
        <f>D120+D115+D109+D103</f>
        <v/>
      </c>
      <c r="E170" s="194">
        <f>E120+E115+E109+E103</f>
        <v/>
      </c>
      <c r="F170" s="194">
        <f>F121+F115+F109+F103</f>
        <v/>
      </c>
      <c r="G170" s="194">
        <f>G121+G115+G109+G103</f>
        <v/>
      </c>
      <c r="H170" s="194">
        <f>H121+H115+H109+H103</f>
        <v/>
      </c>
      <c r="I170" s="194">
        <f>I121+I115+I109+I103</f>
        <v/>
      </c>
      <c r="J170" s="194">
        <f>J121+J115+J109+J103</f>
        <v/>
      </c>
      <c r="K170" s="194">
        <f>K121+K115+K109+K103</f>
        <v/>
      </c>
      <c r="L170" s="194">
        <f>L121+L115+L109+L103</f>
        <v/>
      </c>
      <c r="M170" s="194">
        <f>M121+M115+M109+M103</f>
        <v/>
      </c>
      <c r="N170" s="194">
        <f>N121+N115+N109+N103</f>
        <v/>
      </c>
      <c r="O170" s="194">
        <f>O121+O115+O109+O103</f>
        <v/>
      </c>
      <c r="P170" s="59">
        <f>SUM(D170:O170)</f>
        <v/>
      </c>
      <c r="Q170" s="1175">
        <f>(Q171+Q172)</f>
        <v/>
      </c>
      <c r="R170" s="1176" t="inlineStr">
        <is>
          <t xml:space="preserve"> </t>
        </is>
      </c>
    </row>
    <row r="171" ht="18" customHeight="1">
      <c r="B171" s="1180" t="n"/>
      <c r="C171" s="299" t="inlineStr">
        <is>
          <t>Total COGS</t>
        </is>
      </c>
      <c r="D171" s="193">
        <f>D122+D116+D110+D104</f>
        <v/>
      </c>
      <c r="E171" s="193">
        <f>E122+E116+E110+E104</f>
        <v/>
      </c>
      <c r="F171" s="193">
        <f>F122+F116+F110+F104</f>
        <v/>
      </c>
      <c r="G171" s="193">
        <f>G122+G116+G110+G104</f>
        <v/>
      </c>
      <c r="H171" s="193">
        <f>H122+H116+H110+H104</f>
        <v/>
      </c>
      <c r="I171" s="193">
        <f>I122+I116+I110+I104</f>
        <v/>
      </c>
      <c r="J171" s="193">
        <f>J122+J116+J110+J104</f>
        <v/>
      </c>
      <c r="K171" s="193">
        <f>K122+K116+K110+K104</f>
        <v/>
      </c>
      <c r="L171" s="193">
        <f>L122+L116+L110+L104</f>
        <v/>
      </c>
      <c r="M171" s="193">
        <f>M122+M116+M110+M104</f>
        <v/>
      </c>
      <c r="N171" s="193">
        <f>N122+N116+N110+N104</f>
        <v/>
      </c>
      <c r="O171" s="193">
        <f>O122+O116+O110+O104</f>
        <v/>
      </c>
      <c r="P171" s="64">
        <f>SUM(D171:O171)</f>
        <v/>
      </c>
      <c r="Q171" s="1178">
        <f>IF(P170=0,0,P171/P170)</f>
        <v/>
      </c>
      <c r="R171" s="1179" t="inlineStr">
        <is>
          <t xml:space="preserve"> </t>
        </is>
      </c>
    </row>
    <row r="172" ht="19" customHeight="1" thickBot="1">
      <c r="B172" s="712" t="n"/>
      <c r="C172" s="301" t="inlineStr">
        <is>
          <t>Total Margin</t>
        </is>
      </c>
      <c r="D172" s="308">
        <f>D170-D171</f>
        <v/>
      </c>
      <c r="E172" s="308">
        <f>E170-E171</f>
        <v/>
      </c>
      <c r="F172" s="308">
        <f>F170-F171</f>
        <v/>
      </c>
      <c r="G172" s="308">
        <f>G170-G171</f>
        <v/>
      </c>
      <c r="H172" s="308">
        <f>H170-H171</f>
        <v/>
      </c>
      <c r="I172" s="308">
        <f>I170-I171</f>
        <v/>
      </c>
      <c r="J172" s="308">
        <f>J170-J171</f>
        <v/>
      </c>
      <c r="K172" s="308">
        <f>K170-K171</f>
        <v/>
      </c>
      <c r="L172" s="308">
        <f>L170-L171</f>
        <v/>
      </c>
      <c r="M172" s="308">
        <f>M170-M171</f>
        <v/>
      </c>
      <c r="N172" s="308">
        <f>N170-N171</f>
        <v/>
      </c>
      <c r="O172" s="308">
        <f>O170-O171</f>
        <v/>
      </c>
      <c r="P172" s="303">
        <f>SUM(D172:O172)</f>
        <v/>
      </c>
      <c r="Q172" s="1181">
        <f>IF(P170=0,0,P172/P170)</f>
        <v/>
      </c>
      <c r="R172" s="1182" t="inlineStr">
        <is>
          <t xml:space="preserve"> </t>
        </is>
      </c>
    </row>
    <row r="173" ht="16" customHeight="1" thickBot="1">
      <c r="B173" s="203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</row>
    <row r="174" ht="18" customHeight="1">
      <c r="B174" s="1243" t="inlineStr">
        <is>
          <t>Grand Total</t>
        </is>
      </c>
      <c r="C174" s="1244" t="inlineStr">
        <is>
          <t>Grand Totals</t>
        </is>
      </c>
      <c r="R174" s="1245" t="n"/>
      <c r="T174" s="644" t="inlineStr">
        <is>
          <t xml:space="preserve"> </t>
        </is>
      </c>
    </row>
    <row r="175" ht="18" customHeight="1">
      <c r="B175" s="1246" t="n"/>
      <c r="C175" s="640" t="inlineStr">
        <is>
          <t xml:space="preserve">Total Users </t>
        </is>
      </c>
      <c r="D175" s="1247">
        <f>D76+D69+D62+D55+D48+D41+D34+D27</f>
        <v/>
      </c>
      <c r="E175" s="1247">
        <f>E76+E69+E62+E55+E48+E41+E34+E27</f>
        <v/>
      </c>
      <c r="F175" s="1247">
        <f>F76+F69+F62+F55+F48+F41+F34+F27</f>
        <v/>
      </c>
      <c r="G175" s="1247">
        <f>G76+G69+G62+G55+G48+G41+G34+G27</f>
        <v/>
      </c>
      <c r="H175" s="1247">
        <f>H76+H69+H62+H55+H48+H41+H34+H27</f>
        <v/>
      </c>
      <c r="I175" s="1247">
        <f>I76+I69+I62+I55+I48+I41+I34+I27</f>
        <v/>
      </c>
      <c r="J175" s="1247">
        <f>J76+J69+J62+J55+J48+J41+J34+J27</f>
        <v/>
      </c>
      <c r="K175" s="1247">
        <f>K76+K69+K62+K55+K48+K41+K34+K27</f>
        <v/>
      </c>
      <c r="L175" s="1247">
        <f>L76+L69+L62+L55+L48+L41+L34+L27</f>
        <v/>
      </c>
      <c r="M175" s="1247">
        <f>M76+M69+M62+M55+M48+M41+M34+M27</f>
        <v/>
      </c>
      <c r="N175" s="1247">
        <f>N76+N69+N62+N55+N48+N41+N34+N27</f>
        <v/>
      </c>
      <c r="O175" s="1247">
        <f>O76+O69+O62+O55+O48+O41+O34+O27</f>
        <v/>
      </c>
      <c r="P175" s="1286">
        <f>P27+P34+P41+P48+P55+P62+P62+P69+P76</f>
        <v/>
      </c>
      <c r="Q175" s="180" t="n"/>
      <c r="R175" s="181" t="n"/>
      <c r="T175" s="1287" t="inlineStr">
        <is>
          <t xml:space="preserve"> </t>
        </is>
      </c>
    </row>
    <row r="176" ht="18" customHeight="1">
      <c r="B176" s="1246" t="n"/>
      <c r="C176" s="210" t="inlineStr">
        <is>
          <t>Total Sales</t>
        </is>
      </c>
      <c r="D176" s="194">
        <f>D170+D158+D146+D140+D134+D152+D164+D128</f>
        <v/>
      </c>
      <c r="E176" s="194">
        <f>E170+E158+E146+E140+E134+E152+E164+E128</f>
        <v/>
      </c>
      <c r="F176" s="194">
        <f>F170+F158+F146+F140+F134+F152+F164+F128</f>
        <v/>
      </c>
      <c r="G176" s="194">
        <f>G170+G158+G146+G140+G134+G152+G164+G128</f>
        <v/>
      </c>
      <c r="H176" s="194">
        <f>H170+H158+H146+H140+H134+H152+H164+H128</f>
        <v/>
      </c>
      <c r="I176" s="194">
        <f>I170+I158+I146+I140+I134+I152+I164+I128</f>
        <v/>
      </c>
      <c r="J176" s="194">
        <f>J170+J158+J146+J140+J134+J152+J164+J128</f>
        <v/>
      </c>
      <c r="K176" s="194">
        <f>K170+K158+K146+K140+K134+K152+K164+K128</f>
        <v/>
      </c>
      <c r="L176" s="194">
        <f>L170+L158+L146+L140+L134+L152+L164+L128</f>
        <v/>
      </c>
      <c r="M176" s="194">
        <f>M170+M158+M146+M140+M134+M152+M164+M128</f>
        <v/>
      </c>
      <c r="N176" s="194">
        <f>N170+N158+N146+N140+N134+N152+N164+N128</f>
        <v/>
      </c>
      <c r="O176" s="194">
        <f>O170+O158+O146+O140+O134+O152+O164+O128</f>
        <v/>
      </c>
      <c r="P176" s="197">
        <f>SUM(D176:O176)</f>
        <v/>
      </c>
      <c r="Q176" s="1175">
        <f>(Q177+Q178)</f>
        <v/>
      </c>
      <c r="R176" s="1248" t="inlineStr">
        <is>
          <t xml:space="preserve"> </t>
        </is>
      </c>
    </row>
    <row r="177" ht="18" customHeight="1">
      <c r="B177" s="1246" t="n"/>
      <c r="C177" s="212" t="inlineStr">
        <is>
          <t>Total COGS</t>
        </is>
      </c>
      <c r="D177" s="193">
        <f>D171+D159+D153+D147+D141+D135+D129</f>
        <v/>
      </c>
      <c r="E177" s="193">
        <f>E171+E159+E153+E147+E141+E135+E129</f>
        <v/>
      </c>
      <c r="F177" s="193">
        <f>F171+F159+F153+F147+F141+F135+F129</f>
        <v/>
      </c>
      <c r="G177" s="193">
        <f>G171+G159+G153+G147+G141+G135+G129</f>
        <v/>
      </c>
      <c r="H177" s="193">
        <f>H171+H159+H153+H147+H141+H135+H129</f>
        <v/>
      </c>
      <c r="I177" s="193">
        <f>I171+I159+I153+I147+I141+I135+I129</f>
        <v/>
      </c>
      <c r="J177" s="193">
        <f>J171+J159+J153+J147+J141+J135+J129</f>
        <v/>
      </c>
      <c r="K177" s="193">
        <f>K171+K159+K153+K147+K141+K135+K129</f>
        <v/>
      </c>
      <c r="L177" s="193">
        <f>L171+L159+L153+L147+L141+L135+L129</f>
        <v/>
      </c>
      <c r="M177" s="193">
        <f>M171+M159+M153+M147+M141+M135+M129</f>
        <v/>
      </c>
      <c r="N177" s="193">
        <f>N171+N159+N153+N147+N141+N135+N129</f>
        <v/>
      </c>
      <c r="O177" s="193">
        <f>O171+O159+O153+O147+O141+O135+O129</f>
        <v/>
      </c>
      <c r="P177" s="198">
        <f>SUM(D177:O177)</f>
        <v/>
      </c>
      <c r="Q177" s="1178">
        <f>IF(P176=0,0,P177/P176)</f>
        <v/>
      </c>
      <c r="R177" s="1250" t="inlineStr">
        <is>
          <t xml:space="preserve"> </t>
        </is>
      </c>
    </row>
    <row r="178" ht="19" customHeight="1" thickBot="1">
      <c r="B178" s="1251" t="n"/>
      <c r="C178" s="214" t="inlineStr">
        <is>
          <t>Total Margin</t>
        </is>
      </c>
      <c r="D178" s="111">
        <f>D176-D177</f>
        <v/>
      </c>
      <c r="E178" s="111">
        <f>E176-E177</f>
        <v/>
      </c>
      <c r="F178" s="111">
        <f>F176-F177</f>
        <v/>
      </c>
      <c r="G178" s="111">
        <f>G176-G177</f>
        <v/>
      </c>
      <c r="H178" s="111">
        <f>H176-H177</f>
        <v/>
      </c>
      <c r="I178" s="111">
        <f>I176-I177</f>
        <v/>
      </c>
      <c r="J178" s="111">
        <f>J176-J177</f>
        <v/>
      </c>
      <c r="K178" s="111">
        <f>K176-K177</f>
        <v/>
      </c>
      <c r="L178" s="111">
        <f>L176-L177</f>
        <v/>
      </c>
      <c r="M178" s="111">
        <f>M176-M177</f>
        <v/>
      </c>
      <c r="N178" s="111">
        <f>N176-N177</f>
        <v/>
      </c>
      <c r="O178" s="219">
        <f>O176-O177</f>
        <v/>
      </c>
      <c r="P178" s="220">
        <f>SUM(D178:O178)</f>
        <v/>
      </c>
      <c r="Q178" s="1252">
        <f>IF(P176=0,0,P178/P176)</f>
        <v/>
      </c>
      <c r="R178" s="1253" t="inlineStr">
        <is>
          <t xml:space="preserve"> </t>
        </is>
      </c>
    </row>
    <row r="179"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</row>
    <row r="180"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</row>
    <row r="181"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</row>
    <row r="182"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</row>
    <row r="183"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</row>
    <row r="184"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</row>
    <row r="185"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</row>
    <row r="186"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</row>
    <row r="187"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</row>
    <row r="188"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</row>
    <row r="189"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</row>
    <row r="190"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</row>
    <row r="191"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</row>
    <row r="192"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</row>
  </sheetData>
  <mergeCells count="76">
    <mergeCell ref="T48:AA48"/>
    <mergeCell ref="C138:R138"/>
    <mergeCell ref="T30:AA30"/>
    <mergeCell ref="T39:AA39"/>
    <mergeCell ref="T57:AA57"/>
    <mergeCell ref="C132:R132"/>
    <mergeCell ref="T33:AA33"/>
    <mergeCell ref="C119:R119"/>
    <mergeCell ref="B162:B166"/>
    <mergeCell ref="C61:R61"/>
    <mergeCell ref="C150:R150"/>
    <mergeCell ref="C39:R39"/>
    <mergeCell ref="T38:AA38"/>
    <mergeCell ref="T32:AA32"/>
    <mergeCell ref="B81:R81"/>
    <mergeCell ref="T29:AA29"/>
    <mergeCell ref="C144:R144"/>
    <mergeCell ref="B174:B178"/>
    <mergeCell ref="B168:B172"/>
    <mergeCell ref="T45:AA45"/>
    <mergeCell ref="B40:B53"/>
    <mergeCell ref="T53:AA53"/>
    <mergeCell ref="B101:B124"/>
    <mergeCell ref="B54:B67"/>
    <mergeCell ref="C32:R32"/>
    <mergeCell ref="C174:R174"/>
    <mergeCell ref="T47:AA47"/>
    <mergeCell ref="B167:L167"/>
    <mergeCell ref="B83:B98"/>
    <mergeCell ref="C53:R53"/>
    <mergeCell ref="B126:B130"/>
    <mergeCell ref="T54:AA54"/>
    <mergeCell ref="T55:AA55"/>
    <mergeCell ref="T50:AA50"/>
    <mergeCell ref="D3:F3"/>
    <mergeCell ref="T44:AA44"/>
    <mergeCell ref="C101:R101"/>
    <mergeCell ref="C83:R83"/>
    <mergeCell ref="T27:AA27"/>
    <mergeCell ref="C68:R68"/>
    <mergeCell ref="B26:B39"/>
    <mergeCell ref="C33:R33"/>
    <mergeCell ref="C156:R156"/>
    <mergeCell ref="C107:R107"/>
    <mergeCell ref="C89:R89"/>
    <mergeCell ref="B138:B142"/>
    <mergeCell ref="B144:B148"/>
    <mergeCell ref="C74:R74"/>
    <mergeCell ref="T51:AA51"/>
    <mergeCell ref="C126:R126"/>
    <mergeCell ref="C88:R88"/>
    <mergeCell ref="T40:AA40"/>
    <mergeCell ref="C26:R26"/>
    <mergeCell ref="B68:B80"/>
    <mergeCell ref="C162:R162"/>
    <mergeCell ref="B156:B160"/>
    <mergeCell ref="C113:R113"/>
    <mergeCell ref="B150:B154"/>
    <mergeCell ref="T41:AA41"/>
    <mergeCell ref="C54:R54"/>
    <mergeCell ref="C94:R94"/>
    <mergeCell ref="C47:R47"/>
    <mergeCell ref="C168:R168"/>
    <mergeCell ref="T31:AA31"/>
    <mergeCell ref="C75:R75"/>
    <mergeCell ref="C40:R40"/>
    <mergeCell ref="B132:B136"/>
    <mergeCell ref="T43:AA43"/>
    <mergeCell ref="T34:AA34"/>
    <mergeCell ref="T52:AA52"/>
    <mergeCell ref="T46:AA46"/>
    <mergeCell ref="T37:AA37"/>
    <mergeCell ref="C46:R46"/>
    <mergeCell ref="C60:R60"/>
    <mergeCell ref="T36:AA36"/>
    <mergeCell ref="C95:R95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A210"/>
  <sheetViews>
    <sheetView topLeftCell="A27" zoomScale="87" zoomScaleNormal="87" workbookViewId="0">
      <selection activeCell="D176" sqref="D176"/>
    </sheetView>
  </sheetViews>
  <sheetFormatPr baseColWidth="10" defaultColWidth="11.5" defaultRowHeight="15"/>
  <cols>
    <col width="21.83203125" customWidth="1" min="1" max="1"/>
    <col width="9" customWidth="1" min="2" max="2"/>
    <col width="40.83203125" bestFit="1" customWidth="1" min="3" max="3"/>
    <col width="26.33203125" customWidth="1" min="4" max="4"/>
    <col width="18.1640625" customWidth="1" min="5" max="5"/>
    <col width="20.33203125" customWidth="1" min="6" max="6"/>
    <col width="18.1640625" customWidth="1" min="7" max="16"/>
    <col width="26.5" customWidth="1" min="17" max="17"/>
    <col width="20" customWidth="1" min="18" max="18"/>
    <col width="20.5" customWidth="1" min="20" max="27"/>
  </cols>
  <sheetData>
    <row r="2" ht="16" customHeight="1" thickBot="1"/>
    <row r="3" ht="22" customHeight="1" thickBot="1">
      <c r="B3" s="46" t="n"/>
      <c r="C3" s="120" t="n">
        <v>2030</v>
      </c>
      <c r="D3" s="1148" t="inlineStr">
        <is>
          <t>Pricing</t>
        </is>
      </c>
      <c r="E3" s="1149" t="n"/>
      <c r="F3" s="1150" t="n"/>
      <c r="G3" s="46" t="n"/>
      <c r="H3" s="46" t="n"/>
      <c r="I3" s="46" t="n"/>
      <c r="J3" s="46" t="n"/>
      <c r="K3" s="46" t="n"/>
      <c r="L3" s="46" t="n"/>
      <c r="M3" s="46" t="n"/>
      <c r="N3" s="46" t="n"/>
      <c r="O3" s="47" t="n"/>
      <c r="P3" s="47" t="n"/>
      <c r="Q3" s="47" t="n"/>
      <c r="R3" s="47" t="n"/>
    </row>
    <row r="4" ht="31" customHeight="1" thickBot="1">
      <c r="B4" s="46" t="n"/>
      <c r="C4" s="97" t="inlineStr">
        <is>
          <t>Offerings and Distribution</t>
        </is>
      </c>
      <c r="D4" s="91" t="inlineStr">
        <is>
          <t>Price</t>
        </is>
      </c>
      <c r="E4" s="93" t="inlineStr">
        <is>
          <t>COGS</t>
        </is>
      </c>
      <c r="F4" s="99" t="inlineStr">
        <is>
          <t>Margin Per Subscription</t>
        </is>
      </c>
      <c r="G4" s="46" t="n"/>
      <c r="H4" s="46" t="n"/>
      <c r="I4" s="46" t="n"/>
      <c r="J4" s="48" t="n"/>
      <c r="K4" s="48" t="n"/>
      <c r="L4" s="48" t="n"/>
      <c r="M4" s="48" t="n"/>
      <c r="N4" s="48" t="n"/>
      <c r="O4" s="49" t="n"/>
      <c r="P4" s="49" t="n"/>
      <c r="Q4" s="49" t="n"/>
      <c r="R4" s="49" t="n"/>
    </row>
    <row r="5" ht="43" customHeight="1">
      <c r="B5" s="46" t="n"/>
      <c r="C5" s="422" t="inlineStr">
        <is>
          <t>Administrative</t>
        </is>
      </c>
      <c r="D5" s="423" t="n"/>
      <c r="E5" s="424" t="n"/>
      <c r="F5" s="425" t="n"/>
      <c r="G5" s="46" t="n"/>
      <c r="H5" s="250" t="inlineStr">
        <is>
          <t xml:space="preserve"> </t>
        </is>
      </c>
      <c r="I5" s="46" t="n"/>
      <c r="J5" s="48" t="n"/>
      <c r="K5" s="48" t="n"/>
      <c r="L5" s="48" t="n"/>
      <c r="M5" s="48" t="n"/>
      <c r="N5" s="48" t="n"/>
      <c r="O5" s="49" t="n"/>
      <c r="P5" s="49" t="n"/>
      <c r="Q5" s="49" t="n"/>
      <c r="R5" s="49" t="n"/>
    </row>
    <row r="6" ht="43" customHeight="1">
      <c r="B6" s="46" t="n"/>
      <c r="C6" s="426" t="inlineStr">
        <is>
          <t>Configuration</t>
        </is>
      </c>
      <c r="D6" s="406" t="n">
        <v>250</v>
      </c>
      <c r="E6" s="421" t="n">
        <v>50</v>
      </c>
      <c r="F6" s="1288">
        <f>D6-E6</f>
        <v/>
      </c>
      <c r="G6" s="46" t="n"/>
      <c r="H6" s="223" t="inlineStr">
        <is>
          <t xml:space="preserve"> </t>
        </is>
      </c>
      <c r="I6" s="46" t="n"/>
      <c r="J6" s="48" t="n"/>
      <c r="K6" s="48" t="n"/>
      <c r="L6" s="48" t="n"/>
      <c r="M6" s="48" t="n"/>
      <c r="N6" s="48" t="n"/>
      <c r="O6" s="49" t="n"/>
      <c r="P6" s="49" t="n"/>
      <c r="Q6" s="49" t="n"/>
      <c r="R6" s="49" t="n"/>
    </row>
    <row r="7" ht="43" customHeight="1">
      <c r="B7" s="46" t="n"/>
      <c r="C7" s="427" t="inlineStr">
        <is>
          <t>On-Boarding- Administrator</t>
        </is>
      </c>
      <c r="D7" s="419" t="n">
        <v>500</v>
      </c>
      <c r="E7" s="420" t="n">
        <v>100</v>
      </c>
      <c r="F7" s="1289">
        <f>D7-E7</f>
        <v/>
      </c>
      <c r="G7" s="46" t="n"/>
      <c r="H7" s="46" t="n"/>
      <c r="I7" s="46" t="n"/>
      <c r="J7" s="48" t="n"/>
      <c r="K7" s="48" t="n"/>
      <c r="L7" s="48" t="n"/>
      <c r="M7" s="48" t="n"/>
      <c r="N7" s="48" t="n"/>
      <c r="O7" s="49" t="n"/>
      <c r="P7" s="49" t="n"/>
      <c r="Q7" s="49" t="n"/>
      <c r="R7" s="49" t="n"/>
    </row>
    <row r="8" ht="43" customHeight="1">
      <c r="B8" s="46" t="n"/>
      <c r="C8" s="427" t="inlineStr">
        <is>
          <t>On-Boarding Users</t>
        </is>
      </c>
      <c r="D8" s="419" t="n">
        <v>500</v>
      </c>
      <c r="E8" s="420" t="n">
        <v>100</v>
      </c>
      <c r="F8" s="1289">
        <f>D8-E8</f>
        <v/>
      </c>
      <c r="G8" s="46" t="n"/>
      <c r="H8" s="46" t="n"/>
      <c r="I8" s="46" t="n"/>
      <c r="J8" s="48" t="n"/>
      <c r="K8" s="48" t="n"/>
      <c r="L8" s="48" t="n"/>
      <c r="M8" s="48" t="n"/>
      <c r="N8" s="48" t="n"/>
      <c r="O8" s="49" t="n"/>
      <c r="P8" s="49" t="n"/>
      <c r="Q8" s="49" t="n"/>
      <c r="R8" s="49" t="n"/>
    </row>
    <row r="9" ht="43" customHeight="1">
      <c r="B9" s="46" t="n"/>
      <c r="C9" s="426" t="inlineStr">
        <is>
          <t>Import</t>
        </is>
      </c>
      <c r="D9" s="831">
        <f>'Pricing Calcuator'!D86</f>
        <v/>
      </c>
      <c r="E9" s="421" t="n">
        <v>600</v>
      </c>
      <c r="F9" s="1288">
        <f>D9-E9</f>
        <v/>
      </c>
      <c r="G9" s="46" t="n"/>
      <c r="H9" s="46" t="n"/>
      <c r="I9" s="46" t="n"/>
      <c r="J9" s="48" t="n"/>
      <c r="K9" s="48" t="n"/>
      <c r="L9" s="48" t="n"/>
      <c r="M9" s="48" t="n"/>
      <c r="N9" s="48" t="n"/>
      <c r="O9" s="49" t="n"/>
      <c r="P9" s="49" t="n"/>
      <c r="Q9" s="49" t="n"/>
      <c r="R9" s="49" t="n"/>
    </row>
    <row r="10" ht="31" customHeight="1" thickBot="1">
      <c r="B10" s="46" t="n"/>
      <c r="C10" s="429" t="inlineStr">
        <is>
          <t>Support</t>
        </is>
      </c>
      <c r="D10" s="430" t="n">
        <v>100</v>
      </c>
      <c r="E10" s="431" t="n">
        <v>50</v>
      </c>
      <c r="F10" s="1290">
        <f>D10-E10</f>
        <v/>
      </c>
      <c r="G10" s="46" t="n"/>
      <c r="H10" s="46" t="n"/>
      <c r="I10" s="46" t="n"/>
      <c r="J10" s="48" t="n"/>
      <c r="K10" s="48" t="n"/>
      <c r="L10" s="48" t="n"/>
      <c r="M10" s="48" t="n"/>
      <c r="N10" s="48" t="n"/>
      <c r="O10" s="49" t="n"/>
      <c r="P10" s="49" t="n"/>
      <c r="Q10" s="49" t="n"/>
      <c r="R10" s="49" t="n"/>
    </row>
    <row r="11" ht="31" customHeight="1">
      <c r="B11" s="46" t="n"/>
      <c r="C11" s="415" t="inlineStr">
        <is>
          <t>Industry Break Down</t>
        </is>
      </c>
      <c r="D11" s="416" t="inlineStr">
        <is>
          <t xml:space="preserve"> </t>
        </is>
      </c>
      <c r="E11" s="417">
        <f>'COGS Analysis'!D18</f>
        <v/>
      </c>
      <c r="F11" s="1291" t="n"/>
      <c r="G11" s="46" t="n"/>
      <c r="H11" s="46" t="n"/>
      <c r="I11" s="46" t="n"/>
      <c r="J11" s="48" t="n"/>
      <c r="K11" s="48" t="n"/>
      <c r="L11" s="48" t="n"/>
      <c r="M11" s="48" t="n"/>
      <c r="N11" s="48" t="n"/>
      <c r="O11" s="49" t="n"/>
      <c r="P11" s="49" t="n"/>
      <c r="Q11" s="49" t="n"/>
      <c r="R11" s="49" t="n"/>
    </row>
    <row r="12" ht="31" customHeight="1">
      <c r="B12" s="46" t="n"/>
      <c r="C12" s="411" t="inlineStr">
        <is>
          <t>Hospitality</t>
        </is>
      </c>
      <c r="D12" s="406" t="n">
        <v>250</v>
      </c>
      <c r="E12" s="421">
        <f>$Q$210</f>
        <v/>
      </c>
      <c r="F12" s="1288">
        <f>D12-E12</f>
        <v/>
      </c>
      <c r="G12" s="46" t="n"/>
      <c r="H12" s="46" t="n"/>
      <c r="I12" s="46" t="n"/>
      <c r="J12" s="48" t="n"/>
      <c r="K12" s="48" t="n"/>
      <c r="L12" s="48" t="n"/>
      <c r="M12" s="48" t="n"/>
      <c r="N12" s="48" t="n"/>
      <c r="O12" s="49" t="n"/>
      <c r="P12" s="49" t="n"/>
      <c r="Q12" s="49" t="n"/>
      <c r="R12" s="49" t="n"/>
    </row>
    <row r="13" ht="31" customHeight="1">
      <c r="B13" s="46" t="n"/>
      <c r="C13" s="411" t="inlineStr">
        <is>
          <t>Hospitality- Reseller</t>
        </is>
      </c>
      <c r="D13" s="406" t="n">
        <v>100</v>
      </c>
      <c r="E13" s="421">
        <f>$Q$210</f>
        <v/>
      </c>
      <c r="F13" s="1288">
        <f>D13-E13</f>
        <v/>
      </c>
      <c r="G13" s="46" t="n"/>
      <c r="H13" s="46" t="n"/>
      <c r="I13" s="46" t="n"/>
      <c r="J13" s="48" t="n"/>
      <c r="K13" s="48" t="n"/>
      <c r="L13" s="48" t="n"/>
      <c r="M13" s="48" t="n"/>
      <c r="N13" s="48" t="n"/>
      <c r="O13" s="49" t="n"/>
      <c r="P13" s="49" t="n"/>
      <c r="Q13" s="49" t="n"/>
      <c r="R13" s="49" t="n"/>
    </row>
    <row r="14" ht="31" customHeight="1">
      <c r="B14" s="46" t="n"/>
      <c r="C14" s="413" t="inlineStr">
        <is>
          <t>Real Estate Development</t>
        </is>
      </c>
      <c r="D14" s="407" t="n">
        <v>400</v>
      </c>
      <c r="E14" s="763">
        <f>$Q$210</f>
        <v/>
      </c>
      <c r="F14" s="1292">
        <f>D14-E14</f>
        <v/>
      </c>
      <c r="G14" s="46" t="n"/>
      <c r="H14" s="46" t="n"/>
      <c r="I14" s="46" t="n"/>
      <c r="J14" s="48" t="n"/>
      <c r="K14" s="48" t="n"/>
      <c r="L14" s="48" t="n"/>
      <c r="M14" s="48" t="n"/>
      <c r="N14" s="48" t="n"/>
      <c r="O14" s="49" t="n"/>
      <c r="P14" s="49" t="n"/>
      <c r="Q14" s="49" t="n"/>
      <c r="R14" s="49" t="n"/>
    </row>
    <row r="15" ht="31" customHeight="1">
      <c r="B15" s="46" t="n"/>
      <c r="C15" s="413" t="inlineStr">
        <is>
          <t>Real Estate Development- Reseller</t>
        </is>
      </c>
      <c r="D15" s="407" t="n">
        <v>200</v>
      </c>
      <c r="E15" s="763">
        <f>$Q$210</f>
        <v/>
      </c>
      <c r="F15" s="1292">
        <f>D15-E15</f>
        <v/>
      </c>
      <c r="G15" s="46" t="n"/>
      <c r="H15" s="46" t="n"/>
      <c r="I15" s="46" t="n"/>
      <c r="J15" s="48" t="n"/>
      <c r="K15" s="48" t="n"/>
      <c r="L15" s="48" t="n"/>
      <c r="M15" s="48" t="n"/>
      <c r="N15" s="48" t="n"/>
      <c r="O15" s="49" t="n"/>
      <c r="P15" s="49" t="n"/>
      <c r="Q15" s="49" t="n"/>
      <c r="R15" s="49" t="n"/>
    </row>
    <row r="16" ht="31" customHeight="1">
      <c r="B16" s="46" t="n"/>
      <c r="C16" s="411" t="inlineStr">
        <is>
          <t>Pharma</t>
        </is>
      </c>
      <c r="D16" s="876" t="n">
        <v>450</v>
      </c>
      <c r="E16" s="421">
        <f>$Q$210</f>
        <v/>
      </c>
      <c r="F16" s="1288">
        <f>D16-E16</f>
        <v/>
      </c>
      <c r="G16" s="46" t="n"/>
      <c r="H16" s="46" t="n"/>
      <c r="I16" s="46" t="n"/>
      <c r="J16" s="48" t="n"/>
      <c r="K16" s="48" t="n"/>
      <c r="L16" s="48" t="n"/>
      <c r="M16" s="48" t="n"/>
      <c r="N16" s="48" t="n"/>
      <c r="O16" s="49" t="n"/>
      <c r="P16" s="49" t="n"/>
      <c r="Q16" s="49" t="n"/>
      <c r="R16" s="49" t="n"/>
    </row>
    <row r="17" ht="31" customHeight="1">
      <c r="B17" s="46" t="n"/>
      <c r="C17" s="411" t="inlineStr">
        <is>
          <t>Pharma- Reseller</t>
        </is>
      </c>
      <c r="D17" s="406" t="n">
        <v>200</v>
      </c>
      <c r="E17" s="421">
        <f>$Q$210</f>
        <v/>
      </c>
      <c r="F17" s="1288">
        <f>D17-E17</f>
        <v/>
      </c>
      <c r="G17" s="46" t="n"/>
      <c r="H17" s="46" t="n"/>
      <c r="I17" s="46" t="n"/>
      <c r="J17" s="48" t="n"/>
      <c r="K17" s="48" t="n"/>
      <c r="L17" s="48" t="n"/>
      <c r="M17" s="48" t="n"/>
      <c r="N17" s="48" t="n"/>
      <c r="O17" s="49" t="n"/>
      <c r="P17" s="49" t="n"/>
      <c r="Q17" s="49" t="n"/>
      <c r="R17" s="49" t="n"/>
    </row>
    <row r="18" ht="18" customHeight="1">
      <c r="B18" s="46" t="n"/>
      <c r="C18" s="413" t="inlineStr">
        <is>
          <t>Start up - Small Firms</t>
        </is>
      </c>
      <c r="D18" s="407" t="n">
        <v>200</v>
      </c>
      <c r="E18" s="763">
        <f>$Q$210</f>
        <v/>
      </c>
      <c r="F18" s="1292">
        <f>D18-E18</f>
        <v/>
      </c>
      <c r="G18" s="46" t="n"/>
      <c r="H18" s="46" t="n"/>
      <c r="I18" s="46" t="n"/>
      <c r="J18" s="48" t="n"/>
      <c r="K18" s="48" t="n"/>
      <c r="L18" s="48" t="n"/>
      <c r="M18" s="48" t="n"/>
      <c r="N18" s="48" t="n"/>
      <c r="O18" s="49" t="n"/>
      <c r="P18" s="49" t="n"/>
      <c r="Q18" s="49" t="n"/>
      <c r="R18" s="49" t="n"/>
    </row>
    <row r="19" ht="19" customHeight="1" thickBot="1">
      <c r="B19" s="46" t="n"/>
      <c r="C19" s="433" t="inlineStr">
        <is>
          <t>Start up Reseller</t>
        </is>
      </c>
      <c r="D19" s="434" t="n">
        <v>100</v>
      </c>
      <c r="E19" s="763">
        <f>$Q$210</f>
        <v/>
      </c>
      <c r="F19" s="1293">
        <f>D19-E19</f>
        <v/>
      </c>
      <c r="G19" s="46" t="n"/>
      <c r="H19" s="46" t="n"/>
      <c r="I19" s="46" t="n"/>
      <c r="J19" s="48" t="n"/>
      <c r="K19" s="48" t="n"/>
      <c r="L19" s="48" t="n"/>
      <c r="M19" s="48" t="n"/>
      <c r="N19" s="48" t="n"/>
      <c r="O19" s="49" t="n"/>
      <c r="P19" s="49" t="n"/>
      <c r="Q19" s="49" t="n"/>
      <c r="R19" s="49" t="n"/>
    </row>
    <row r="20" ht="20" customHeight="1">
      <c r="B20" s="46" t="n"/>
      <c r="C20" s="408" t="inlineStr">
        <is>
          <t>Training / Consultancy Training as a Service</t>
        </is>
      </c>
      <c r="D20" s="409" t="n"/>
      <c r="E20" s="409" t="n"/>
      <c r="F20" s="1294" t="inlineStr">
        <is>
          <t xml:space="preserve"> </t>
        </is>
      </c>
      <c r="G20" s="46" t="n"/>
      <c r="H20" s="46" t="n"/>
      <c r="I20" s="46" t="n"/>
      <c r="J20" s="48" t="n"/>
      <c r="K20" s="48" t="n"/>
      <c r="L20" s="48" t="n"/>
      <c r="M20" s="48" t="n"/>
      <c r="N20" s="48" t="n"/>
      <c r="O20" s="49" t="n"/>
      <c r="P20" s="49" t="n"/>
      <c r="Q20" s="49" t="n"/>
      <c r="R20" s="49" t="n"/>
    </row>
    <row r="21" ht="18" customHeight="1">
      <c r="B21" s="46" t="n"/>
      <c r="C21" s="436" t="inlineStr">
        <is>
          <t>Thought Library</t>
        </is>
      </c>
      <c r="D21" s="407" t="n">
        <v>50</v>
      </c>
      <c r="E21" s="407" t="n">
        <v>25</v>
      </c>
      <c r="F21" s="1292">
        <f>D21-E21</f>
        <v/>
      </c>
      <c r="G21" s="46" t="n"/>
      <c r="H21" s="46" t="n"/>
      <c r="I21" s="46" t="n"/>
      <c r="J21" s="48" t="n"/>
      <c r="K21" s="48" t="n"/>
      <c r="L21" s="48" t="n"/>
      <c r="M21" s="48" t="n"/>
      <c r="N21" s="48" t="n"/>
      <c r="O21" s="49" t="n"/>
      <c r="P21" s="49" t="n"/>
      <c r="Q21" s="49" t="n"/>
      <c r="R21" s="49" t="n"/>
    </row>
    <row r="22" ht="36" customHeight="1" thickBot="1">
      <c r="B22" s="46" t="n"/>
      <c r="C22" s="437" t="inlineStr">
        <is>
          <t>Consultancy Services</t>
        </is>
      </c>
      <c r="D22" s="438" t="n">
        <v>225</v>
      </c>
      <c r="E22" s="438" t="n">
        <v>125</v>
      </c>
      <c r="F22" s="1295">
        <f>D22-E22</f>
        <v/>
      </c>
      <c r="G22" s="46" t="n"/>
      <c r="H22" s="46" t="n"/>
      <c r="I22" s="46" t="n"/>
      <c r="J22" s="48" t="n"/>
      <c r="K22" s="48" t="n"/>
      <c r="L22" s="48" t="n"/>
      <c r="M22" s="48" t="n"/>
      <c r="N22" s="48" t="n"/>
      <c r="O22" s="49" t="n"/>
      <c r="P22" s="49" t="n"/>
      <c r="Q22" s="49" t="n"/>
      <c r="R22" s="49" t="n"/>
    </row>
    <row r="23" ht="38" customHeight="1" thickBot="1">
      <c r="B23" s="46" t="n"/>
      <c r="C23" s="106" t="n"/>
      <c r="D23" s="253" t="n"/>
      <c r="E23" s="253" t="n"/>
      <c r="F23" s="253" t="n"/>
      <c r="G23" s="253" t="n"/>
      <c r="H23" s="253" t="n"/>
      <c r="I23" s="253" t="n"/>
      <c r="J23" s="253" t="n"/>
      <c r="K23" s="253" t="n"/>
      <c r="L23" s="253" t="n"/>
      <c r="M23" s="253" t="n"/>
      <c r="N23" s="253" t="n"/>
      <c r="O23" s="253" t="n"/>
      <c r="P23" s="106" t="n"/>
      <c r="Q23" s="106" t="n"/>
      <c r="R23" s="106" t="n"/>
    </row>
    <row r="24" ht="83" customHeight="1" thickBot="1">
      <c r="B24" s="280" t="n"/>
      <c r="C24" s="50" t="inlineStr">
        <is>
          <t>Segments</t>
        </is>
      </c>
      <c r="D24" s="51" t="inlineStr">
        <is>
          <t>January</t>
        </is>
      </c>
      <c r="E24" s="51" t="inlineStr">
        <is>
          <t>February</t>
        </is>
      </c>
      <c r="F24" s="51" t="inlineStr">
        <is>
          <t>March</t>
        </is>
      </c>
      <c r="G24" s="51" t="inlineStr">
        <is>
          <t>April</t>
        </is>
      </c>
      <c r="H24" s="51" t="inlineStr">
        <is>
          <t>May</t>
        </is>
      </c>
      <c r="I24" s="51" t="inlineStr">
        <is>
          <t>June</t>
        </is>
      </c>
      <c r="J24" s="51" t="inlineStr">
        <is>
          <t xml:space="preserve">July </t>
        </is>
      </c>
      <c r="K24" s="51" t="inlineStr">
        <is>
          <t>August</t>
        </is>
      </c>
      <c r="L24" s="51" t="inlineStr">
        <is>
          <t>September</t>
        </is>
      </c>
      <c r="M24" s="51" t="inlineStr">
        <is>
          <t xml:space="preserve">October </t>
        </is>
      </c>
      <c r="N24" s="51" t="inlineStr">
        <is>
          <t>November</t>
        </is>
      </c>
      <c r="O24" s="52" t="inlineStr">
        <is>
          <t>December</t>
        </is>
      </c>
      <c r="P24" s="53" t="inlineStr">
        <is>
          <t>Annual Totals</t>
        </is>
      </c>
      <c r="Q24" s="54" t="inlineStr">
        <is>
          <t>Profit Margin</t>
        </is>
      </c>
      <c r="R24" s="55" t="inlineStr">
        <is>
          <t>Profit margin comparison</t>
        </is>
      </c>
      <c r="S24" s="901" t="inlineStr">
        <is>
          <t>Churn</t>
        </is>
      </c>
      <c r="T24" s="1276" t="inlineStr">
        <is>
          <t>Assumptions</t>
        </is>
      </c>
      <c r="U24" s="1167" t="n"/>
      <c r="V24" s="1167" t="n"/>
      <c r="W24" s="1167" t="n"/>
      <c r="X24" s="1167" t="n"/>
      <c r="Y24" s="1167" t="n"/>
      <c r="Z24" s="1167" t="n"/>
      <c r="AA24" s="1168" t="n"/>
    </row>
    <row r="25" ht="17" customHeight="1" thickTop="1">
      <c r="B25" s="206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 xml:space="preserve"> </t>
        </is>
      </c>
      <c r="T25" s="1296" t="inlineStr">
        <is>
          <t xml:space="preserve"> </t>
        </is>
      </c>
      <c r="U25" s="1145" t="n"/>
      <c r="V25" s="1145" t="n"/>
      <c r="W25" s="1145" t="n"/>
      <c r="X25" s="1145" t="n"/>
      <c r="Y25" s="1145" t="n"/>
      <c r="Z25" s="1145" t="n"/>
      <c r="AA25" s="705" t="n"/>
    </row>
    <row r="26" ht="18" customHeight="1" thickBot="1">
      <c r="B26" s="1005" t="inlineStr">
        <is>
          <t>Hospitality</t>
        </is>
      </c>
      <c r="C26" s="1164">
        <f>C12</f>
        <v/>
      </c>
      <c r="R26" s="1165" t="n"/>
      <c r="T26" s="1184" t="inlineStr">
        <is>
          <t xml:space="preserve"> </t>
        </is>
      </c>
      <c r="AA26" s="707" t="n"/>
    </row>
    <row r="27" ht="18" customHeight="1" thickBot="1">
      <c r="B27" s="1169" t="n"/>
      <c r="C27" s="116" t="inlineStr">
        <is>
          <t>Licences Sold</t>
        </is>
      </c>
      <c r="D27" s="1170" t="n">
        <v>1580</v>
      </c>
      <c r="E27" s="1170" t="n">
        <v>1600</v>
      </c>
      <c r="F27" s="1170" t="n">
        <v>1630</v>
      </c>
      <c r="G27" s="1170" t="n">
        <v>1650</v>
      </c>
      <c r="H27" s="1170" t="n">
        <v>1680</v>
      </c>
      <c r="I27" s="1170" t="n">
        <v>1725</v>
      </c>
      <c r="J27" s="1170" t="n">
        <v>1775</v>
      </c>
      <c r="K27" s="1170" t="n">
        <v>2000</v>
      </c>
      <c r="L27" s="1170" t="n">
        <v>2125</v>
      </c>
      <c r="M27" s="1170" t="n">
        <v>2180</v>
      </c>
      <c r="N27" s="1170" t="n">
        <v>2200</v>
      </c>
      <c r="O27" s="1212" t="n">
        <v>2235</v>
      </c>
      <c r="P27" s="1297">
        <f>O27</f>
        <v/>
      </c>
      <c r="Q27" s="364" t="n"/>
      <c r="R27" s="365" t="n"/>
      <c r="S27" s="928" t="n">
        <v>0.03</v>
      </c>
      <c r="T27" s="1177" t="inlineStr">
        <is>
          <t xml:space="preserve"> </t>
        </is>
      </c>
      <c r="AA27" s="707" t="n"/>
    </row>
    <row r="28" hidden="1" ht="18" customHeight="1">
      <c r="B28" s="1169" t="n"/>
      <c r="C28" s="906" t="n"/>
      <c r="D28" s="1173">
        <f>D27*$S$27</f>
        <v/>
      </c>
      <c r="E28" s="1173">
        <f>E27*$S$27</f>
        <v/>
      </c>
      <c r="F28" s="1173">
        <f>F27*$S$27</f>
        <v/>
      </c>
      <c r="G28" s="1173">
        <f>G27*$S$27</f>
        <v/>
      </c>
      <c r="H28" s="1173">
        <f>H27*$S$27</f>
        <v/>
      </c>
      <c r="I28" s="1173">
        <f>I27*$S$27</f>
        <v/>
      </c>
      <c r="J28" s="1173">
        <f>J27*$S$27</f>
        <v/>
      </c>
      <c r="K28" s="1173">
        <f>K27*$S$27</f>
        <v/>
      </c>
      <c r="L28" s="1173">
        <f>L27*$S$27</f>
        <v/>
      </c>
      <c r="M28" s="1173">
        <f>M27*$S$27</f>
        <v/>
      </c>
      <c r="N28" s="1173">
        <f>N27*$S$27</f>
        <v/>
      </c>
      <c r="O28" s="1173">
        <f>O27*$S$27</f>
        <v/>
      </c>
      <c r="P28" s="1298" t="n"/>
      <c r="Q28" s="909" t="n"/>
      <c r="R28" s="927" t="n"/>
      <c r="S28" s="1088" t="n"/>
      <c r="T28" s="973" t="n"/>
      <c r="U28" s="974" t="n"/>
      <c r="V28" s="974" t="n"/>
      <c r="W28" s="974" t="n"/>
      <c r="X28" s="974" t="n"/>
      <c r="Y28" s="974" t="n"/>
      <c r="Z28" s="974" t="n"/>
      <c r="AA28" s="975" t="n"/>
    </row>
    <row r="29" ht="18" customHeight="1">
      <c r="B29" s="1169" t="n"/>
      <c r="C29" s="117" t="inlineStr">
        <is>
          <t>Total Sales</t>
        </is>
      </c>
      <c r="D29" s="194">
        <f>(D27-D28)*$D$12</f>
        <v/>
      </c>
      <c r="E29" s="194">
        <f>(E27-E28)*$D$12</f>
        <v/>
      </c>
      <c r="F29" s="194">
        <f>(F27-F28)*$D$12</f>
        <v/>
      </c>
      <c r="G29" s="194">
        <f>(G27-G28)*$D$12</f>
        <v/>
      </c>
      <c r="H29" s="194">
        <f>(H27-H28)*$D$12</f>
        <v/>
      </c>
      <c r="I29" s="194">
        <f>(I27-I28)*$D$12</f>
        <v/>
      </c>
      <c r="J29" s="194">
        <f>(J27-J28)*$D$12</f>
        <v/>
      </c>
      <c r="K29" s="194">
        <f>(K27-K28)*$D$12</f>
        <v/>
      </c>
      <c r="L29" s="194">
        <f>(L27-L28)*$D$12</f>
        <v/>
      </c>
      <c r="M29" s="194">
        <f>(M27-M28)*$D$12</f>
        <v/>
      </c>
      <c r="N29" s="194">
        <f>(N27-N28)*$D$12</f>
        <v/>
      </c>
      <c r="O29" s="194">
        <f>(O27-O28)*$D$12</f>
        <v/>
      </c>
      <c r="P29" s="319">
        <f>SUM(D29:O29)</f>
        <v/>
      </c>
      <c r="Q29" s="1175">
        <f>(Q30+Q31)</f>
        <v/>
      </c>
      <c r="R29" s="1176" t="inlineStr">
        <is>
          <t xml:space="preserve"> </t>
        </is>
      </c>
      <c r="S29" s="1088" t="n"/>
      <c r="T29" s="1184" t="n"/>
      <c r="AA29" s="707" t="n"/>
    </row>
    <row r="30" ht="18" customHeight="1">
      <c r="B30" s="1169" t="n"/>
      <c r="C30" s="118" t="inlineStr">
        <is>
          <t>Total COGS</t>
        </is>
      </c>
      <c r="D30" s="193">
        <f>D27*$E$12</f>
        <v/>
      </c>
      <c r="E30" s="193">
        <f>E27*$E$12</f>
        <v/>
      </c>
      <c r="F30" s="193">
        <f>F27*$E$12</f>
        <v/>
      </c>
      <c r="G30" s="193">
        <f>G27*$E$12</f>
        <v/>
      </c>
      <c r="H30" s="193">
        <f>H27*$E$12</f>
        <v/>
      </c>
      <c r="I30" s="193">
        <f>I27*$E$12</f>
        <v/>
      </c>
      <c r="J30" s="193">
        <f>J27*$E$12</f>
        <v/>
      </c>
      <c r="K30" s="193">
        <f>K27*$E$12</f>
        <v/>
      </c>
      <c r="L30" s="193">
        <f>L27*$E$12</f>
        <v/>
      </c>
      <c r="M30" s="193">
        <f>M27*$E$12</f>
        <v/>
      </c>
      <c r="N30" s="193">
        <f>N27*$E$12</f>
        <v/>
      </c>
      <c r="O30" s="273">
        <f>O27*$E$12</f>
        <v/>
      </c>
      <c r="P30" s="320">
        <f>SUM(D30:O30)</f>
        <v/>
      </c>
      <c r="Q30" s="1178">
        <f>IF(P29=0,0,P30/P29)</f>
        <v/>
      </c>
      <c r="R30" s="1179" t="inlineStr">
        <is>
          <t xml:space="preserve"> </t>
        </is>
      </c>
      <c r="S30" s="1088" t="n"/>
      <c r="T30" s="1177" t="inlineStr">
        <is>
          <t xml:space="preserve"> </t>
        </is>
      </c>
      <c r="AA30" s="707" t="n"/>
    </row>
    <row r="31" ht="18" customHeight="1" thickBot="1">
      <c r="B31" s="1169" t="n"/>
      <c r="C31" s="119" t="inlineStr">
        <is>
          <t>Total Margin</t>
        </is>
      </c>
      <c r="D31" s="68">
        <f>D29-D30</f>
        <v/>
      </c>
      <c r="E31" s="68">
        <f>E29-E30</f>
        <v/>
      </c>
      <c r="F31" s="68">
        <f>F29-F30</f>
        <v/>
      </c>
      <c r="G31" s="68">
        <f>G29-G30</f>
        <v/>
      </c>
      <c r="H31" s="68">
        <f>H29-H30</f>
        <v/>
      </c>
      <c r="I31" s="68">
        <f>I29-I30</f>
        <v/>
      </c>
      <c r="J31" s="68">
        <f>J29-J30</f>
        <v/>
      </c>
      <c r="K31" s="68">
        <f>K29-K30</f>
        <v/>
      </c>
      <c r="L31" s="68">
        <f>L29-L30</f>
        <v/>
      </c>
      <c r="M31" s="68">
        <f>M29-M30</f>
        <v/>
      </c>
      <c r="N31" s="68">
        <f>N29-N30</f>
        <v/>
      </c>
      <c r="O31" s="69">
        <f>O29-O30</f>
        <v/>
      </c>
      <c r="P31" s="321">
        <f>SUM(D31:O31)</f>
        <v/>
      </c>
      <c r="Q31" s="1181">
        <f>IF(P29=0,0,P31/P29)</f>
        <v/>
      </c>
      <c r="R31" s="1182" t="inlineStr">
        <is>
          <t xml:space="preserve"> </t>
        </is>
      </c>
      <c r="S31" s="1088" t="n"/>
      <c r="T31" s="1184" t="inlineStr">
        <is>
          <t xml:space="preserve"> </t>
        </is>
      </c>
      <c r="AA31" s="707" t="n"/>
    </row>
    <row r="32" ht="18" customHeight="1">
      <c r="B32" s="1169" t="n"/>
      <c r="C32" s="1183" t="inlineStr">
        <is>
          <t xml:space="preserve"> </t>
        </is>
      </c>
      <c r="S32" s="1088" t="n"/>
      <c r="T32" s="1177" t="inlineStr">
        <is>
          <t xml:space="preserve"> </t>
        </is>
      </c>
      <c r="AA32" s="707" t="n"/>
    </row>
    <row r="33" ht="18" customHeight="1" thickBot="1">
      <c r="B33" s="1169" t="n"/>
      <c r="C33" s="1185">
        <f>C13</f>
        <v/>
      </c>
      <c r="R33" s="707" t="n"/>
      <c r="S33" s="1088" t="n"/>
      <c r="T33" s="1184" t="n"/>
      <c r="AA33" s="707" t="n"/>
    </row>
    <row r="34" ht="18" customHeight="1" thickBot="1">
      <c r="B34" s="1169" t="n"/>
      <c r="C34" s="116" t="inlineStr">
        <is>
          <t>Licences Sold</t>
        </is>
      </c>
      <c r="D34" s="1170" t="n">
        <v>765</v>
      </c>
      <c r="E34" s="1170" t="n">
        <v>765</v>
      </c>
      <c r="F34" s="1170" t="n">
        <v>770</v>
      </c>
      <c r="G34" s="1170" t="n">
        <v>775</v>
      </c>
      <c r="H34" s="1170" t="n">
        <v>780</v>
      </c>
      <c r="I34" s="1170" t="n">
        <v>785</v>
      </c>
      <c r="J34" s="1170" t="n">
        <v>790</v>
      </c>
      <c r="K34" s="1170" t="n">
        <v>795</v>
      </c>
      <c r="L34" s="1170" t="n">
        <v>800</v>
      </c>
      <c r="M34" s="1170" t="n">
        <v>810</v>
      </c>
      <c r="N34" s="1170" t="n">
        <v>810</v>
      </c>
      <c r="O34" s="1170" t="n">
        <v>810</v>
      </c>
      <c r="P34" s="1187">
        <f>O34</f>
        <v/>
      </c>
      <c r="Q34" s="72" t="n"/>
      <c r="R34" s="318" t="n"/>
      <c r="S34" s="928" t="n">
        <v>0.03</v>
      </c>
      <c r="T34" s="1177" t="inlineStr">
        <is>
          <t xml:space="preserve"> </t>
        </is>
      </c>
      <c r="AA34" s="707" t="n"/>
    </row>
    <row r="35" hidden="1" ht="18" customHeight="1">
      <c r="B35" s="1169" t="n"/>
      <c r="C35" s="906" t="n"/>
      <c r="D35" s="1173">
        <f>D34*$S$34</f>
        <v/>
      </c>
      <c r="E35" s="1173">
        <f>E34*$S$34</f>
        <v/>
      </c>
      <c r="F35" s="1173">
        <f>F34*$S$34</f>
        <v/>
      </c>
      <c r="G35" s="1173">
        <f>G34*$S$34</f>
        <v/>
      </c>
      <c r="H35" s="1173">
        <f>H34*$S$34</f>
        <v/>
      </c>
      <c r="I35" s="1173">
        <f>I34*$S$34</f>
        <v/>
      </c>
      <c r="J35" s="1173">
        <f>J34*$S$34</f>
        <v/>
      </c>
      <c r="K35" s="1173">
        <f>K34*$S$34</f>
        <v/>
      </c>
      <c r="L35" s="1173">
        <f>L34*$S$34</f>
        <v/>
      </c>
      <c r="M35" s="1173">
        <f>M34*$S$34</f>
        <v/>
      </c>
      <c r="N35" s="1173">
        <f>N34*$S$34</f>
        <v/>
      </c>
      <c r="O35" s="1173">
        <f>O34*$S$34</f>
        <v/>
      </c>
      <c r="P35" s="1174" t="n"/>
      <c r="Q35" s="909" t="n"/>
      <c r="R35" s="910" t="n"/>
      <c r="S35" s="928" t="n"/>
      <c r="T35" s="973" t="n"/>
      <c r="U35" s="974" t="n"/>
      <c r="V35" s="974" t="n"/>
      <c r="W35" s="974" t="n"/>
      <c r="X35" s="974" t="n"/>
      <c r="Y35" s="974" t="n"/>
      <c r="Z35" s="974" t="n"/>
      <c r="AA35" s="975" t="n"/>
    </row>
    <row r="36" ht="18" customHeight="1">
      <c r="B36" s="1169" t="n"/>
      <c r="C36" s="117" t="inlineStr">
        <is>
          <t>Total Sales</t>
        </is>
      </c>
      <c r="D36" s="194">
        <f>(D34-D35)*$D$13</f>
        <v/>
      </c>
      <c r="E36" s="194">
        <f>(E34-E35)*$D$13</f>
        <v/>
      </c>
      <c r="F36" s="194">
        <f>(F34-F35)*$D$13</f>
        <v/>
      </c>
      <c r="G36" s="194">
        <f>(G34-G35)*$D$13</f>
        <v/>
      </c>
      <c r="H36" s="194">
        <f>(H34-H35)*$D$13</f>
        <v/>
      </c>
      <c r="I36" s="194">
        <f>(I34-I35)*$D$13</f>
        <v/>
      </c>
      <c r="J36" s="194">
        <f>(J34-J35)*$D$13</f>
        <v/>
      </c>
      <c r="K36" s="194">
        <f>(K34-K35)*$D$13</f>
        <v/>
      </c>
      <c r="L36" s="194">
        <f>(L34-L35)*$D$13</f>
        <v/>
      </c>
      <c r="M36" s="194">
        <f>(M34-M35)*$D$13</f>
        <v/>
      </c>
      <c r="N36" s="194">
        <f>(N34-N35)*$D$13</f>
        <v/>
      </c>
      <c r="O36" s="194">
        <f>(O34-O35)*$D$13</f>
        <v/>
      </c>
      <c r="P36" s="319">
        <f>SUM(D36:O36)</f>
        <v/>
      </c>
      <c r="Q36" s="1175">
        <f>(Q37+Q38)</f>
        <v/>
      </c>
      <c r="R36" s="1176" t="inlineStr">
        <is>
          <t xml:space="preserve"> </t>
        </is>
      </c>
      <c r="S36" s="1088" t="n"/>
      <c r="T36" s="1184" t="n"/>
      <c r="AA36" s="707" t="n"/>
    </row>
    <row r="37" ht="18" customHeight="1">
      <c r="B37" s="1169" t="n"/>
      <c r="C37" s="118" t="inlineStr">
        <is>
          <t>Total COGS</t>
        </is>
      </c>
      <c r="D37" s="193">
        <f>D34*$E$13</f>
        <v/>
      </c>
      <c r="E37" s="193">
        <f>E34*$E$13</f>
        <v/>
      </c>
      <c r="F37" s="193">
        <f>F34*$E$13</f>
        <v/>
      </c>
      <c r="G37" s="193">
        <f>G34*$E$13</f>
        <v/>
      </c>
      <c r="H37" s="193">
        <f>H34*$E$13</f>
        <v/>
      </c>
      <c r="I37" s="193">
        <f>I34*$E$13</f>
        <v/>
      </c>
      <c r="J37" s="193">
        <f>J34*$E$13</f>
        <v/>
      </c>
      <c r="K37" s="193">
        <f>K34*$E$13</f>
        <v/>
      </c>
      <c r="L37" s="193">
        <f>L34*$E$13</f>
        <v/>
      </c>
      <c r="M37" s="193">
        <f>M34*$E$13</f>
        <v/>
      </c>
      <c r="N37" s="193">
        <f>N34*$E$13</f>
        <v/>
      </c>
      <c r="O37" s="273">
        <f>O34*$E$13</f>
        <v/>
      </c>
      <c r="P37" s="320">
        <f>SUM(D37:O37)</f>
        <v/>
      </c>
      <c r="Q37" s="1178">
        <f>IF(P36=0,0,P37/P36)</f>
        <v/>
      </c>
      <c r="R37" s="1179" t="inlineStr">
        <is>
          <t xml:space="preserve"> </t>
        </is>
      </c>
      <c r="S37" s="1088" t="n"/>
      <c r="T37" s="1184" t="n"/>
      <c r="AA37" s="707" t="n"/>
    </row>
    <row r="38" ht="18" customHeight="1" thickBot="1">
      <c r="B38" s="1169" t="n"/>
      <c r="C38" s="119" t="inlineStr">
        <is>
          <t>Total Margin</t>
        </is>
      </c>
      <c r="D38" s="68">
        <f>D36-D37</f>
        <v/>
      </c>
      <c r="E38" s="68">
        <f>E36-E37</f>
        <v/>
      </c>
      <c r="F38" s="68">
        <f>F36-F37</f>
        <v/>
      </c>
      <c r="G38" s="68">
        <f>G36-G37</f>
        <v/>
      </c>
      <c r="H38" s="68">
        <f>H36-H37</f>
        <v/>
      </c>
      <c r="I38" s="68">
        <f>I36-I37</f>
        <v/>
      </c>
      <c r="J38" s="68">
        <f>J36-J37</f>
        <v/>
      </c>
      <c r="K38" s="68">
        <f>K36-K37</f>
        <v/>
      </c>
      <c r="L38" s="68">
        <f>L36-L37</f>
        <v/>
      </c>
      <c r="M38" s="68">
        <f>M36-M37</f>
        <v/>
      </c>
      <c r="N38" s="68">
        <f>N36-N37</f>
        <v/>
      </c>
      <c r="O38" s="69">
        <f>O36-O37</f>
        <v/>
      </c>
      <c r="P38" s="321">
        <f>SUM(D38:O38)</f>
        <v/>
      </c>
      <c r="Q38" s="1181">
        <f>IF(P36=0,0,P38/P36)</f>
        <v/>
      </c>
      <c r="R38" s="1182" t="inlineStr">
        <is>
          <t xml:space="preserve"> </t>
        </is>
      </c>
      <c r="S38" s="1088" t="n"/>
      <c r="T38" s="1184" t="n"/>
      <c r="AA38" s="707" t="n"/>
    </row>
    <row r="39" ht="18" customHeight="1" thickBot="1">
      <c r="B39" s="1169" t="n"/>
      <c r="C39" s="1190" t="inlineStr">
        <is>
          <t xml:space="preserve"> </t>
        </is>
      </c>
      <c r="R39" s="1191" t="n"/>
      <c r="S39" s="1088" t="n"/>
      <c r="T39" s="1188" t="n"/>
      <c r="AA39" s="707" t="n"/>
    </row>
    <row r="40" ht="18" customHeight="1" thickBot="1">
      <c r="B40" s="1299" t="inlineStr">
        <is>
          <t>Real Estate</t>
        </is>
      </c>
      <c r="C40" s="1193">
        <f>C14</f>
        <v/>
      </c>
      <c r="D40" s="1145" t="n"/>
      <c r="E40" s="1145" t="n"/>
      <c r="F40" s="1145" t="n"/>
      <c r="G40" s="1145" t="n"/>
      <c r="H40" s="1145" t="n"/>
      <c r="I40" s="1145" t="n"/>
      <c r="J40" s="1145" t="n"/>
      <c r="K40" s="1145" t="n"/>
      <c r="L40" s="1145" t="n"/>
      <c r="M40" s="1145" t="n"/>
      <c r="N40" s="1145" t="n"/>
      <c r="O40" s="1145" t="n"/>
      <c r="P40" s="1145" t="n"/>
      <c r="Q40" s="1145" t="n"/>
      <c r="R40" s="705" t="n"/>
      <c r="S40" s="1088" t="n"/>
      <c r="T40" s="1188" t="n"/>
      <c r="AA40" s="707" t="n"/>
    </row>
    <row r="41" ht="18" customHeight="1" thickBot="1">
      <c r="B41" s="1180" t="n"/>
      <c r="C41" s="325" t="inlineStr">
        <is>
          <t>Licences Sold</t>
        </is>
      </c>
      <c r="D41" s="1170" t="n">
        <v>760</v>
      </c>
      <c r="E41" s="1170" t="n">
        <v>775</v>
      </c>
      <c r="F41" s="1170" t="n">
        <v>780</v>
      </c>
      <c r="G41" s="1170" t="n">
        <v>785</v>
      </c>
      <c r="H41" s="1170" t="n">
        <v>790</v>
      </c>
      <c r="I41" s="1170" t="n">
        <v>800</v>
      </c>
      <c r="J41" s="1170" t="n">
        <v>815</v>
      </c>
      <c r="K41" s="1170" t="n">
        <v>825</v>
      </c>
      <c r="L41" s="1170" t="n">
        <v>830</v>
      </c>
      <c r="M41" s="1170" t="n">
        <v>835</v>
      </c>
      <c r="N41" s="1170" t="n">
        <v>840</v>
      </c>
      <c r="O41" s="1170" t="n">
        <v>845</v>
      </c>
      <c r="P41" s="1187">
        <f>O41</f>
        <v/>
      </c>
      <c r="Q41" s="72" t="n"/>
      <c r="R41" s="318" t="n"/>
      <c r="S41" s="928" t="n">
        <v>0.03</v>
      </c>
      <c r="T41" s="1188" t="n"/>
      <c r="AA41" s="707" t="n"/>
    </row>
    <row r="42" hidden="1" ht="18" customHeight="1">
      <c r="B42" s="1180" t="n"/>
      <c r="C42" s="911" t="n"/>
      <c r="D42" s="1173">
        <f>D41*$S$41</f>
        <v/>
      </c>
      <c r="E42" s="1173">
        <f>E41*$S$41</f>
        <v/>
      </c>
      <c r="F42" s="1173">
        <f>F41*$S$41</f>
        <v/>
      </c>
      <c r="G42" s="1173">
        <f>G41*$S$41</f>
        <v/>
      </c>
      <c r="H42" s="1173">
        <f>H41*$S$41</f>
        <v/>
      </c>
      <c r="I42" s="1173">
        <f>I41*$S$41</f>
        <v/>
      </c>
      <c r="J42" s="1173">
        <f>J41*$S$41</f>
        <v/>
      </c>
      <c r="K42" s="1173">
        <f>K41*$S$41</f>
        <v/>
      </c>
      <c r="L42" s="1173">
        <f>L41*$S$41</f>
        <v/>
      </c>
      <c r="M42" s="1173">
        <f>M41*$S$41</f>
        <v/>
      </c>
      <c r="N42" s="1173">
        <f>N41*$S$41</f>
        <v/>
      </c>
      <c r="O42" s="1173">
        <f>O41*$S$41</f>
        <v/>
      </c>
      <c r="P42" s="1174" t="n"/>
      <c r="Q42" s="909" t="n"/>
      <c r="R42" s="910" t="n"/>
      <c r="S42" s="928" t="n"/>
      <c r="T42" s="958" t="n"/>
      <c r="U42" s="959" t="n"/>
      <c r="V42" s="959" t="n"/>
      <c r="W42" s="959" t="n"/>
      <c r="X42" s="959" t="n"/>
      <c r="Y42" s="959" t="n"/>
      <c r="Z42" s="959" t="n"/>
      <c r="AA42" s="960" t="n"/>
    </row>
    <row r="43" ht="18" customHeight="1">
      <c r="B43" s="1180" t="n"/>
      <c r="C43" s="297" t="inlineStr">
        <is>
          <t>Total Sales</t>
        </is>
      </c>
      <c r="D43" s="194">
        <f>(D41-D42)*$D$14</f>
        <v/>
      </c>
      <c r="E43" s="194">
        <f>(E41-E42)*$D$14</f>
        <v/>
      </c>
      <c r="F43" s="194">
        <f>(F41-F42)*$D$14</f>
        <v/>
      </c>
      <c r="G43" s="194">
        <f>(G41-G42)*$D$14</f>
        <v/>
      </c>
      <c r="H43" s="194">
        <f>(H41-H42)*$D$14</f>
        <v/>
      </c>
      <c r="I43" s="194">
        <f>(I41-I42)*$D$14</f>
        <v/>
      </c>
      <c r="J43" s="194">
        <f>(J41-J42)*$D$14</f>
        <v/>
      </c>
      <c r="K43" s="194">
        <f>(K41-K42)*$D$14</f>
        <v/>
      </c>
      <c r="L43" s="194">
        <f>(L41-L42)*$D$14</f>
        <v/>
      </c>
      <c r="M43" s="194">
        <f>(M41-M42)*$D$14</f>
        <v/>
      </c>
      <c r="N43" s="194">
        <f>(N41-N42)*$D$14</f>
        <v/>
      </c>
      <c r="O43" s="194">
        <f>(O41-O42)*$D$14</f>
        <v/>
      </c>
      <c r="P43" s="319">
        <f>SUM(D43:O43)</f>
        <v/>
      </c>
      <c r="Q43" s="1175">
        <f>(Q44+Q45)</f>
        <v/>
      </c>
      <c r="R43" s="1176" t="inlineStr">
        <is>
          <t xml:space="preserve"> </t>
        </is>
      </c>
      <c r="S43" s="1088" t="n"/>
      <c r="T43" s="1188" t="n"/>
      <c r="AA43" s="707" t="n"/>
    </row>
    <row r="44" ht="18" customHeight="1">
      <c r="B44" s="1180" t="n"/>
      <c r="C44" s="299" t="inlineStr">
        <is>
          <t>Total COGS</t>
        </is>
      </c>
      <c r="D44" s="193">
        <f>D41*$E$14</f>
        <v/>
      </c>
      <c r="E44" s="193">
        <f>E41*$E$14</f>
        <v/>
      </c>
      <c r="F44" s="193">
        <f>F41*$E$14</f>
        <v/>
      </c>
      <c r="G44" s="193">
        <f>G41*$E$14</f>
        <v/>
      </c>
      <c r="H44" s="193">
        <f>H41*$E$14</f>
        <v/>
      </c>
      <c r="I44" s="193">
        <f>I41*$E$14</f>
        <v/>
      </c>
      <c r="J44" s="193">
        <f>J41*$E$14</f>
        <v/>
      </c>
      <c r="K44" s="193">
        <f>K41*$E$14</f>
        <v/>
      </c>
      <c r="L44" s="193">
        <f>L41*$E$14</f>
        <v/>
      </c>
      <c r="M44" s="193">
        <f>M41*$E$14</f>
        <v/>
      </c>
      <c r="N44" s="193">
        <f>N41*$E$14</f>
        <v/>
      </c>
      <c r="O44" s="273">
        <f>O41*$E$14</f>
        <v/>
      </c>
      <c r="P44" s="320">
        <f>SUM(D44:O44)</f>
        <v/>
      </c>
      <c r="Q44" s="1178">
        <f>IF(P43=0,0,P44/P43)</f>
        <v/>
      </c>
      <c r="R44" s="1179" t="inlineStr">
        <is>
          <t xml:space="preserve"> </t>
        </is>
      </c>
      <c r="S44" s="1088" t="n"/>
      <c r="T44" s="1196" t="n"/>
      <c r="AA44" s="707" t="n"/>
    </row>
    <row r="45" ht="18" customHeight="1">
      <c r="B45" s="1180" t="n"/>
      <c r="C45" s="326" t="inlineStr">
        <is>
          <t>Total Margin</t>
        </is>
      </c>
      <c r="D45" s="68">
        <f>D43-D44</f>
        <v/>
      </c>
      <c r="E45" s="68">
        <f>E43-E44</f>
        <v/>
      </c>
      <c r="F45" s="68">
        <f>F43-F44</f>
        <v/>
      </c>
      <c r="G45" s="68">
        <f>G43-G44</f>
        <v/>
      </c>
      <c r="H45" s="68">
        <f>H43-H44</f>
        <v/>
      </c>
      <c r="I45" s="68">
        <f>I43-I44</f>
        <v/>
      </c>
      <c r="J45" s="68">
        <f>J43-J44</f>
        <v/>
      </c>
      <c r="K45" s="68">
        <f>K43-K44</f>
        <v/>
      </c>
      <c r="L45" s="68">
        <f>L43-L44</f>
        <v/>
      </c>
      <c r="M45" s="68">
        <f>M43-M44</f>
        <v/>
      </c>
      <c r="N45" s="68">
        <f>N43-N44</f>
        <v/>
      </c>
      <c r="O45" s="69">
        <f>O43-O44</f>
        <v/>
      </c>
      <c r="P45" s="320">
        <f>SUM(D45:O45)</f>
        <v/>
      </c>
      <c r="Q45" s="1178">
        <f>IF(P43=0,0,P45/P43)</f>
        <v/>
      </c>
      <c r="R45" s="1179" t="inlineStr">
        <is>
          <t xml:space="preserve"> </t>
        </is>
      </c>
      <c r="S45" s="1088" t="n"/>
      <c r="T45" s="1188" t="n"/>
      <c r="AA45" s="707" t="n"/>
    </row>
    <row r="46" ht="18" customHeight="1">
      <c r="B46" s="1180" t="n"/>
      <c r="C46" s="1195" t="inlineStr">
        <is>
          <t xml:space="preserve"> </t>
        </is>
      </c>
      <c r="R46" s="707" t="n"/>
      <c r="S46" s="1088" t="n"/>
      <c r="T46" s="1188" t="n"/>
      <c r="AA46" s="707" t="n"/>
    </row>
    <row r="47" ht="18" customHeight="1" thickBot="1">
      <c r="B47" s="1180" t="n"/>
      <c r="C47" s="1197">
        <f>C15</f>
        <v/>
      </c>
      <c r="R47" s="707" t="n"/>
      <c r="S47" s="1088" t="n"/>
      <c r="T47" s="1188" t="n"/>
      <c r="AA47" s="707" t="n"/>
    </row>
    <row r="48" ht="18" customHeight="1" thickBot="1">
      <c r="B48" s="1180" t="n"/>
      <c r="C48" s="325" t="inlineStr">
        <is>
          <t>Licences Sold</t>
        </is>
      </c>
      <c r="D48" s="1170" t="n">
        <v>355</v>
      </c>
      <c r="E48" s="1170" t="n">
        <v>355</v>
      </c>
      <c r="F48" s="1170" t="n">
        <v>355</v>
      </c>
      <c r="G48" s="1170" t="n">
        <v>355</v>
      </c>
      <c r="H48" s="1170" t="n">
        <v>355</v>
      </c>
      <c r="I48" s="1170" t="n">
        <v>355</v>
      </c>
      <c r="J48" s="1170" t="n">
        <v>360</v>
      </c>
      <c r="K48" s="1170" t="n">
        <v>365</v>
      </c>
      <c r="L48" s="1170" t="n">
        <v>370</v>
      </c>
      <c r="M48" s="1170" t="n">
        <v>375</v>
      </c>
      <c r="N48" s="1170" t="n">
        <v>380</v>
      </c>
      <c r="O48" s="1170" t="n">
        <v>395</v>
      </c>
      <c r="P48" s="1187">
        <f>O48</f>
        <v/>
      </c>
      <c r="Q48" s="72" t="n"/>
      <c r="R48" s="318" t="inlineStr">
        <is>
          <t xml:space="preserve"> </t>
        </is>
      </c>
      <c r="S48" s="928" t="n">
        <v>0.03</v>
      </c>
      <c r="T48" s="1188" t="n"/>
      <c r="AA48" s="707" t="n"/>
    </row>
    <row r="49" hidden="1" ht="18" customHeight="1">
      <c r="B49" s="1180" t="n"/>
      <c r="C49" s="911" t="n"/>
      <c r="D49" s="1173">
        <f>D48*$S$48</f>
        <v/>
      </c>
      <c r="E49" s="1173">
        <f>E48*$S$48</f>
        <v/>
      </c>
      <c r="F49" s="1173">
        <f>F48*$S$48</f>
        <v/>
      </c>
      <c r="G49" s="1173">
        <f>G48*$S$48</f>
        <v/>
      </c>
      <c r="H49" s="1173">
        <f>H48*$S$48</f>
        <v/>
      </c>
      <c r="I49" s="1173">
        <f>I48*$S$48</f>
        <v/>
      </c>
      <c r="J49" s="1173">
        <f>J48*$S$48</f>
        <v/>
      </c>
      <c r="K49" s="1173">
        <f>K48*$S$48</f>
        <v/>
      </c>
      <c r="L49" s="1173">
        <f>L48*$S$48</f>
        <v/>
      </c>
      <c r="M49" s="1173">
        <f>M48*$S$48</f>
        <v/>
      </c>
      <c r="N49" s="1173">
        <f>N48*$S$48</f>
        <v/>
      </c>
      <c r="O49" s="1173">
        <f>O48*$S$48</f>
        <v/>
      </c>
      <c r="P49" s="1174" t="n"/>
      <c r="Q49" s="909" t="n"/>
      <c r="R49" s="910" t="n"/>
      <c r="S49" s="928" t="n"/>
      <c r="T49" s="958" t="n"/>
      <c r="U49" s="959" t="n"/>
      <c r="V49" s="959" t="n"/>
      <c r="W49" s="959" t="n"/>
      <c r="X49" s="959" t="n"/>
      <c r="Y49" s="959" t="n"/>
      <c r="Z49" s="959" t="n"/>
      <c r="AA49" s="960" t="n"/>
    </row>
    <row r="50" ht="18" customHeight="1">
      <c r="B50" s="1180" t="n"/>
      <c r="C50" s="297" t="inlineStr">
        <is>
          <t>Total Sales</t>
        </is>
      </c>
      <c r="D50" s="194">
        <f>(D48-D49)*$D$15</f>
        <v/>
      </c>
      <c r="E50" s="194">
        <f>(E48-E49)*$D$15</f>
        <v/>
      </c>
      <c r="F50" s="194">
        <f>(F48-F49)*$D$15</f>
        <v/>
      </c>
      <c r="G50" s="194">
        <f>(G48-G49)*$D$15</f>
        <v/>
      </c>
      <c r="H50" s="194">
        <f>(H48-H49)*$D$15</f>
        <v/>
      </c>
      <c r="I50" s="194">
        <f>(I48-I49)*$D$15</f>
        <v/>
      </c>
      <c r="J50" s="194">
        <f>(J48-J49)*$D$15</f>
        <v/>
      </c>
      <c r="K50" s="194">
        <f>(K48-K49)*$D$15</f>
        <v/>
      </c>
      <c r="L50" s="194">
        <f>(L48-L49)*$D$15</f>
        <v/>
      </c>
      <c r="M50" s="194">
        <f>(M48-M49)*$D$15</f>
        <v/>
      </c>
      <c r="N50" s="194">
        <f>(N48-N49)*$D$15</f>
        <v/>
      </c>
      <c r="O50" s="194">
        <f>(O48-O49)*$D$15</f>
        <v/>
      </c>
      <c r="P50" s="319">
        <f>SUM(D50:O50)</f>
        <v/>
      </c>
      <c r="Q50" s="1175">
        <f>(Q51+Q52)</f>
        <v/>
      </c>
      <c r="R50" s="1176" t="inlineStr">
        <is>
          <t xml:space="preserve"> </t>
        </is>
      </c>
      <c r="S50" s="1088" t="n"/>
      <c r="T50" s="1188" t="n"/>
      <c r="AA50" s="707" t="n"/>
    </row>
    <row r="51" ht="18" customHeight="1">
      <c r="B51" s="1180" t="n"/>
      <c r="C51" s="299" t="inlineStr">
        <is>
          <t>Total COGS</t>
        </is>
      </c>
      <c r="D51" s="193">
        <f>D48*$E$15</f>
        <v/>
      </c>
      <c r="E51" s="193">
        <f>E48*$E$15</f>
        <v/>
      </c>
      <c r="F51" s="193">
        <f>F48*$E$15</f>
        <v/>
      </c>
      <c r="G51" s="193">
        <f>G48*$E$15</f>
        <v/>
      </c>
      <c r="H51" s="193">
        <f>H48*$E$15</f>
        <v/>
      </c>
      <c r="I51" s="193">
        <f>I48*$E$15</f>
        <v/>
      </c>
      <c r="J51" s="193">
        <f>J48*$E$15</f>
        <v/>
      </c>
      <c r="K51" s="193">
        <f>K48*$E$15</f>
        <v/>
      </c>
      <c r="L51" s="193">
        <f>L48*$E$15</f>
        <v/>
      </c>
      <c r="M51" s="193">
        <f>M48*$E$15</f>
        <v/>
      </c>
      <c r="N51" s="193">
        <f>N48*$E$15</f>
        <v/>
      </c>
      <c r="O51" s="273">
        <f>O48*$E$15</f>
        <v/>
      </c>
      <c r="P51" s="320">
        <f>SUM(D51:O51)</f>
        <v/>
      </c>
      <c r="Q51" s="1178">
        <f>IF(P50=0,0,P51/P50)</f>
        <v/>
      </c>
      <c r="R51" s="1179" t="inlineStr">
        <is>
          <t xml:space="preserve"> </t>
        </is>
      </c>
      <c r="S51" s="1088" t="n"/>
      <c r="T51" s="1188" t="n"/>
      <c r="AA51" s="707" t="n"/>
    </row>
    <row r="52" ht="18" customHeight="1">
      <c r="B52" s="1180" t="n"/>
      <c r="C52" s="326" t="inlineStr">
        <is>
          <t>Total Margin</t>
        </is>
      </c>
      <c r="D52" s="68">
        <f>D50-D51</f>
        <v/>
      </c>
      <c r="E52" s="68">
        <f>E50-E51</f>
        <v/>
      </c>
      <c r="F52" s="68">
        <f>F50-F51</f>
        <v/>
      </c>
      <c r="G52" s="68">
        <f>G50-G51</f>
        <v/>
      </c>
      <c r="H52" s="68">
        <f>H50-H51</f>
        <v/>
      </c>
      <c r="I52" s="68">
        <f>I50-I51</f>
        <v/>
      </c>
      <c r="J52" s="68">
        <f>J50-J51</f>
        <v/>
      </c>
      <c r="K52" s="68">
        <f>K50-K51</f>
        <v/>
      </c>
      <c r="L52" s="68">
        <f>L50-L51</f>
        <v/>
      </c>
      <c r="M52" s="68">
        <f>M50-M51</f>
        <v/>
      </c>
      <c r="N52" s="68">
        <f>N50-N51</f>
        <v/>
      </c>
      <c r="O52" s="69">
        <f>O50-O51</f>
        <v/>
      </c>
      <c r="P52" s="320">
        <f>SUM(D52:O52)</f>
        <v/>
      </c>
      <c r="Q52" s="1178">
        <f>IF(P50=0,0,P52/P50)</f>
        <v/>
      </c>
      <c r="R52" s="1179" t="inlineStr">
        <is>
          <t xml:space="preserve"> </t>
        </is>
      </c>
      <c r="S52" s="1088" t="n"/>
      <c r="T52" s="1188" t="n"/>
      <c r="AA52" s="707" t="n"/>
    </row>
    <row r="53" ht="16" customHeight="1" thickBot="1">
      <c r="B53" s="712" t="n"/>
      <c r="C53" s="1203" t="inlineStr">
        <is>
          <t xml:space="preserve"> </t>
        </is>
      </c>
      <c r="D53" s="711" t="n"/>
      <c r="E53" s="711" t="n"/>
      <c r="F53" s="711" t="n"/>
      <c r="G53" s="711" t="n"/>
      <c r="H53" s="711" t="n"/>
      <c r="I53" s="711" t="n"/>
      <c r="J53" s="711" t="n"/>
      <c r="K53" s="711" t="n"/>
      <c r="L53" s="711" t="n"/>
      <c r="M53" s="711" t="n"/>
      <c r="N53" s="711" t="n"/>
      <c r="O53" s="711" t="n"/>
      <c r="P53" s="711" t="n"/>
      <c r="Q53" s="711" t="n"/>
      <c r="R53" s="1204" t="n"/>
      <c r="S53" s="1088" t="n"/>
      <c r="T53" s="1206" t="n"/>
      <c r="U53" s="711" t="n"/>
      <c r="V53" s="711" t="n"/>
      <c r="W53" s="711" t="n"/>
      <c r="X53" s="711" t="n"/>
      <c r="Y53" s="711" t="n"/>
      <c r="Z53" s="711" t="n"/>
      <c r="AA53" s="1204" t="n"/>
    </row>
    <row r="54" ht="20" customHeight="1" thickBot="1">
      <c r="B54" s="1300" t="inlineStr">
        <is>
          <t>Pharma</t>
        </is>
      </c>
      <c r="C54" s="1026">
        <f>C16</f>
        <v/>
      </c>
      <c r="R54" s="1191" t="n"/>
      <c r="S54" s="1088" t="n"/>
    </row>
    <row r="55" ht="18" customHeight="1" thickBot="1">
      <c r="B55" s="359" t="n"/>
      <c r="C55" s="116" t="inlineStr">
        <is>
          <t>Licences Sold</t>
        </is>
      </c>
      <c r="D55" s="1170" t="n">
        <v>445</v>
      </c>
      <c r="E55" s="1170" t="n">
        <v>470</v>
      </c>
      <c r="F55" s="1170" t="n">
        <v>490</v>
      </c>
      <c r="G55" s="1170" t="n">
        <v>510</v>
      </c>
      <c r="H55" s="1170" t="n">
        <v>535</v>
      </c>
      <c r="I55" s="1170" t="n">
        <v>550</v>
      </c>
      <c r="J55" s="1170" t="n">
        <v>575</v>
      </c>
      <c r="K55" s="1170" t="n">
        <v>590</v>
      </c>
      <c r="L55" s="1170" t="n">
        <v>600</v>
      </c>
      <c r="M55" s="1170" t="n">
        <v>610</v>
      </c>
      <c r="N55" s="1170" t="n">
        <v>625</v>
      </c>
      <c r="O55" s="1170" t="n">
        <v>630</v>
      </c>
      <c r="P55" s="1171">
        <f>O55</f>
        <v/>
      </c>
      <c r="Q55" s="323" t="n"/>
      <c r="R55" s="324" t="n"/>
      <c r="S55" s="928" t="n">
        <v>0.03</v>
      </c>
    </row>
    <row r="56" hidden="1" ht="18" customHeight="1">
      <c r="B56" s="359" t="n"/>
      <c r="C56" s="906" t="n"/>
      <c r="D56" s="1173">
        <f>D55*S55</f>
        <v/>
      </c>
      <c r="E56" s="1173">
        <f>E55*T55</f>
        <v/>
      </c>
      <c r="F56" s="1173">
        <f>F55*U55</f>
        <v/>
      </c>
      <c r="G56" s="1173">
        <f>G55*V55</f>
        <v/>
      </c>
      <c r="H56" s="1173">
        <f>H55*W55</f>
        <v/>
      </c>
      <c r="I56" s="1173">
        <f>I55*X55</f>
        <v/>
      </c>
      <c r="J56" s="1173">
        <f>J55*Y55</f>
        <v/>
      </c>
      <c r="K56" s="1173">
        <f>K55*Z55</f>
        <v/>
      </c>
      <c r="L56" s="1173">
        <f>L55*AA55</f>
        <v/>
      </c>
      <c r="M56" s="1173">
        <f>M55*AB55</f>
        <v/>
      </c>
      <c r="N56" s="1173">
        <f>N55*AC55</f>
        <v/>
      </c>
      <c r="O56" s="1173">
        <f>O55*AD55</f>
        <v/>
      </c>
      <c r="P56" s="1174" t="n"/>
      <c r="Q56" s="909" t="n"/>
      <c r="R56" s="910" t="n"/>
      <c r="S56" s="928" t="n"/>
    </row>
    <row r="57" ht="18" customHeight="1">
      <c r="B57" s="359" t="n"/>
      <c r="C57" s="117" t="inlineStr">
        <is>
          <t>Total Sales</t>
        </is>
      </c>
      <c r="D57" s="194">
        <f>(D55-D56)*$D$16</f>
        <v/>
      </c>
      <c r="E57" s="194">
        <f>(E55-E56)*$D$16</f>
        <v/>
      </c>
      <c r="F57" s="194">
        <f>(F55-F56)*$D$16</f>
        <v/>
      </c>
      <c r="G57" s="194">
        <f>(G55-G56)*$D$16</f>
        <v/>
      </c>
      <c r="H57" s="194">
        <f>(H55-H56)*$D$16</f>
        <v/>
      </c>
      <c r="I57" s="194">
        <f>(I55-I56)*$D$16</f>
        <v/>
      </c>
      <c r="J57" s="194">
        <f>(J55-J56)*$D$16</f>
        <v/>
      </c>
      <c r="K57" s="194">
        <f>(K55-K56)*$D$16</f>
        <v/>
      </c>
      <c r="L57" s="194">
        <f>(L55-L56)*$D$16</f>
        <v/>
      </c>
      <c r="M57" s="194">
        <f>(M55-M56)*$D$16</f>
        <v/>
      </c>
      <c r="N57" s="194">
        <f>(N55-N56)*$D$16</f>
        <v/>
      </c>
      <c r="O57" s="194">
        <f>(O55-O56)*$D$16</f>
        <v/>
      </c>
      <c r="P57" s="319">
        <f>SUM(D57:O57)</f>
        <v/>
      </c>
      <c r="Q57" s="1175">
        <f>(Q58+Q59)</f>
        <v/>
      </c>
      <c r="R57" s="1176" t="inlineStr">
        <is>
          <t xml:space="preserve"> </t>
        </is>
      </c>
      <c r="S57" s="1088" t="n"/>
    </row>
    <row r="58" ht="20" customHeight="1">
      <c r="B58" s="359" t="n"/>
      <c r="C58" s="118" t="inlineStr">
        <is>
          <t>Total COGS</t>
        </is>
      </c>
      <c r="D58" s="193">
        <f>D55*$E$16</f>
        <v/>
      </c>
      <c r="E58" s="193">
        <f>E55*$E$16</f>
        <v/>
      </c>
      <c r="F58" s="193">
        <f>F55*$E$16</f>
        <v/>
      </c>
      <c r="G58" s="193">
        <f>G55*$E$16</f>
        <v/>
      </c>
      <c r="H58" s="193">
        <f>H55*$E$16</f>
        <v/>
      </c>
      <c r="I58" s="193">
        <f>I55*$E$16</f>
        <v/>
      </c>
      <c r="J58" s="193">
        <f>J55*$E$16</f>
        <v/>
      </c>
      <c r="K58" s="193">
        <f>K55*$E$16</f>
        <v/>
      </c>
      <c r="L58" s="193">
        <f>L55*$E$16</f>
        <v/>
      </c>
      <c r="M58" s="193">
        <f>M55*$E$16</f>
        <v/>
      </c>
      <c r="N58" s="193">
        <f>N55*$E$16</f>
        <v/>
      </c>
      <c r="O58" s="273">
        <f>O55*$E$16</f>
        <v/>
      </c>
      <c r="P58" s="320">
        <f>SUM(D58:O58)</f>
        <v/>
      </c>
      <c r="Q58" s="1178">
        <f>IF(P57=0,0,P58/P57)</f>
        <v/>
      </c>
      <c r="R58" s="1179" t="inlineStr">
        <is>
          <t xml:space="preserve"> </t>
        </is>
      </c>
      <c r="S58" s="1088" t="n"/>
    </row>
    <row r="59" ht="18" customHeight="1" thickBot="1">
      <c r="B59" s="359" t="n"/>
      <c r="C59" s="119" t="inlineStr">
        <is>
          <t>Total Margin</t>
        </is>
      </c>
      <c r="D59" s="68">
        <f>D57-D58</f>
        <v/>
      </c>
      <c r="E59" s="68">
        <f>E57-E58</f>
        <v/>
      </c>
      <c r="F59" s="68">
        <f>F57-F58</f>
        <v/>
      </c>
      <c r="G59" s="68">
        <f>G57-G58</f>
        <v/>
      </c>
      <c r="H59" s="68">
        <f>H57-H58</f>
        <v/>
      </c>
      <c r="I59" s="68">
        <f>I57-I58</f>
        <v/>
      </c>
      <c r="J59" s="68">
        <f>J57-J58</f>
        <v/>
      </c>
      <c r="K59" s="68">
        <f>K57-K58</f>
        <v/>
      </c>
      <c r="L59" s="68">
        <f>L57-L58</f>
        <v/>
      </c>
      <c r="M59" s="68">
        <f>M57-M58</f>
        <v/>
      </c>
      <c r="N59" s="68">
        <f>N57-N58</f>
        <v/>
      </c>
      <c r="O59" s="69">
        <f>O57-O58</f>
        <v/>
      </c>
      <c r="P59" s="321">
        <f>SUM(D59:O59)</f>
        <v/>
      </c>
      <c r="Q59" s="1181">
        <f>IF(P57=0,0,P59/P57)</f>
        <v/>
      </c>
      <c r="R59" s="1182" t="inlineStr">
        <is>
          <t xml:space="preserve"> </t>
        </is>
      </c>
      <c r="S59" s="1088" t="n"/>
    </row>
    <row r="60" ht="18" customHeight="1">
      <c r="B60" s="359" t="n"/>
      <c r="C60" s="1028" t="n"/>
      <c r="R60" s="1191" t="n"/>
      <c r="S60" s="1088" t="n"/>
    </row>
    <row r="61" ht="18" customHeight="1" thickBot="1">
      <c r="B61" s="359" t="n"/>
      <c r="C61" s="1008">
        <f>C17</f>
        <v/>
      </c>
      <c r="R61" s="707" t="n"/>
      <c r="S61" s="1088" t="n"/>
    </row>
    <row r="62" ht="18" customHeight="1" thickBot="1">
      <c r="B62" s="359" t="n"/>
      <c r="C62" s="116" t="inlineStr">
        <is>
          <t>Licences Sold</t>
        </is>
      </c>
      <c r="D62" s="1170" t="n">
        <v>110</v>
      </c>
      <c r="E62" s="1170" t="n">
        <v>115</v>
      </c>
      <c r="F62" s="1170" t="n">
        <v>120</v>
      </c>
      <c r="G62" s="1170" t="n">
        <v>125</v>
      </c>
      <c r="H62" s="1170" t="n">
        <v>130</v>
      </c>
      <c r="I62" s="1170" t="n">
        <v>135</v>
      </c>
      <c r="J62" s="1170" t="n">
        <v>145</v>
      </c>
      <c r="K62" s="1170" t="n">
        <v>150</v>
      </c>
      <c r="L62" s="1170" t="n">
        <v>155</v>
      </c>
      <c r="M62" s="1170" t="n">
        <v>165</v>
      </c>
      <c r="N62" s="1170" t="n">
        <v>175</v>
      </c>
      <c r="O62" s="1170" t="n">
        <v>175</v>
      </c>
      <c r="P62" s="1187">
        <f>O62</f>
        <v/>
      </c>
      <c r="Q62" s="72" t="n"/>
      <c r="R62" s="318" t="n"/>
      <c r="S62" s="928" t="n">
        <v>0.03</v>
      </c>
    </row>
    <row r="63" hidden="1" ht="18" customHeight="1">
      <c r="B63" s="359" t="n"/>
      <c r="C63" s="906" t="n"/>
      <c r="D63" s="1173">
        <f>D62*$S$62</f>
        <v/>
      </c>
      <c r="E63" s="1173">
        <f>E62*$S$62</f>
        <v/>
      </c>
      <c r="F63" s="1173">
        <f>F62*$S$62</f>
        <v/>
      </c>
      <c r="G63" s="1173">
        <f>G62*$S$62</f>
        <v/>
      </c>
      <c r="H63" s="1173">
        <f>H62*$S$62</f>
        <v/>
      </c>
      <c r="I63" s="1173">
        <f>I62*$S$62</f>
        <v/>
      </c>
      <c r="J63" s="1173">
        <f>J62*$S$62</f>
        <v/>
      </c>
      <c r="K63" s="1173">
        <f>K62*$S$62</f>
        <v/>
      </c>
      <c r="L63" s="1173">
        <f>L62*$S$62</f>
        <v/>
      </c>
      <c r="M63" s="1173">
        <f>M62*$S$62</f>
        <v/>
      </c>
      <c r="N63" s="1173">
        <f>N62*$S$62</f>
        <v/>
      </c>
      <c r="O63" s="1173">
        <f>O62*$S$62</f>
        <v/>
      </c>
      <c r="P63" s="1174" t="n"/>
      <c r="Q63" s="909" t="n"/>
      <c r="R63" s="910" t="n"/>
      <c r="S63" s="928" t="n"/>
    </row>
    <row r="64" ht="18" customHeight="1">
      <c r="B64" s="359" t="n"/>
      <c r="C64" s="117" t="inlineStr">
        <is>
          <t>Total Sales</t>
        </is>
      </c>
      <c r="D64" s="194">
        <f>(D62-D63)*$D$17</f>
        <v/>
      </c>
      <c r="E64" s="194">
        <f>(E62-E63)*$D$17</f>
        <v/>
      </c>
      <c r="F64" s="194">
        <f>(F62-F63)*$D$17</f>
        <v/>
      </c>
      <c r="G64" s="194">
        <f>(G62-G63)*$D$17</f>
        <v/>
      </c>
      <c r="H64" s="194">
        <f>(H62-H63)*$D$17</f>
        <v/>
      </c>
      <c r="I64" s="194">
        <f>(I62-I63)*$D$17</f>
        <v/>
      </c>
      <c r="J64" s="194">
        <f>(J62-J63)*$D$17</f>
        <v/>
      </c>
      <c r="K64" s="194">
        <f>(K62-K63)*$D$17</f>
        <v/>
      </c>
      <c r="L64" s="194">
        <f>(L62-L63)*$D$17</f>
        <v/>
      </c>
      <c r="M64" s="194">
        <f>(M62-M63)*$D$17</f>
        <v/>
      </c>
      <c r="N64" s="194">
        <f>(N62-N63)*$D$17</f>
        <v/>
      </c>
      <c r="O64" s="194">
        <f>(O62-O63)*$D$17</f>
        <v/>
      </c>
      <c r="P64" s="319">
        <f>SUM(D64:O64)</f>
        <v/>
      </c>
      <c r="Q64" s="1175">
        <f>(Q65+Q66)</f>
        <v/>
      </c>
      <c r="R64" s="1176" t="inlineStr">
        <is>
          <t xml:space="preserve"> </t>
        </is>
      </c>
      <c r="S64" s="1088" t="n"/>
    </row>
    <row r="65" ht="18" customHeight="1">
      <c r="B65" s="359" t="n"/>
      <c r="C65" s="118" t="inlineStr">
        <is>
          <t>Total COGS</t>
        </is>
      </c>
      <c r="D65" s="193">
        <f>D62*$E$17</f>
        <v/>
      </c>
      <c r="E65" s="193">
        <f>E62*$E$17</f>
        <v/>
      </c>
      <c r="F65" s="193">
        <f>F62*$E$17</f>
        <v/>
      </c>
      <c r="G65" s="193">
        <f>G62*$E$17</f>
        <v/>
      </c>
      <c r="H65" s="193">
        <f>H62*$E$17</f>
        <v/>
      </c>
      <c r="I65" s="193">
        <f>I62*$E$17</f>
        <v/>
      </c>
      <c r="J65" s="193">
        <f>J62*$E$17</f>
        <v/>
      </c>
      <c r="K65" s="193">
        <f>K62*$E$17</f>
        <v/>
      </c>
      <c r="L65" s="193">
        <f>L62*$E$17</f>
        <v/>
      </c>
      <c r="M65" s="193">
        <f>M62*$E$17</f>
        <v/>
      </c>
      <c r="N65" s="193">
        <f>N62*$E$17</f>
        <v/>
      </c>
      <c r="O65" s="273">
        <f>O62*$E$17</f>
        <v/>
      </c>
      <c r="P65" s="320">
        <f>SUM(D65:O65)</f>
        <v/>
      </c>
      <c r="Q65" s="1178">
        <f>IF(P64=0,0,P65/P64)</f>
        <v/>
      </c>
      <c r="R65" s="1179" t="inlineStr">
        <is>
          <t xml:space="preserve"> </t>
        </is>
      </c>
      <c r="S65" s="1088" t="n"/>
    </row>
    <row r="66" ht="18" customHeight="1" thickBot="1">
      <c r="B66" s="359" t="n"/>
      <c r="C66" s="119" t="inlineStr">
        <is>
          <t>Total Margin</t>
        </is>
      </c>
      <c r="D66" s="68">
        <f>D64-D65</f>
        <v/>
      </c>
      <c r="E66" s="68">
        <f>E64-E65</f>
        <v/>
      </c>
      <c r="F66" s="68">
        <f>F64-F65</f>
        <v/>
      </c>
      <c r="G66" s="68">
        <f>G64-G65</f>
        <v/>
      </c>
      <c r="H66" s="68">
        <f>H64-H65</f>
        <v/>
      </c>
      <c r="I66" s="68">
        <f>I64-I65</f>
        <v/>
      </c>
      <c r="J66" s="68">
        <f>J64-J65</f>
        <v/>
      </c>
      <c r="K66" s="68">
        <f>K64-K65</f>
        <v/>
      </c>
      <c r="L66" s="68">
        <f>L64-L65</f>
        <v/>
      </c>
      <c r="M66" s="68">
        <f>M64-M65</f>
        <v/>
      </c>
      <c r="N66" s="68">
        <f>N64-N65</f>
        <v/>
      </c>
      <c r="O66" s="69">
        <f>O64-O65</f>
        <v/>
      </c>
      <c r="P66" s="321">
        <f>SUM(D66:O66)</f>
        <v/>
      </c>
      <c r="Q66" s="1181">
        <f>IF(P64=0,0,P66/P64)</f>
        <v/>
      </c>
      <c r="R66" s="1182" t="inlineStr">
        <is>
          <t xml:space="preserve"> </t>
        </is>
      </c>
      <c r="S66" s="1088" t="n"/>
    </row>
    <row r="67" ht="18" customHeight="1" thickBot="1">
      <c r="B67" s="1114" t="n"/>
      <c r="C67" s="101" t="n"/>
      <c r="D67" s="340" t="n"/>
      <c r="E67" s="340" t="n"/>
      <c r="F67" s="340" t="n"/>
      <c r="G67" s="340" t="n"/>
      <c r="H67" s="340" t="n"/>
      <c r="I67" s="340" t="n"/>
      <c r="J67" s="340" t="n"/>
      <c r="K67" s="340" t="n"/>
      <c r="L67" s="340" t="n"/>
      <c r="M67" s="340" t="n"/>
      <c r="N67" s="340" t="n"/>
      <c r="O67" s="340" t="n"/>
      <c r="P67" s="103" t="n"/>
      <c r="Q67" s="1208" t="n"/>
      <c r="R67" s="1209" t="inlineStr">
        <is>
          <t xml:space="preserve"> </t>
        </is>
      </c>
      <c r="S67" s="1088" t="n"/>
    </row>
    <row r="68" ht="18" customHeight="1" thickBot="1">
      <c r="B68" s="1300" t="inlineStr">
        <is>
          <t>Startups</t>
        </is>
      </c>
      <c r="C68" s="1193">
        <f>C18</f>
        <v/>
      </c>
      <c r="D68" s="1145" t="n"/>
      <c r="E68" s="1145" t="n"/>
      <c r="F68" s="1145" t="n"/>
      <c r="G68" s="1145" t="n"/>
      <c r="H68" s="1145" t="n"/>
      <c r="I68" s="1145" t="n"/>
      <c r="J68" s="1145" t="n"/>
      <c r="K68" s="1145" t="n"/>
      <c r="L68" s="1145" t="n"/>
      <c r="M68" s="1145" t="n"/>
      <c r="N68" s="1145" t="n"/>
      <c r="O68" s="1145" t="n"/>
      <c r="P68" s="1145" t="n"/>
      <c r="Q68" s="1145" t="n"/>
      <c r="R68" s="705" t="n"/>
      <c r="S68" s="1088" t="n"/>
    </row>
    <row r="69" ht="18" customHeight="1" thickBot="1">
      <c r="B69" s="359" t="n"/>
      <c r="C69" s="325" t="inlineStr">
        <is>
          <t>Licences Sold</t>
        </is>
      </c>
      <c r="D69" s="1170" t="n">
        <v>500</v>
      </c>
      <c r="E69" s="1170" t="n">
        <v>525</v>
      </c>
      <c r="F69" s="1170" t="n">
        <v>560</v>
      </c>
      <c r="G69" s="1170" t="n">
        <v>590</v>
      </c>
      <c r="H69" s="1170" t="n">
        <v>610</v>
      </c>
      <c r="I69" s="1170" t="n">
        <v>625</v>
      </c>
      <c r="J69" s="1170" t="n">
        <v>635</v>
      </c>
      <c r="K69" s="1170" t="n">
        <v>665</v>
      </c>
      <c r="L69" s="1170" t="n">
        <v>700</v>
      </c>
      <c r="M69" s="1170" t="n">
        <v>710</v>
      </c>
      <c r="N69" s="1170" t="n">
        <v>725</v>
      </c>
      <c r="O69" s="1170" t="n">
        <v>750</v>
      </c>
      <c r="P69" s="1187">
        <f>O69</f>
        <v/>
      </c>
      <c r="Q69" s="72" t="n"/>
      <c r="R69" s="318" t="n"/>
      <c r="S69" s="928" t="n">
        <v>0.05</v>
      </c>
    </row>
    <row r="70" hidden="1" ht="18" customHeight="1">
      <c r="B70" s="359" t="n"/>
      <c r="C70" s="911" t="n"/>
      <c r="D70" s="1173">
        <f>D69*$S$69</f>
        <v/>
      </c>
      <c r="E70" s="1173">
        <f>E69*$S$69</f>
        <v/>
      </c>
      <c r="F70" s="1173">
        <f>F69*$S$69</f>
        <v/>
      </c>
      <c r="G70" s="1173">
        <f>G69*$S$69</f>
        <v/>
      </c>
      <c r="H70" s="1173">
        <f>H69*$S$69</f>
        <v/>
      </c>
      <c r="I70" s="1173">
        <f>I69*$S$69</f>
        <v/>
      </c>
      <c r="J70" s="1173">
        <f>J69*$S$69</f>
        <v/>
      </c>
      <c r="K70" s="1173">
        <f>K69*$S$69</f>
        <v/>
      </c>
      <c r="L70" s="1173">
        <f>L69*$S$69</f>
        <v/>
      </c>
      <c r="M70" s="1173">
        <f>M69*$S$69</f>
        <v/>
      </c>
      <c r="N70" s="1173">
        <f>N69*$S$69</f>
        <v/>
      </c>
      <c r="O70" s="1173">
        <f>O69*$S$69</f>
        <v/>
      </c>
      <c r="P70" s="1174" t="n"/>
      <c r="Q70" s="909" t="n"/>
      <c r="R70" s="910" t="n"/>
      <c r="S70" s="928" t="n"/>
    </row>
    <row r="71" ht="18" customHeight="1">
      <c r="B71" s="359" t="n"/>
      <c r="C71" s="297" t="inlineStr">
        <is>
          <t>Total Sales</t>
        </is>
      </c>
      <c r="D71" s="194">
        <f>(D69-D70)*$D$18</f>
        <v/>
      </c>
      <c r="E71" s="194">
        <f>(E69-E70)*$D$18</f>
        <v/>
      </c>
      <c r="F71" s="194">
        <f>(F69-F70)*$D$18</f>
        <v/>
      </c>
      <c r="G71" s="194">
        <f>(G69-G70)*$D$18</f>
        <v/>
      </c>
      <c r="H71" s="194">
        <f>(H69-H70)*$D$18</f>
        <v/>
      </c>
      <c r="I71" s="194">
        <f>(I69-I70)*$D$18</f>
        <v/>
      </c>
      <c r="J71" s="194">
        <f>(J69-J70)*$D$18</f>
        <v/>
      </c>
      <c r="K71" s="194">
        <f>(K69-K70)*$D$18</f>
        <v/>
      </c>
      <c r="L71" s="194">
        <f>(L69-L70)*$D$18</f>
        <v/>
      </c>
      <c r="M71" s="194">
        <f>(M69-M70)*$D$18</f>
        <v/>
      </c>
      <c r="N71" s="194">
        <f>(N69-N70)*$D$18</f>
        <v/>
      </c>
      <c r="O71" s="194">
        <f>(O69-O70)*$D$18</f>
        <v/>
      </c>
      <c r="P71" s="319">
        <f>SUM(D71:O71)</f>
        <v/>
      </c>
      <c r="Q71" s="1175">
        <f>(Q72+Q73)</f>
        <v/>
      </c>
      <c r="R71" s="1176" t="inlineStr">
        <is>
          <t xml:space="preserve"> </t>
        </is>
      </c>
      <c r="S71" s="1088" t="n"/>
    </row>
    <row r="72" ht="20" customHeight="1">
      <c r="B72" s="359" t="n"/>
      <c r="C72" s="299" t="inlineStr">
        <is>
          <t>Total COGS</t>
        </is>
      </c>
      <c r="D72" s="193">
        <f>D69*$E$18</f>
        <v/>
      </c>
      <c r="E72" s="193">
        <f>E69*$E$18</f>
        <v/>
      </c>
      <c r="F72" s="193">
        <f>F69*$E$18</f>
        <v/>
      </c>
      <c r="G72" s="193">
        <f>G69*$E$18</f>
        <v/>
      </c>
      <c r="H72" s="193">
        <f>H69*$E$18</f>
        <v/>
      </c>
      <c r="I72" s="193">
        <f>I69*$E$18</f>
        <v/>
      </c>
      <c r="J72" s="193">
        <f>J69*$E$18</f>
        <v/>
      </c>
      <c r="K72" s="193">
        <f>K69*$E$18</f>
        <v/>
      </c>
      <c r="L72" s="193">
        <f>L69*$E$18</f>
        <v/>
      </c>
      <c r="M72" s="193">
        <f>M69*$E$18</f>
        <v/>
      </c>
      <c r="N72" s="193">
        <f>N69*$E$18</f>
        <v/>
      </c>
      <c r="O72" s="273">
        <f>O69*$E$18</f>
        <v/>
      </c>
      <c r="P72" s="320">
        <f>SUM(D72:O72)</f>
        <v/>
      </c>
      <c r="Q72" s="1178">
        <f>IF(P71=0,0,P72/P71)</f>
        <v/>
      </c>
      <c r="R72" s="1179" t="inlineStr">
        <is>
          <t xml:space="preserve"> </t>
        </is>
      </c>
      <c r="S72" s="1088" t="n"/>
    </row>
    <row r="73" ht="18" customHeight="1" thickBot="1">
      <c r="B73" s="359" t="n"/>
      <c r="C73" s="326" t="inlineStr">
        <is>
          <t>Total Margin</t>
        </is>
      </c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9">
        <f>O71-O72</f>
        <v/>
      </c>
      <c r="P73" s="321">
        <f>SUM(D73:O73)</f>
        <v/>
      </c>
      <c r="Q73" s="1181">
        <f>IF(P71=0,0,P73/P71)</f>
        <v/>
      </c>
      <c r="R73" s="1182" t="inlineStr">
        <is>
          <t xml:space="preserve"> </t>
        </is>
      </c>
      <c r="S73" s="1088" t="n"/>
    </row>
    <row r="74" ht="18" customHeight="1">
      <c r="B74" s="359" t="n"/>
      <c r="C74" s="1211" t="n"/>
      <c r="R74" s="707" t="n"/>
      <c r="S74" s="1088" t="n"/>
    </row>
    <row r="75" ht="18" customHeight="1" thickBot="1">
      <c r="B75" s="359" t="n"/>
      <c r="C75" s="1197">
        <f>C19</f>
        <v/>
      </c>
      <c r="R75" s="707" t="n"/>
      <c r="S75" s="1088" t="n"/>
    </row>
    <row r="76" ht="18" customHeight="1" thickBot="1">
      <c r="B76" s="359" t="n"/>
      <c r="C76" s="325" t="inlineStr">
        <is>
          <t>Licences Sold</t>
        </is>
      </c>
      <c r="D76" s="1170" t="n">
        <v>0</v>
      </c>
      <c r="E76" s="1170" t="n">
        <v>0</v>
      </c>
      <c r="F76" s="1170" t="n">
        <v>0</v>
      </c>
      <c r="G76" s="1170" t="n">
        <v>0</v>
      </c>
      <c r="H76" s="1170" t="n">
        <v>0</v>
      </c>
      <c r="I76" s="1170" t="n">
        <v>0</v>
      </c>
      <c r="J76" s="1170" t="n">
        <v>0</v>
      </c>
      <c r="K76" s="1170" t="n">
        <v>0</v>
      </c>
      <c r="L76" s="1170" t="n">
        <v>0</v>
      </c>
      <c r="M76" s="1170" t="n">
        <v>0</v>
      </c>
      <c r="N76" s="1170" t="n">
        <v>0</v>
      </c>
      <c r="O76" s="1170" t="n">
        <v>0</v>
      </c>
      <c r="P76" s="1187">
        <f>O76</f>
        <v/>
      </c>
      <c r="Q76" s="72" t="n"/>
      <c r="R76" s="318" t="n"/>
      <c r="S76" s="928" t="n">
        <v>0.05</v>
      </c>
    </row>
    <row r="77" hidden="1" ht="18" customHeight="1">
      <c r="B77" s="359" t="n"/>
      <c r="C77" s="911" t="n"/>
      <c r="D77" s="1173">
        <f>D76*$S$76</f>
        <v/>
      </c>
      <c r="E77" s="1173">
        <f>E76*$S$76</f>
        <v/>
      </c>
      <c r="F77" s="1173">
        <f>F76*$S$76</f>
        <v/>
      </c>
      <c r="G77" s="1173">
        <f>G76*$S$76</f>
        <v/>
      </c>
      <c r="H77" s="1173">
        <f>H76*$S$76</f>
        <v/>
      </c>
      <c r="I77" s="1173">
        <f>I76*$S$76</f>
        <v/>
      </c>
      <c r="J77" s="1173">
        <f>J76*$S$76</f>
        <v/>
      </c>
      <c r="K77" s="1173">
        <f>K76*$S$76</f>
        <v/>
      </c>
      <c r="L77" s="1173">
        <f>L76*$S$76</f>
        <v/>
      </c>
      <c r="M77" s="1173">
        <f>M76*$S$76</f>
        <v/>
      </c>
      <c r="N77" s="1173">
        <f>N76*$S$76</f>
        <v/>
      </c>
      <c r="O77" s="1173">
        <f>O76*$S$76</f>
        <v/>
      </c>
      <c r="P77" s="1174" t="n"/>
      <c r="Q77" s="909" t="n"/>
      <c r="R77" s="910" t="n"/>
      <c r="S77" s="928" t="n"/>
    </row>
    <row r="78" ht="18" customHeight="1">
      <c r="B78" s="359" t="n"/>
      <c r="C78" s="297" t="inlineStr">
        <is>
          <t>Total Sales</t>
        </is>
      </c>
      <c r="D78" s="194">
        <f>(D76-D77)*$D$19</f>
        <v/>
      </c>
      <c r="E78" s="194">
        <f>(E76-E77)*$D$19</f>
        <v/>
      </c>
      <c r="F78" s="194">
        <f>(F76-F77)*$D$19</f>
        <v/>
      </c>
      <c r="G78" s="194">
        <f>(G76-G77)*$D$19</f>
        <v/>
      </c>
      <c r="H78" s="194">
        <f>(H76-H77)*$D$19</f>
        <v/>
      </c>
      <c r="I78" s="194">
        <f>(I76-I77)*$D$19</f>
        <v/>
      </c>
      <c r="J78" s="194">
        <f>(J76-J77)*$D$19</f>
        <v/>
      </c>
      <c r="K78" s="194">
        <f>(K76-K77)*$D$19</f>
        <v/>
      </c>
      <c r="L78" s="194">
        <f>(L76-L77)*$D$19</f>
        <v/>
      </c>
      <c r="M78" s="194">
        <f>(M76-M77)*$D$19</f>
        <v/>
      </c>
      <c r="N78" s="194">
        <f>(N76-N77)*$D$19</f>
        <v/>
      </c>
      <c r="O78" s="194">
        <f>(O76-O77)*$D$19</f>
        <v/>
      </c>
      <c r="P78" s="319">
        <f>SUM(D78:O78)</f>
        <v/>
      </c>
      <c r="Q78" s="1175">
        <f>(Q79+Q80)</f>
        <v/>
      </c>
      <c r="R78" s="1176" t="inlineStr">
        <is>
          <t xml:space="preserve"> </t>
        </is>
      </c>
      <c r="S78" s="1088" t="n"/>
    </row>
    <row r="79" ht="18" customHeight="1">
      <c r="B79" s="359" t="n"/>
      <c r="C79" s="299" t="inlineStr">
        <is>
          <t>Total COGS</t>
        </is>
      </c>
      <c r="D79" s="193">
        <f>D76*$E$19</f>
        <v/>
      </c>
      <c r="E79" s="193">
        <f>E76*$E$19</f>
        <v/>
      </c>
      <c r="F79" s="193">
        <f>F76*$E$19</f>
        <v/>
      </c>
      <c r="G79" s="193">
        <f>G76*$E$19</f>
        <v/>
      </c>
      <c r="H79" s="193">
        <f>H76*$E$19</f>
        <v/>
      </c>
      <c r="I79" s="193">
        <f>I76*$E$19</f>
        <v/>
      </c>
      <c r="J79" s="193">
        <f>J76*$E$19</f>
        <v/>
      </c>
      <c r="K79" s="193">
        <f>K76*$E$19</f>
        <v/>
      </c>
      <c r="L79" s="193">
        <f>L76*$E$19</f>
        <v/>
      </c>
      <c r="M79" s="193">
        <f>M76*$E$19</f>
        <v/>
      </c>
      <c r="N79" s="193">
        <f>N76*$E$19</f>
        <v/>
      </c>
      <c r="O79" s="273">
        <f>O76*$E$19</f>
        <v/>
      </c>
      <c r="P79" s="320">
        <f>SUM(D79:O79)</f>
        <v/>
      </c>
      <c r="Q79" s="1178">
        <f>IF(P78=0,0,P79/P78)</f>
        <v/>
      </c>
      <c r="R79" s="1179" t="inlineStr">
        <is>
          <t xml:space="preserve"> </t>
        </is>
      </c>
    </row>
    <row r="80" ht="18" customHeight="1" thickBot="1">
      <c r="B80" s="1114" t="n"/>
      <c r="C80" s="301" t="inlineStr">
        <is>
          <t>Total Margin</t>
        </is>
      </c>
      <c r="D80" s="308">
        <f>D78-D79</f>
        <v/>
      </c>
      <c r="E80" s="308">
        <f>E78-E79</f>
        <v/>
      </c>
      <c r="F80" s="308">
        <f>F78-F79</f>
        <v/>
      </c>
      <c r="G80" s="308">
        <f>G78-G79</f>
        <v/>
      </c>
      <c r="H80" s="308">
        <f>H78-H79</f>
        <v/>
      </c>
      <c r="I80" s="308">
        <f>I78-I79</f>
        <v/>
      </c>
      <c r="J80" s="308">
        <f>J78-J79</f>
        <v/>
      </c>
      <c r="K80" s="308">
        <f>K78-K79</f>
        <v/>
      </c>
      <c r="L80" s="308">
        <f>L78-L79</f>
        <v/>
      </c>
      <c r="M80" s="308">
        <f>M78-M79</f>
        <v/>
      </c>
      <c r="N80" s="308">
        <f>N78-N79</f>
        <v/>
      </c>
      <c r="O80" s="532">
        <f>O78-O79</f>
        <v/>
      </c>
      <c r="P80" s="321">
        <f>SUM(D80:O80)</f>
        <v/>
      </c>
      <c r="Q80" s="1181">
        <f>IF(P78=0,0,P80/P78)</f>
        <v/>
      </c>
      <c r="R80" s="1182" t="inlineStr">
        <is>
          <t xml:space="preserve"> </t>
        </is>
      </c>
    </row>
    <row r="81" ht="18" customHeight="1">
      <c r="B81" s="1018" t="inlineStr">
        <is>
          <t xml:space="preserve"> </t>
        </is>
      </c>
    </row>
    <row r="82" ht="18" customHeight="1" thickBot="1">
      <c r="B82" s="129" t="n"/>
      <c r="C82" s="207" t="n"/>
      <c r="D82" s="207" t="n"/>
      <c r="E82" s="207" t="n"/>
      <c r="F82" s="207" t="n"/>
      <c r="G82" s="207" t="inlineStr">
        <is>
          <t xml:space="preserve"> </t>
        </is>
      </c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</row>
    <row r="83" ht="18" customHeight="1" thickBot="1">
      <c r="B83" s="1300" t="inlineStr">
        <is>
          <t>Consultancy / Training</t>
        </is>
      </c>
      <c r="C83" s="1008">
        <f>C21</f>
        <v/>
      </c>
      <c r="R83" s="707" t="n"/>
    </row>
    <row r="84" ht="18" customHeight="1" thickBot="1">
      <c r="B84" s="359" t="n"/>
      <c r="C84" s="116" t="inlineStr">
        <is>
          <t>Access Sold</t>
        </is>
      </c>
      <c r="D84" s="1170">
        <f>D175*0.35</f>
        <v/>
      </c>
      <c r="E84" s="1170">
        <f>E175*0.35</f>
        <v/>
      </c>
      <c r="F84" s="1170">
        <f>F175*0.35</f>
        <v/>
      </c>
      <c r="G84" s="1170">
        <f>G175*0.35</f>
        <v/>
      </c>
      <c r="H84" s="1170">
        <f>H175*0.35</f>
        <v/>
      </c>
      <c r="I84" s="1170">
        <f>I175*0.35</f>
        <v/>
      </c>
      <c r="J84" s="1170">
        <f>J175*0.35</f>
        <v/>
      </c>
      <c r="K84" s="1170">
        <f>K175*0.35</f>
        <v/>
      </c>
      <c r="L84" s="1170">
        <f>L175*0.35</f>
        <v/>
      </c>
      <c r="M84" s="1170">
        <f>M175*0.35</f>
        <v/>
      </c>
      <c r="N84" s="1170">
        <f>N175*0.35</f>
        <v/>
      </c>
      <c r="O84" s="1170">
        <f>O175*0.35</f>
        <v/>
      </c>
      <c r="P84" s="322" t="n"/>
      <c r="Q84" s="323" t="n"/>
      <c r="R84" s="324" t="n"/>
    </row>
    <row r="85" ht="18" customHeight="1">
      <c r="B85" s="359" t="n"/>
      <c r="C85" s="117" t="inlineStr">
        <is>
          <t>Total Sales</t>
        </is>
      </c>
      <c r="D85" s="194">
        <f>D84*$D$21</f>
        <v/>
      </c>
      <c r="E85" s="194">
        <f>E84*$D$21</f>
        <v/>
      </c>
      <c r="F85" s="194">
        <f>F84*$D$21</f>
        <v/>
      </c>
      <c r="G85" s="194">
        <f>G84*$D$21</f>
        <v/>
      </c>
      <c r="H85" s="194">
        <f>H84*$D$21</f>
        <v/>
      </c>
      <c r="I85" s="194">
        <f>I84*$D$21</f>
        <v/>
      </c>
      <c r="J85" s="194">
        <f>J84*$D$21</f>
        <v/>
      </c>
      <c r="K85" s="194">
        <f>K84*$D$21</f>
        <v/>
      </c>
      <c r="L85" s="194">
        <f>L84*$D$21</f>
        <v/>
      </c>
      <c r="M85" s="194">
        <f>M84*$D$21</f>
        <v/>
      </c>
      <c r="N85" s="194">
        <f>N84*$D$21</f>
        <v/>
      </c>
      <c r="O85" s="523">
        <f>O84*$D$21</f>
        <v/>
      </c>
      <c r="P85" s="319">
        <f>SUM(D85:O85)</f>
        <v/>
      </c>
      <c r="Q85" s="1175">
        <f>(Q86+Q87)</f>
        <v/>
      </c>
      <c r="R85" s="1176" t="inlineStr">
        <is>
          <t xml:space="preserve"> </t>
        </is>
      </c>
    </row>
    <row r="86" ht="18" customHeight="1">
      <c r="B86" s="359" t="n"/>
      <c r="C86" s="118" t="inlineStr">
        <is>
          <t>Total COGS</t>
        </is>
      </c>
      <c r="D86" s="107">
        <f>D84*$E$21</f>
        <v/>
      </c>
      <c r="E86" s="107">
        <f>E84*$E$21</f>
        <v/>
      </c>
      <c r="F86" s="107">
        <f>F84*$E$21</f>
        <v/>
      </c>
      <c r="G86" s="107">
        <f>G84*$E$21</f>
        <v/>
      </c>
      <c r="H86" s="107">
        <f>H84*$E$21</f>
        <v/>
      </c>
      <c r="I86" s="107">
        <f>I84*$E$21</f>
        <v/>
      </c>
      <c r="J86" s="107">
        <f>J84*$E$21</f>
        <v/>
      </c>
      <c r="K86" s="107">
        <f>K84*$E$21</f>
        <v/>
      </c>
      <c r="L86" s="107">
        <f>L84*$E$21</f>
        <v/>
      </c>
      <c r="M86" s="107">
        <f>M84*$E$21</f>
        <v/>
      </c>
      <c r="N86" s="107">
        <f>N84*$E$21</f>
        <v/>
      </c>
      <c r="O86" s="316">
        <f>O84*$E$21</f>
        <v/>
      </c>
      <c r="P86" s="320">
        <f>SUM(D86:O86)</f>
        <v/>
      </c>
      <c r="Q86" s="1178">
        <f>IF(P85=0,0,P86/P85)</f>
        <v/>
      </c>
      <c r="R86" s="1179" t="inlineStr">
        <is>
          <t xml:space="preserve"> </t>
        </is>
      </c>
    </row>
    <row r="87" ht="18" customHeight="1" thickBot="1">
      <c r="B87" s="359" t="n"/>
      <c r="C87" s="119" t="inlineStr">
        <is>
          <t>Total Margin</t>
        </is>
      </c>
      <c r="D87" s="68">
        <f>D85-D86</f>
        <v/>
      </c>
      <c r="E87" s="68">
        <f>E85-E86</f>
        <v/>
      </c>
      <c r="F87" s="68">
        <f>F85-F86</f>
        <v/>
      </c>
      <c r="G87" s="68">
        <f>G85-G86</f>
        <v/>
      </c>
      <c r="H87" s="68">
        <f>H85-H86</f>
        <v/>
      </c>
      <c r="I87" s="68">
        <f>I85-I86</f>
        <v/>
      </c>
      <c r="J87" s="68">
        <f>J85-J86</f>
        <v/>
      </c>
      <c r="K87" s="68">
        <f>K85-K86</f>
        <v/>
      </c>
      <c r="L87" s="68">
        <f>L85-L86</f>
        <v/>
      </c>
      <c r="M87" s="68">
        <f>M85-M86</f>
        <v/>
      </c>
      <c r="N87" s="68">
        <f>N85-N86</f>
        <v/>
      </c>
      <c r="O87" s="69">
        <f>O85-O86</f>
        <v/>
      </c>
      <c r="P87" s="321">
        <f>SUM(D87:O87)</f>
        <v/>
      </c>
      <c r="Q87" s="1181">
        <f>IF(P85=0,0,P87/P85)</f>
        <v/>
      </c>
      <c r="R87" s="1182" t="inlineStr">
        <is>
          <t xml:space="preserve"> </t>
        </is>
      </c>
    </row>
    <row r="88" ht="20" customHeight="1">
      <c r="B88" s="359" t="n"/>
      <c r="C88" s="1301" t="inlineStr">
        <is>
          <t xml:space="preserve"> </t>
        </is>
      </c>
      <c r="R88" s="1191" t="n"/>
    </row>
    <row r="89" ht="18" customHeight="1" thickBot="1">
      <c r="B89" s="359" t="n"/>
      <c r="C89" s="1008">
        <f>C22</f>
        <v/>
      </c>
      <c r="R89" s="707" t="n"/>
    </row>
    <row r="90" ht="18" customHeight="1" thickBot="1">
      <c r="B90" s="359" t="n"/>
      <c r="C90" s="116" t="inlineStr">
        <is>
          <t>Hours Sold</t>
        </is>
      </c>
      <c r="D90" s="1170">
        <f>D175*0.25</f>
        <v/>
      </c>
      <c r="E90" s="1170">
        <f>E175*0.25</f>
        <v/>
      </c>
      <c r="F90" s="1170">
        <f>F175*0.25</f>
        <v/>
      </c>
      <c r="G90" s="1170">
        <f>G175*0.25</f>
        <v/>
      </c>
      <c r="H90" s="1170">
        <f>H175*0.25</f>
        <v/>
      </c>
      <c r="I90" s="1170">
        <f>I175*0.25</f>
        <v/>
      </c>
      <c r="J90" s="1170">
        <f>J175*0.25</f>
        <v/>
      </c>
      <c r="K90" s="1170">
        <f>K175*0.25</f>
        <v/>
      </c>
      <c r="L90" s="1170">
        <f>L175*0.25</f>
        <v/>
      </c>
      <c r="M90" s="1170">
        <f>M175*0.25</f>
        <v/>
      </c>
      <c r="N90" s="1170">
        <f>N175*0.25</f>
        <v/>
      </c>
      <c r="O90" s="1170">
        <f>O175*0.25</f>
        <v/>
      </c>
      <c r="P90" s="317" t="n"/>
      <c r="Q90" s="72" t="n"/>
      <c r="R90" s="318" t="n"/>
    </row>
    <row r="91" ht="18" customHeight="1">
      <c r="B91" s="359" t="n"/>
      <c r="C91" s="117" t="inlineStr">
        <is>
          <t>Total Sales</t>
        </is>
      </c>
      <c r="D91" s="194">
        <f>D90*$D$22</f>
        <v/>
      </c>
      <c r="E91" s="194">
        <f>E90*$D$22</f>
        <v/>
      </c>
      <c r="F91" s="194">
        <f>F90*$D$22</f>
        <v/>
      </c>
      <c r="G91" s="194">
        <f>G90*$D$22</f>
        <v/>
      </c>
      <c r="H91" s="194">
        <f>H90*$D$22</f>
        <v/>
      </c>
      <c r="I91" s="194">
        <f>I90*$D$22</f>
        <v/>
      </c>
      <c r="J91" s="194">
        <f>J90*$D$22</f>
        <v/>
      </c>
      <c r="K91" s="194">
        <f>K90*$D$22</f>
        <v/>
      </c>
      <c r="L91" s="194">
        <f>L90*$D$22</f>
        <v/>
      </c>
      <c r="M91" s="194">
        <f>M90*$D$22</f>
        <v/>
      </c>
      <c r="N91" s="194">
        <f>N90*$D$22</f>
        <v/>
      </c>
      <c r="O91" s="523">
        <f>O90*$D$22</f>
        <v/>
      </c>
      <c r="P91" s="319">
        <f>SUM(D91:O91)</f>
        <v/>
      </c>
      <c r="Q91" s="1175">
        <f>(Q92+Q93)</f>
        <v/>
      </c>
      <c r="R91" s="1176" t="inlineStr">
        <is>
          <t xml:space="preserve"> </t>
        </is>
      </c>
    </row>
    <row r="92" ht="18" customHeight="1">
      <c r="B92" s="359" t="n"/>
      <c r="C92" s="118" t="inlineStr">
        <is>
          <t>Total COGS</t>
        </is>
      </c>
      <c r="D92" s="107">
        <f>D90*$E$22</f>
        <v/>
      </c>
      <c r="E92" s="107">
        <f>E90*$E$22</f>
        <v/>
      </c>
      <c r="F92" s="107">
        <f>F90*$E$22</f>
        <v/>
      </c>
      <c r="G92" s="107">
        <f>G90*$E$22</f>
        <v/>
      </c>
      <c r="H92" s="107">
        <f>H90*$E$22</f>
        <v/>
      </c>
      <c r="I92" s="107">
        <f>I90*$E$22</f>
        <v/>
      </c>
      <c r="J92" s="107">
        <f>J90*$E$22</f>
        <v/>
      </c>
      <c r="K92" s="107">
        <f>K90*$E$22</f>
        <v/>
      </c>
      <c r="L92" s="107">
        <f>L90*$E$22</f>
        <v/>
      </c>
      <c r="M92" s="107">
        <f>M90*$E$22</f>
        <v/>
      </c>
      <c r="N92" s="107">
        <f>N90*$E$22</f>
        <v/>
      </c>
      <c r="O92" s="316">
        <f>O90*$E$22</f>
        <v/>
      </c>
      <c r="P92" s="320">
        <f>SUM(D92:O92)</f>
        <v/>
      </c>
      <c r="Q92" s="1178">
        <f>IF(P91=0,0,P92/P91)</f>
        <v/>
      </c>
      <c r="R92" s="1179" t="inlineStr">
        <is>
          <t xml:space="preserve"> </t>
        </is>
      </c>
    </row>
    <row r="93" ht="18" customHeight="1" thickBot="1">
      <c r="B93" s="359" t="n"/>
      <c r="C93" s="119" t="inlineStr">
        <is>
          <t>Total Margin</t>
        </is>
      </c>
      <c r="D93" s="68">
        <f>D91-D92</f>
        <v/>
      </c>
      <c r="E93" s="68">
        <f>E91-E92</f>
        <v/>
      </c>
      <c r="F93" s="68">
        <f>F91-F92</f>
        <v/>
      </c>
      <c r="G93" s="68">
        <f>G91-G92</f>
        <v/>
      </c>
      <c r="H93" s="68">
        <f>H91-H92</f>
        <v/>
      </c>
      <c r="I93" s="68">
        <f>I91-I92</f>
        <v/>
      </c>
      <c r="J93" s="68">
        <f>J91-J92</f>
        <v/>
      </c>
      <c r="K93" s="68">
        <f>K91-K92</f>
        <v/>
      </c>
      <c r="L93" s="68">
        <f>L91-L92</f>
        <v/>
      </c>
      <c r="M93" s="68">
        <f>M91-M92</f>
        <v/>
      </c>
      <c r="N93" s="68">
        <f>N91-N92</f>
        <v/>
      </c>
      <c r="O93" s="69">
        <f>O91-O92</f>
        <v/>
      </c>
      <c r="P93" s="321">
        <f>SUM(D93:O93)</f>
        <v/>
      </c>
      <c r="Q93" s="1181">
        <f>IF(P91=0,0,P93/P91)</f>
        <v/>
      </c>
      <c r="R93" s="1182" t="inlineStr">
        <is>
          <t xml:space="preserve"> </t>
        </is>
      </c>
    </row>
    <row r="94" ht="18" customHeight="1">
      <c r="B94" s="359" t="n"/>
      <c r="C94" s="1301" t="inlineStr">
        <is>
          <t xml:space="preserve"> </t>
        </is>
      </c>
      <c r="R94" s="1191" t="n"/>
    </row>
    <row r="95" ht="18" customHeight="1">
      <c r="B95" s="359" t="n"/>
      <c r="C95" s="1008" t="inlineStr">
        <is>
          <t>Total Training Consultancy</t>
        </is>
      </c>
      <c r="R95" s="707" t="n"/>
    </row>
    <row r="96" ht="18" customHeight="1">
      <c r="B96" s="359" t="n"/>
      <c r="C96" s="117" t="inlineStr">
        <is>
          <t>Total Sales</t>
        </is>
      </c>
      <c r="D96" s="194">
        <f>D91+D85</f>
        <v/>
      </c>
      <c r="E96" s="194">
        <f>E91+E85</f>
        <v/>
      </c>
      <c r="F96" s="194">
        <f>F91+F85</f>
        <v/>
      </c>
      <c r="G96" s="194">
        <f>G91+G85</f>
        <v/>
      </c>
      <c r="H96" s="194">
        <f>H91+H85</f>
        <v/>
      </c>
      <c r="I96" s="194">
        <f>I91+I85</f>
        <v/>
      </c>
      <c r="J96" s="194">
        <f>J91+J85</f>
        <v/>
      </c>
      <c r="K96" s="194">
        <f>K91+K85</f>
        <v/>
      </c>
      <c r="L96" s="194">
        <f>L91+L85</f>
        <v/>
      </c>
      <c r="M96" s="194">
        <f>M91+M85</f>
        <v/>
      </c>
      <c r="N96" s="194">
        <f>N91+N85</f>
        <v/>
      </c>
      <c r="O96" s="523">
        <f>O91+O85</f>
        <v/>
      </c>
      <c r="P96" s="319">
        <f>SUM(D96:O96)</f>
        <v/>
      </c>
      <c r="Q96" s="1175">
        <f>(Q97+Q98)</f>
        <v/>
      </c>
      <c r="R96" s="1176" t="inlineStr">
        <is>
          <t xml:space="preserve"> </t>
        </is>
      </c>
    </row>
    <row r="97" ht="20" customHeight="1">
      <c r="B97" s="359" t="n"/>
      <c r="C97" s="118" t="inlineStr">
        <is>
          <t>Total COGS</t>
        </is>
      </c>
      <c r="D97" s="193">
        <f>D92+D86</f>
        <v/>
      </c>
      <c r="E97" s="193">
        <f>E92+E86</f>
        <v/>
      </c>
      <c r="F97" s="193">
        <f>F92+F86</f>
        <v/>
      </c>
      <c r="G97" s="193">
        <f>G92+G86</f>
        <v/>
      </c>
      <c r="H97" s="193">
        <f>H92+H86</f>
        <v/>
      </c>
      <c r="I97" s="193">
        <f>I92+I86</f>
        <v/>
      </c>
      <c r="J97" s="193">
        <f>J92+J86</f>
        <v/>
      </c>
      <c r="K97" s="193">
        <f>K92+K86</f>
        <v/>
      </c>
      <c r="L97" s="193">
        <f>L92+L86</f>
        <v/>
      </c>
      <c r="M97" s="193">
        <f>M92+M86</f>
        <v/>
      </c>
      <c r="N97" s="193">
        <f>N92+N86</f>
        <v/>
      </c>
      <c r="O97" s="273">
        <f>O92+O86</f>
        <v/>
      </c>
      <c r="P97" s="320">
        <f>SUM(D97:O97)</f>
        <v/>
      </c>
      <c r="Q97" s="1178">
        <f>IF(P96=0,0,P97/P96)</f>
        <v/>
      </c>
      <c r="R97" s="1179" t="inlineStr">
        <is>
          <t xml:space="preserve"> </t>
        </is>
      </c>
    </row>
    <row r="98" ht="18" customHeight="1" thickBot="1">
      <c r="B98" s="1114" t="n"/>
      <c r="C98" s="119" t="inlineStr">
        <is>
          <t>Total Margin</t>
        </is>
      </c>
      <c r="D98" s="68">
        <f>D96-D97</f>
        <v/>
      </c>
      <c r="E98" s="68">
        <f>E96-E97</f>
        <v/>
      </c>
      <c r="F98" s="68">
        <f>F96-F97</f>
        <v/>
      </c>
      <c r="G98" s="68">
        <f>G96-G97</f>
        <v/>
      </c>
      <c r="H98" s="68">
        <f>H96-H97</f>
        <v/>
      </c>
      <c r="I98" s="68">
        <f>I96-I97</f>
        <v/>
      </c>
      <c r="J98" s="68">
        <f>J96-J97</f>
        <v/>
      </c>
      <c r="K98" s="68">
        <f>K96-K97</f>
        <v/>
      </c>
      <c r="L98" s="68">
        <f>L96-L97</f>
        <v/>
      </c>
      <c r="M98" s="68">
        <f>M96-M97</f>
        <v/>
      </c>
      <c r="N98" s="68">
        <f>N96-N97</f>
        <v/>
      </c>
      <c r="O98" s="69">
        <f>O96-O97</f>
        <v/>
      </c>
      <c r="P98" s="321">
        <f>SUM(D98:O98)</f>
        <v/>
      </c>
      <c r="Q98" s="1181">
        <f>IF(P96=0,0,P98/P96)</f>
        <v/>
      </c>
      <c r="R98" s="1182" t="inlineStr">
        <is>
          <t xml:space="preserve"> </t>
        </is>
      </c>
    </row>
    <row r="99" ht="18" customHeight="1" thickBot="1">
      <c r="B99" s="272" t="n"/>
      <c r="C99" s="289" t="n"/>
      <c r="D99" s="290">
        <f>D76+D69+D62+D55+D48+D41+D34+D27</f>
        <v/>
      </c>
      <c r="E99" s="290">
        <f>E76+E69+E62+E55+E48+E41+E34+E27</f>
        <v/>
      </c>
      <c r="F99" s="290">
        <f>F76+F69+F62+F55+F48+F41+F34+F27</f>
        <v/>
      </c>
      <c r="G99" s="290">
        <f>G76+G69+G62+G55+G48+G41+G34+G27</f>
        <v/>
      </c>
      <c r="H99" s="290">
        <f>H76+H69+H62+H55+H48+H41+H34+H27</f>
        <v/>
      </c>
      <c r="I99" s="290">
        <f>I76+I69+I62+I55+I48+I41+I34+I27</f>
        <v/>
      </c>
      <c r="J99" s="290">
        <f>J76+J69+J62+J55+J48+J41+J34+J27</f>
        <v/>
      </c>
      <c r="K99" s="290">
        <f>K76+K69+K62+K55+K48+K41+K34+K27</f>
        <v/>
      </c>
      <c r="L99" s="290">
        <f>L76+L69+L62+L55+L48+L41+L34+L27</f>
        <v/>
      </c>
      <c r="M99" s="290">
        <f>M76+M69+M62+M55+M48+M41+M34+M27</f>
        <v/>
      </c>
      <c r="N99" s="290">
        <f>N76+N69+N62+N55+N48+N41+N34+N27</f>
        <v/>
      </c>
      <c r="O99" s="290">
        <f>O76+O69+O62+O55+O48+O41+O34+O27</f>
        <v/>
      </c>
      <c r="P99" s="185" t="n"/>
      <c r="Q99" s="1213" t="n"/>
      <c r="R99" s="1214" t="n"/>
      <c r="T99" s="682" t="inlineStr">
        <is>
          <t xml:space="preserve">Assumptions </t>
        </is>
      </c>
    </row>
    <row r="100" ht="18" customHeight="1" thickBot="1">
      <c r="B100" s="288" t="n"/>
      <c r="C100" s="287" t="inlineStr">
        <is>
          <t>Net New</t>
        </is>
      </c>
      <c r="D100" s="283">
        <f>D76+D69+D62+D55+D48+D41+D34+D27</f>
        <v/>
      </c>
      <c r="E100" s="283">
        <f>E99-D99</f>
        <v/>
      </c>
      <c r="F100" s="283">
        <f>F99-E99</f>
        <v/>
      </c>
      <c r="G100" s="283">
        <f>G99-F99</f>
        <v/>
      </c>
      <c r="H100" s="283">
        <f>H99-G99</f>
        <v/>
      </c>
      <c r="I100" s="283">
        <f>I99-H99</f>
        <v/>
      </c>
      <c r="J100" s="283">
        <f>J99-I99</f>
        <v/>
      </c>
      <c r="K100" s="283">
        <f>K99-J99</f>
        <v/>
      </c>
      <c r="L100" s="283">
        <f>L99-K99</f>
        <v/>
      </c>
      <c r="M100" s="283">
        <f>M99-L99</f>
        <v/>
      </c>
      <c r="N100" s="283">
        <f>N99-M99</f>
        <v/>
      </c>
      <c r="O100" s="283">
        <f>O99-N99</f>
        <v/>
      </c>
      <c r="P100" s="284" t="n"/>
      <c r="Q100" s="1215" t="n"/>
      <c r="R100" s="1216" t="n"/>
      <c r="T100" s="682" t="inlineStr">
        <is>
          <t xml:space="preserve">work hours </t>
        </is>
      </c>
    </row>
    <row r="101" ht="18" customHeight="1" thickBot="1">
      <c r="B101" s="1302" t="inlineStr">
        <is>
          <t>Administrative</t>
        </is>
      </c>
      <c r="C101" s="1037">
        <f>C6</f>
        <v/>
      </c>
      <c r="D101" s="1218" t="n"/>
      <c r="E101" s="1218" t="n"/>
      <c r="F101" s="1218" t="n"/>
      <c r="G101" s="1218" t="n"/>
      <c r="H101" s="1218" t="n"/>
      <c r="I101" s="1218" t="n"/>
      <c r="J101" s="1218" t="n"/>
      <c r="K101" s="1218" t="n"/>
      <c r="L101" s="1218" t="n"/>
      <c r="M101" s="1218" t="n"/>
      <c r="N101" s="1218" t="n"/>
      <c r="O101" s="1218" t="n"/>
      <c r="P101" s="1218" t="n"/>
      <c r="Q101" s="1218" t="n"/>
      <c r="R101" s="1219" t="n"/>
      <c r="T101" s="682" t="inlineStr">
        <is>
          <t>per new acct</t>
        </is>
      </c>
    </row>
    <row r="102" ht="18" customHeight="1" thickBot="1">
      <c r="B102" s="359" t="n"/>
      <c r="C102" s="116" t="inlineStr">
        <is>
          <t>Net New Licences Sold</t>
        </is>
      </c>
      <c r="D102" s="1170">
        <f>D100*$T$102</f>
        <v/>
      </c>
      <c r="E102" s="1170">
        <f>E100*$T$102</f>
        <v/>
      </c>
      <c r="F102" s="1170">
        <f>F100*$T$102</f>
        <v/>
      </c>
      <c r="G102" s="1170">
        <f>G100*$T$102</f>
        <v/>
      </c>
      <c r="H102" s="1170">
        <f>H100*$T$102</f>
        <v/>
      </c>
      <c r="I102" s="1170">
        <f>I100*$T$102</f>
        <v/>
      </c>
      <c r="J102" s="1170">
        <f>J100*$T$102</f>
        <v/>
      </c>
      <c r="K102" s="1170">
        <f>K100*$T$102</f>
        <v/>
      </c>
      <c r="L102" s="1170">
        <f>L100*$T$102</f>
        <v/>
      </c>
      <c r="M102" s="1170">
        <f>M100*$T$102</f>
        <v/>
      </c>
      <c r="N102" s="1170">
        <f>N100*$T$102</f>
        <v/>
      </c>
      <c r="O102" s="1170">
        <f>O100*$T$102</f>
        <v/>
      </c>
      <c r="P102" s="71" t="n"/>
      <c r="Q102" s="72" t="n"/>
      <c r="R102" s="73" t="n"/>
      <c r="T102" s="314" t="n">
        <v>1</v>
      </c>
    </row>
    <row r="103" ht="18" customHeight="1">
      <c r="B103" s="359" t="n"/>
      <c r="C103" s="117" t="inlineStr">
        <is>
          <t>Total Sales</t>
        </is>
      </c>
      <c r="D103" s="194">
        <f>D102*$D$6</f>
        <v/>
      </c>
      <c r="E103" s="194">
        <f>E102*$D$6</f>
        <v/>
      </c>
      <c r="F103" s="194">
        <f>F102*$D$6</f>
        <v/>
      </c>
      <c r="G103" s="194">
        <f>G102*$D$6</f>
        <v/>
      </c>
      <c r="H103" s="194">
        <f>H102*$D$6</f>
        <v/>
      </c>
      <c r="I103" s="194">
        <f>I102*$D$6</f>
        <v/>
      </c>
      <c r="J103" s="194">
        <f>J102*$D$6</f>
        <v/>
      </c>
      <c r="K103" s="194">
        <f>K102*$D$6</f>
        <v/>
      </c>
      <c r="L103" s="194">
        <f>L102*$D$6</f>
        <v/>
      </c>
      <c r="M103" s="194">
        <f>M102*$D$6</f>
        <v/>
      </c>
      <c r="N103" s="194">
        <f>N102*$D$6</f>
        <v/>
      </c>
      <c r="O103" s="194">
        <f>O102*$D$6</f>
        <v/>
      </c>
      <c r="P103" s="59">
        <f>SUM(D103:O103)</f>
        <v/>
      </c>
      <c r="Q103" s="1175">
        <f>(Q104+Q105)</f>
        <v/>
      </c>
      <c r="R103" s="1221" t="inlineStr">
        <is>
          <t xml:space="preserve"> </t>
        </is>
      </c>
      <c r="T103" s="315" t="n"/>
    </row>
    <row r="104" ht="18" customHeight="1">
      <c r="B104" s="359" t="n"/>
      <c r="C104" s="118" t="inlineStr">
        <is>
          <t>Total COGS</t>
        </is>
      </c>
      <c r="D104" s="193">
        <f>D102*$E$6</f>
        <v/>
      </c>
      <c r="E104" s="193">
        <f>E102*$E$6</f>
        <v/>
      </c>
      <c r="F104" s="193">
        <f>F102*$E$6</f>
        <v/>
      </c>
      <c r="G104" s="193">
        <f>G102*$E$6</f>
        <v/>
      </c>
      <c r="H104" s="193">
        <f>H102*$E$6</f>
        <v/>
      </c>
      <c r="I104" s="193">
        <f>I102*$E$6</f>
        <v/>
      </c>
      <c r="J104" s="193">
        <f>J102*$E$6</f>
        <v/>
      </c>
      <c r="K104" s="193">
        <f>K102*$E$6</f>
        <v/>
      </c>
      <c r="L104" s="193">
        <f>L102*$E$6</f>
        <v/>
      </c>
      <c r="M104" s="193">
        <f>M102*$E$6</f>
        <v/>
      </c>
      <c r="N104" s="193">
        <f>N102*$E$6</f>
        <v/>
      </c>
      <c r="O104" s="193">
        <f>O102*$E$6</f>
        <v/>
      </c>
      <c r="P104" s="64">
        <f>SUM(D104:O104)</f>
        <v/>
      </c>
      <c r="Q104" s="1178">
        <f>IF(P103=0,0,P104/P103)</f>
        <v/>
      </c>
      <c r="R104" s="1222" t="inlineStr">
        <is>
          <t xml:space="preserve"> </t>
        </is>
      </c>
      <c r="T104" s="315" t="n"/>
    </row>
    <row r="105" ht="18" customHeight="1">
      <c r="B105" s="359" t="n"/>
      <c r="C105" s="119" t="inlineStr">
        <is>
          <t>Total Margin</t>
        </is>
      </c>
      <c r="D105" s="68">
        <f>D103-D104</f>
        <v/>
      </c>
      <c r="E105" s="68">
        <f>E103-E104</f>
        <v/>
      </c>
      <c r="F105" s="68">
        <f>F103-F104</f>
        <v/>
      </c>
      <c r="G105" s="68">
        <f>G103-G104</f>
        <v/>
      </c>
      <c r="H105" s="68">
        <f>H103-H104</f>
        <v/>
      </c>
      <c r="I105" s="68">
        <f>I103-I104</f>
        <v/>
      </c>
      <c r="J105" s="68">
        <f>J103-J104</f>
        <v/>
      </c>
      <c r="K105" s="68">
        <f>K103-K104</f>
        <v/>
      </c>
      <c r="L105" s="68">
        <f>L103-L104</f>
        <v/>
      </c>
      <c r="M105" s="68">
        <f>M103-M104</f>
        <v/>
      </c>
      <c r="N105" s="68">
        <f>N103-N104</f>
        <v/>
      </c>
      <c r="O105" s="69">
        <f>O103-O104</f>
        <v/>
      </c>
      <c r="P105" s="64">
        <f>SUM(D105:O105)</f>
        <v/>
      </c>
      <c r="Q105" s="1178">
        <f>IF(P103=0,0,P105/P103)</f>
        <v/>
      </c>
      <c r="R105" s="1222" t="inlineStr">
        <is>
          <t xml:space="preserve"> </t>
        </is>
      </c>
      <c r="T105" s="315" t="n"/>
    </row>
    <row r="106" ht="19" customHeight="1">
      <c r="B106" s="359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1223" t="inlineStr">
        <is>
          <t xml:space="preserve"> </t>
        </is>
      </c>
      <c r="T106" s="315" t="n"/>
    </row>
    <row r="107" ht="18" customHeight="1" thickBot="1">
      <c r="B107" s="359" t="n"/>
      <c r="C107" s="1026">
        <f>C7</f>
        <v/>
      </c>
      <c r="R107" s="1191" t="n"/>
      <c r="T107" s="315" t="n"/>
    </row>
    <row r="108" ht="18" customHeight="1" thickBot="1">
      <c r="B108" s="359" t="n"/>
      <c r="C108" s="116" t="inlineStr">
        <is>
          <t>Net New Licences Sold</t>
        </is>
      </c>
      <c r="D108" s="1170">
        <f>D100*$T$108</f>
        <v/>
      </c>
      <c r="E108" s="1170">
        <f>E100*$T$108</f>
        <v/>
      </c>
      <c r="F108" s="1170">
        <f>F100*$T$108</f>
        <v/>
      </c>
      <c r="G108" s="1170">
        <f>G100*$T$108</f>
        <v/>
      </c>
      <c r="H108" s="1170">
        <f>H100*$T$108</f>
        <v/>
      </c>
      <c r="I108" s="1170">
        <f>I100*$T$108</f>
        <v/>
      </c>
      <c r="J108" s="1170">
        <f>J100*$T$108</f>
        <v/>
      </c>
      <c r="K108" s="1170">
        <f>K100*$T$108</f>
        <v/>
      </c>
      <c r="L108" s="1170">
        <f>L100*$T$108</f>
        <v/>
      </c>
      <c r="M108" s="1170">
        <f>M100*$T$108</f>
        <v/>
      </c>
      <c r="N108" s="1170">
        <f>N100*$T$108</f>
        <v/>
      </c>
      <c r="O108" s="1170">
        <f>O100*$T$108</f>
        <v/>
      </c>
      <c r="P108" s="71" t="n"/>
      <c r="Q108" s="72" t="n"/>
      <c r="R108" s="73" t="n"/>
      <c r="T108" s="315" t="n">
        <v>1</v>
      </c>
    </row>
    <row r="109" ht="18" customHeight="1">
      <c r="B109" s="359" t="n"/>
      <c r="C109" s="117" t="inlineStr">
        <is>
          <t>Total Sales</t>
        </is>
      </c>
      <c r="D109" s="194">
        <f>D108*$D$7</f>
        <v/>
      </c>
      <c r="E109" s="194">
        <f>E108*$D$7</f>
        <v/>
      </c>
      <c r="F109" s="194">
        <f>F108*$D$7</f>
        <v/>
      </c>
      <c r="G109" s="194">
        <f>G108*$D$7</f>
        <v/>
      </c>
      <c r="H109" s="194">
        <f>H108*$D$7</f>
        <v/>
      </c>
      <c r="I109" s="194">
        <f>I108*$D$7</f>
        <v/>
      </c>
      <c r="J109" s="194">
        <f>J108*$D$7</f>
        <v/>
      </c>
      <c r="K109" s="194">
        <f>K108*$D$7</f>
        <v/>
      </c>
      <c r="L109" s="194">
        <f>L108*$D$7</f>
        <v/>
      </c>
      <c r="M109" s="194">
        <f>M108*$D$7</f>
        <v/>
      </c>
      <c r="N109" s="194">
        <f>N108*$D$7</f>
        <v/>
      </c>
      <c r="O109" s="194">
        <f>O108*$D$7</f>
        <v/>
      </c>
      <c r="P109" s="59">
        <f>SUM(D109:O109)</f>
        <v/>
      </c>
      <c r="Q109" s="1175">
        <f>(Q110+Q111)</f>
        <v/>
      </c>
      <c r="R109" s="1221" t="inlineStr">
        <is>
          <t xml:space="preserve"> </t>
        </is>
      </c>
      <c r="T109" s="315" t="n"/>
    </row>
    <row r="110" ht="18" customHeight="1">
      <c r="B110" s="359" t="n"/>
      <c r="C110" s="118" t="inlineStr">
        <is>
          <t>Total COGS</t>
        </is>
      </c>
      <c r="D110" s="193">
        <f>D108*$E$7</f>
        <v/>
      </c>
      <c r="E110" s="193">
        <f>E108*$E$7</f>
        <v/>
      </c>
      <c r="F110" s="193">
        <f>F108*$E$7</f>
        <v/>
      </c>
      <c r="G110" s="193">
        <f>G108*$E$7</f>
        <v/>
      </c>
      <c r="H110" s="193">
        <f>H108*$E$7</f>
        <v/>
      </c>
      <c r="I110" s="193">
        <f>I108*$E$7</f>
        <v/>
      </c>
      <c r="J110" s="193">
        <f>J108*$E$7</f>
        <v/>
      </c>
      <c r="K110" s="193">
        <f>K108*$E$7</f>
        <v/>
      </c>
      <c r="L110" s="193">
        <f>L108*$E$7</f>
        <v/>
      </c>
      <c r="M110" s="193">
        <f>M108*$E$7</f>
        <v/>
      </c>
      <c r="N110" s="193">
        <f>N108*$E$7</f>
        <v/>
      </c>
      <c r="O110" s="193">
        <f>O108*$E$7</f>
        <v/>
      </c>
      <c r="P110" s="64">
        <f>SUM(D110:O110)</f>
        <v/>
      </c>
      <c r="Q110" s="1178">
        <f>IF(P109=0,0,P110/P109)</f>
        <v/>
      </c>
      <c r="R110" s="1222" t="inlineStr">
        <is>
          <t xml:space="preserve"> </t>
        </is>
      </c>
      <c r="T110" s="315" t="n"/>
    </row>
    <row r="111" ht="18" customHeight="1">
      <c r="B111" s="359" t="n"/>
      <c r="C111" s="119" t="inlineStr">
        <is>
          <t>Total Margin</t>
        </is>
      </c>
      <c r="D111" s="68">
        <f>D109-D110</f>
        <v/>
      </c>
      <c r="E111" s="68">
        <f>E109-E110</f>
        <v/>
      </c>
      <c r="F111" s="68">
        <f>F109-F110</f>
        <v/>
      </c>
      <c r="G111" s="68">
        <f>G109-G110</f>
        <v/>
      </c>
      <c r="H111" s="68">
        <f>H109-H110</f>
        <v/>
      </c>
      <c r="I111" s="68">
        <f>I109-I110</f>
        <v/>
      </c>
      <c r="J111" s="68">
        <f>J109-J110</f>
        <v/>
      </c>
      <c r="K111" s="68">
        <f>K109-K110</f>
        <v/>
      </c>
      <c r="L111" s="68">
        <f>L109-L110</f>
        <v/>
      </c>
      <c r="M111" s="68">
        <f>M109-M110</f>
        <v/>
      </c>
      <c r="N111" s="68">
        <f>N109-N110</f>
        <v/>
      </c>
      <c r="O111" s="68">
        <f>O109-O110</f>
        <v/>
      </c>
      <c r="P111" s="64">
        <f>SUM(D111:O111)</f>
        <v/>
      </c>
      <c r="Q111" s="1178">
        <f>IF(P109=0,0,P111/P109)</f>
        <v/>
      </c>
      <c r="R111" s="1222" t="inlineStr">
        <is>
          <t xml:space="preserve"> </t>
        </is>
      </c>
      <c r="T111" s="315" t="n"/>
    </row>
    <row r="112" ht="18" customHeight="1">
      <c r="B112" s="359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1223" t="inlineStr">
        <is>
          <t xml:space="preserve"> </t>
        </is>
      </c>
      <c r="T112" s="315" t="n"/>
    </row>
    <row r="113" ht="18" customHeight="1" thickBot="1">
      <c r="B113" s="359" t="n"/>
      <c r="C113" s="1026">
        <f>C8</f>
        <v/>
      </c>
      <c r="R113" s="1191" t="n"/>
      <c r="T113" s="315" t="n"/>
    </row>
    <row r="114" ht="18" customHeight="1" thickBot="1">
      <c r="B114" s="359" t="n"/>
      <c r="C114" s="116" t="inlineStr">
        <is>
          <t>Net New Licences Sold</t>
        </is>
      </c>
      <c r="D114" s="1170">
        <f>D100*$T$114</f>
        <v/>
      </c>
      <c r="E114" s="1170">
        <f>E100*$T$114</f>
        <v/>
      </c>
      <c r="F114" s="1170">
        <f>F100*$T$114</f>
        <v/>
      </c>
      <c r="G114" s="1170">
        <f>G100*$T$114</f>
        <v/>
      </c>
      <c r="H114" s="1170">
        <f>H100*$T$114</f>
        <v/>
      </c>
      <c r="I114" s="1170">
        <f>I100*$T$114</f>
        <v/>
      </c>
      <c r="J114" s="1170">
        <f>J100*$T$114</f>
        <v/>
      </c>
      <c r="K114" s="1170">
        <f>K100*$T$114</f>
        <v/>
      </c>
      <c r="L114" s="1170">
        <f>L100*$T$114</f>
        <v/>
      </c>
      <c r="M114" s="1170">
        <f>M100*$T$114</f>
        <v/>
      </c>
      <c r="N114" s="1170">
        <f>N100*$T$114</f>
        <v/>
      </c>
      <c r="O114" s="1170">
        <f>O100*$T$114</f>
        <v/>
      </c>
      <c r="P114" s="71" t="n"/>
      <c r="Q114" s="72" t="n"/>
      <c r="R114" s="73" t="n"/>
      <c r="T114" s="315" t="n">
        <v>2</v>
      </c>
    </row>
    <row r="115" ht="18" customHeight="1">
      <c r="B115" s="359" t="n"/>
      <c r="C115" s="117" t="inlineStr">
        <is>
          <t>Total Sales</t>
        </is>
      </c>
      <c r="D115" s="194">
        <f>D114*$D$8</f>
        <v/>
      </c>
      <c r="E115" s="194">
        <f>E114*$D$8</f>
        <v/>
      </c>
      <c r="F115" s="194">
        <f>F114*$D$8</f>
        <v/>
      </c>
      <c r="G115" s="194">
        <f>G114*$D$8</f>
        <v/>
      </c>
      <c r="H115" s="194">
        <f>H114*$D$8</f>
        <v/>
      </c>
      <c r="I115" s="194">
        <f>I114*$D$8</f>
        <v/>
      </c>
      <c r="J115" s="194">
        <f>J114*$D$8</f>
        <v/>
      </c>
      <c r="K115" s="194">
        <f>K114*$D$8</f>
        <v/>
      </c>
      <c r="L115" s="194">
        <f>L114*$D$8</f>
        <v/>
      </c>
      <c r="M115" s="194">
        <f>M114*$D$8</f>
        <v/>
      </c>
      <c r="N115" s="194">
        <f>N114*$D$8</f>
        <v/>
      </c>
      <c r="O115" s="194">
        <f>O114*$D$8</f>
        <v/>
      </c>
      <c r="P115" s="59">
        <f>SUM(D115:O115)</f>
        <v/>
      </c>
      <c r="Q115" s="1175">
        <f>(Q116+Q117)</f>
        <v/>
      </c>
      <c r="R115" s="1221" t="inlineStr">
        <is>
          <t xml:space="preserve"> </t>
        </is>
      </c>
      <c r="T115" s="315" t="n"/>
    </row>
    <row r="116" ht="18" customHeight="1">
      <c r="B116" s="359" t="n"/>
      <c r="C116" s="118" t="inlineStr">
        <is>
          <t>Total COGS</t>
        </is>
      </c>
      <c r="D116" s="193">
        <f>D114*$E$8</f>
        <v/>
      </c>
      <c r="E116" s="193">
        <f>E114*$E$8</f>
        <v/>
      </c>
      <c r="F116" s="193">
        <f>F114*$E$8</f>
        <v/>
      </c>
      <c r="G116" s="193">
        <f>G114*$E$8</f>
        <v/>
      </c>
      <c r="H116" s="193">
        <f>H114*$E$8</f>
        <v/>
      </c>
      <c r="I116" s="193">
        <f>I114*$E$8</f>
        <v/>
      </c>
      <c r="J116" s="193">
        <f>J114*$E$8</f>
        <v/>
      </c>
      <c r="K116" s="193">
        <f>K114*$E$8</f>
        <v/>
      </c>
      <c r="L116" s="193">
        <f>L114*$E$8</f>
        <v/>
      </c>
      <c r="M116" s="193">
        <f>M114*$E$8</f>
        <v/>
      </c>
      <c r="N116" s="193">
        <f>N114*$E$8</f>
        <v/>
      </c>
      <c r="O116" s="193">
        <f>O114*$E$8</f>
        <v/>
      </c>
      <c r="P116" s="64">
        <f>SUM(D116:O116)</f>
        <v/>
      </c>
      <c r="Q116" s="1178">
        <f>IF(P115=0,0,P116/P115)</f>
        <v/>
      </c>
      <c r="R116" s="1222" t="inlineStr">
        <is>
          <t xml:space="preserve"> </t>
        </is>
      </c>
      <c r="T116" s="315" t="n"/>
    </row>
    <row r="117" ht="18" customHeight="1">
      <c r="B117" s="359" t="n"/>
      <c r="C117" s="119" t="inlineStr">
        <is>
          <t>Total Margin</t>
        </is>
      </c>
      <c r="D117" s="68">
        <f>D115-D116</f>
        <v/>
      </c>
      <c r="E117" s="68">
        <f>E115-E116</f>
        <v/>
      </c>
      <c r="F117" s="68">
        <f>F115-F116</f>
        <v/>
      </c>
      <c r="G117" s="68">
        <f>G115-G116</f>
        <v/>
      </c>
      <c r="H117" s="68">
        <f>H115-H116</f>
        <v/>
      </c>
      <c r="I117" s="68">
        <f>I115-I116</f>
        <v/>
      </c>
      <c r="J117" s="68">
        <f>J115-J116</f>
        <v/>
      </c>
      <c r="K117" s="68">
        <f>K115-K116</f>
        <v/>
      </c>
      <c r="L117" s="68">
        <f>L115-L116</f>
        <v/>
      </c>
      <c r="M117" s="68">
        <f>M115-M116</f>
        <v/>
      </c>
      <c r="N117" s="68">
        <f>N115-N116</f>
        <v/>
      </c>
      <c r="O117" s="68">
        <f>O115-O116</f>
        <v/>
      </c>
      <c r="P117" s="64">
        <f>SUM(D117:O117)</f>
        <v/>
      </c>
      <c r="Q117" s="1178">
        <f>IF(P115=0,0,P117/P115)</f>
        <v/>
      </c>
      <c r="R117" s="1222" t="inlineStr">
        <is>
          <t xml:space="preserve"> </t>
        </is>
      </c>
      <c r="T117" s="315" t="n"/>
    </row>
    <row r="118" ht="18" customHeight="1">
      <c r="B118" s="359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1223" t="inlineStr">
        <is>
          <t xml:space="preserve"> </t>
        </is>
      </c>
      <c r="T118" s="315" t="n"/>
    </row>
    <row r="119" ht="18" customHeight="1" thickBot="1">
      <c r="B119" s="359" t="n"/>
      <c r="C119" s="1026">
        <f>C9</f>
        <v/>
      </c>
      <c r="R119" s="1191" t="n"/>
      <c r="T119" s="315" t="n"/>
    </row>
    <row r="120" ht="18" customHeight="1" thickBot="1">
      <c r="B120" s="359" t="n"/>
      <c r="C120" s="116" t="inlineStr">
        <is>
          <t>Net New Licences Sold</t>
        </is>
      </c>
      <c r="D120" s="1170">
        <f>D100*$T$120</f>
        <v/>
      </c>
      <c r="E120" s="1170">
        <f>E100*$T$120</f>
        <v/>
      </c>
      <c r="F120" s="1170">
        <f>F100*$T$120</f>
        <v/>
      </c>
      <c r="G120" s="1170">
        <f>G100*$T$120</f>
        <v/>
      </c>
      <c r="H120" s="1170">
        <f>H100*$T$120</f>
        <v/>
      </c>
      <c r="I120" s="1170">
        <f>I100*$T$120</f>
        <v/>
      </c>
      <c r="J120" s="1170">
        <f>J100*$T$120</f>
        <v/>
      </c>
      <c r="K120" s="1170">
        <f>K100*$T$120</f>
        <v/>
      </c>
      <c r="L120" s="1170">
        <f>L100*$T$120</f>
        <v/>
      </c>
      <c r="M120" s="1170">
        <f>M100*$T$120</f>
        <v/>
      </c>
      <c r="N120" s="1170">
        <f>N100*$T$120</f>
        <v/>
      </c>
      <c r="O120" s="1170">
        <f>O100*$T$120</f>
        <v/>
      </c>
      <c r="P120" s="71" t="n"/>
      <c r="Q120" s="72" t="n"/>
      <c r="R120" s="73" t="n"/>
      <c r="T120" s="315" t="n">
        <v>1</v>
      </c>
    </row>
    <row r="121" ht="15" customHeight="1">
      <c r="B121" s="359" t="n"/>
      <c r="C121" s="117" t="inlineStr">
        <is>
          <t>Total Sales</t>
        </is>
      </c>
      <c r="D121" s="194">
        <f>D120*$D$9</f>
        <v/>
      </c>
      <c r="E121" s="194">
        <f>E120*$D$9</f>
        <v/>
      </c>
      <c r="F121" s="194">
        <f>F120*$D$9</f>
        <v/>
      </c>
      <c r="G121" s="194">
        <f>G120*$D$9</f>
        <v/>
      </c>
      <c r="H121" s="194">
        <f>H120*$D$9</f>
        <v/>
      </c>
      <c r="I121" s="194">
        <f>I120*$D$9</f>
        <v/>
      </c>
      <c r="J121" s="194">
        <f>J120*$D$9</f>
        <v/>
      </c>
      <c r="K121" s="194">
        <f>K120*$D$9</f>
        <v/>
      </c>
      <c r="L121" s="194">
        <f>L120*$D$9</f>
        <v/>
      </c>
      <c r="M121" s="194">
        <f>M120*$D$9</f>
        <v/>
      </c>
      <c r="N121" s="194">
        <f>N120*$D$9</f>
        <v/>
      </c>
      <c r="O121" s="194">
        <f>O120*$D$9</f>
        <v/>
      </c>
      <c r="P121" s="59">
        <f>SUM(D121:O121)</f>
        <v/>
      </c>
      <c r="Q121" s="1175">
        <f>(Q122+Q123)</f>
        <v/>
      </c>
      <c r="R121" s="1221" t="inlineStr">
        <is>
          <t xml:space="preserve"> </t>
        </is>
      </c>
      <c r="T121" s="315" t="n"/>
    </row>
    <row r="122" ht="15.75" customHeight="1">
      <c r="B122" s="359" t="n"/>
      <c r="C122" s="118" t="inlineStr">
        <is>
          <t>Total COGS</t>
        </is>
      </c>
      <c r="D122" s="193">
        <f>D120*$E$9</f>
        <v/>
      </c>
      <c r="E122" s="193">
        <f>E120*$E$9</f>
        <v/>
      </c>
      <c r="F122" s="193">
        <f>F120*$E$9</f>
        <v/>
      </c>
      <c r="G122" s="193">
        <f>G120*$E$9</f>
        <v/>
      </c>
      <c r="H122" s="193">
        <f>H120*$E$9</f>
        <v/>
      </c>
      <c r="I122" s="193">
        <f>I120*$E$9</f>
        <v/>
      </c>
      <c r="J122" s="193">
        <f>J120*$E$9</f>
        <v/>
      </c>
      <c r="K122" s="193">
        <f>K120*$E$9</f>
        <v/>
      </c>
      <c r="L122" s="193">
        <f>L120*$E$9</f>
        <v/>
      </c>
      <c r="M122" s="193">
        <f>M120*$E$9</f>
        <v/>
      </c>
      <c r="N122" s="193">
        <f>N120*$E$9</f>
        <v/>
      </c>
      <c r="O122" s="193">
        <f>O120*$E$9</f>
        <v/>
      </c>
      <c r="P122" s="64">
        <f>SUM(D122:O122)</f>
        <v/>
      </c>
      <c r="Q122" s="1178">
        <f>IF(P121=0,0,P122/P121)</f>
        <v/>
      </c>
      <c r="R122" s="1222" t="inlineStr">
        <is>
          <t xml:space="preserve"> </t>
        </is>
      </c>
      <c r="T122" s="315" t="n"/>
    </row>
    <row r="123" ht="18" customHeight="1">
      <c r="B123" s="359" t="n"/>
      <c r="C123" s="119" t="inlineStr">
        <is>
          <t>Total Margin</t>
        </is>
      </c>
      <c r="D123" s="68">
        <f>D121-D122</f>
        <v/>
      </c>
      <c r="E123" s="68">
        <f>E121-E122</f>
        <v/>
      </c>
      <c r="F123" s="68">
        <f>F121-F122</f>
        <v/>
      </c>
      <c r="G123" s="68">
        <f>G121-G122</f>
        <v/>
      </c>
      <c r="H123" s="68">
        <f>H121-H122</f>
        <v/>
      </c>
      <c r="I123" s="68">
        <f>I121-I122</f>
        <v/>
      </c>
      <c r="J123" s="68">
        <f>J121-J122</f>
        <v/>
      </c>
      <c r="K123" s="68">
        <f>K121-K122</f>
        <v/>
      </c>
      <c r="L123" s="68">
        <f>L121-L122</f>
        <v/>
      </c>
      <c r="M123" s="68">
        <f>M121-M122</f>
        <v/>
      </c>
      <c r="N123" s="68">
        <f>N121-N122</f>
        <v/>
      </c>
      <c r="O123" s="68">
        <f>O121-O122</f>
        <v/>
      </c>
      <c r="P123" s="64">
        <f>SUM(D123:O123)</f>
        <v/>
      </c>
      <c r="Q123" s="1178">
        <f>IF(P121=0,0,P123/P121)</f>
        <v/>
      </c>
      <c r="R123" s="1222" t="inlineStr">
        <is>
          <t xml:space="preserve"> </t>
        </is>
      </c>
      <c r="T123" s="315" t="n"/>
    </row>
    <row r="124" ht="18" customHeight="1" thickBot="1">
      <c r="B124" s="1114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1223" t="inlineStr">
        <is>
          <t xml:space="preserve"> </t>
        </is>
      </c>
    </row>
    <row r="125" ht="18" customHeight="1" thickBot="1"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</row>
    <row r="126" ht="18" customHeight="1">
      <c r="B126" s="1225" t="inlineStr">
        <is>
          <t>Total Distribution</t>
        </is>
      </c>
      <c r="C126" s="1193" t="inlineStr">
        <is>
          <t>Total Distribution / Reseller</t>
        </is>
      </c>
      <c r="D126" s="1145" t="n"/>
      <c r="E126" s="1145" t="n"/>
      <c r="F126" s="1145" t="n"/>
      <c r="G126" s="1145" t="n"/>
      <c r="H126" s="1145" t="n"/>
      <c r="I126" s="1145" t="n"/>
      <c r="J126" s="1145" t="n"/>
      <c r="K126" s="1145" t="n"/>
      <c r="L126" s="1145" t="n"/>
      <c r="M126" s="1145" t="n"/>
      <c r="N126" s="1145" t="n"/>
      <c r="O126" s="1145" t="n"/>
      <c r="P126" s="1145" t="n"/>
      <c r="Q126" s="1145" t="n"/>
      <c r="R126" s="705" t="n"/>
    </row>
    <row r="127" ht="18" customHeight="1">
      <c r="B127" s="1180" t="n"/>
      <c r="C127" s="295" t="n"/>
      <c r="D127" s="183" t="n"/>
      <c r="E127" s="183" t="n"/>
      <c r="F127" s="183" t="n"/>
      <c r="G127" s="183" t="n"/>
      <c r="H127" s="183" t="n"/>
      <c r="I127" s="183" t="n"/>
      <c r="J127" s="183" t="n"/>
      <c r="K127" s="183" t="n"/>
      <c r="L127" s="183" t="n"/>
      <c r="M127" s="183" t="n"/>
      <c r="N127" s="183" t="n"/>
      <c r="O127" s="199" t="n"/>
      <c r="P127" s="182" t="n"/>
      <c r="Q127" s="180" t="n"/>
      <c r="R127" s="296" t="n"/>
    </row>
    <row r="128" ht="18" customHeight="1">
      <c r="B128" s="1180" t="n"/>
      <c r="C128" s="297" t="inlineStr">
        <is>
          <t>Total Sales</t>
        </is>
      </c>
      <c r="D128" s="194">
        <f>D36+D50+D64+D78</f>
        <v/>
      </c>
      <c r="E128" s="194">
        <f>E36+E50+E64+E78</f>
        <v/>
      </c>
      <c r="F128" s="194">
        <f>F36+F50+F64+F78</f>
        <v/>
      </c>
      <c r="G128" s="194">
        <f>G36+G50+G64+G78</f>
        <v/>
      </c>
      <c r="H128" s="194">
        <f>H36+H50+H64+H78</f>
        <v/>
      </c>
      <c r="I128" s="194">
        <f>I36+I50+I64+I78</f>
        <v/>
      </c>
      <c r="J128" s="194">
        <f>J36+J50+J64+J78</f>
        <v/>
      </c>
      <c r="K128" s="194">
        <f>K36+K50+K64+K78</f>
        <v/>
      </c>
      <c r="L128" s="194">
        <f>L36+L50+L64+L78</f>
        <v/>
      </c>
      <c r="M128" s="194">
        <f>M36+M50+M64+M78</f>
        <v/>
      </c>
      <c r="N128" s="194">
        <f>N36+N50+N64+N78</f>
        <v/>
      </c>
      <c r="O128" s="217">
        <f>O36+O50+O64+O78</f>
        <v/>
      </c>
      <c r="P128" s="59">
        <f>SUM(D128:O128)</f>
        <v/>
      </c>
      <c r="Q128" s="1175">
        <f>(Q129+Q130)</f>
        <v/>
      </c>
      <c r="R128" s="1176" t="inlineStr">
        <is>
          <t xml:space="preserve"> </t>
        </is>
      </c>
    </row>
    <row r="129" ht="18" customHeight="1">
      <c r="B129" s="1180" t="n"/>
      <c r="C129" s="299" t="inlineStr">
        <is>
          <t>Total COGS</t>
        </is>
      </c>
      <c r="D129" s="108">
        <f>D37+D44+D51+D79</f>
        <v/>
      </c>
      <c r="E129" s="108">
        <f>E37+E44+E51+E79</f>
        <v/>
      </c>
      <c r="F129" s="108">
        <f>F37+F44+F51+F79</f>
        <v/>
      </c>
      <c r="G129" s="108">
        <f>G37+G44+G51+G79</f>
        <v/>
      </c>
      <c r="H129" s="108">
        <f>H37+H44+H51+H79</f>
        <v/>
      </c>
      <c r="I129" s="108">
        <f>I37+I44+I51+I79</f>
        <v/>
      </c>
      <c r="J129" s="108">
        <f>J37+J44+J51+J79</f>
        <v/>
      </c>
      <c r="K129" s="108">
        <f>K37+K44+K51+K79</f>
        <v/>
      </c>
      <c r="L129" s="108">
        <f>L37+L44+L51+L79</f>
        <v/>
      </c>
      <c r="M129" s="108">
        <f>M37+M44+M51+M79</f>
        <v/>
      </c>
      <c r="N129" s="108">
        <f>N37+N44+N51+N79</f>
        <v/>
      </c>
      <c r="O129" s="221">
        <f>O37+O44+O51+O79</f>
        <v/>
      </c>
      <c r="P129" s="64">
        <f>SUM(D129:O129)</f>
        <v/>
      </c>
      <c r="Q129" s="1178">
        <f>IF(P128=0,0,P129/P128)</f>
        <v/>
      </c>
      <c r="R129" s="1179" t="inlineStr">
        <is>
          <t xml:space="preserve"> </t>
        </is>
      </c>
    </row>
    <row r="130" ht="19" customHeight="1" thickBot="1">
      <c r="B130" s="712" t="n"/>
      <c r="C130" s="301" t="inlineStr">
        <is>
          <t>Total Margin</t>
        </is>
      </c>
      <c r="D130" s="308">
        <f>D128-D129</f>
        <v/>
      </c>
      <c r="E130" s="308">
        <f>E128-E129</f>
        <v/>
      </c>
      <c r="F130" s="308">
        <f>F128-F129</f>
        <v/>
      </c>
      <c r="G130" s="308">
        <f>G128-G129</f>
        <v/>
      </c>
      <c r="H130" s="308">
        <f>H128-H129</f>
        <v/>
      </c>
      <c r="I130" s="308">
        <f>I128-I129</f>
        <v/>
      </c>
      <c r="J130" s="308">
        <f>J128-J129</f>
        <v/>
      </c>
      <c r="K130" s="308">
        <f>K128-K129</f>
        <v/>
      </c>
      <c r="L130" s="308">
        <f>L128-L129</f>
        <v/>
      </c>
      <c r="M130" s="308">
        <f>M128-M129</f>
        <v/>
      </c>
      <c r="N130" s="308">
        <f>N128-N129</f>
        <v/>
      </c>
      <c r="O130" s="309">
        <f>O128-O129</f>
        <v/>
      </c>
      <c r="P130" s="303">
        <f>SUM(D130:O130)</f>
        <v/>
      </c>
      <c r="Q130" s="1181">
        <f>IF(P128=0,0,P130/P128)</f>
        <v/>
      </c>
      <c r="R130" s="1182" t="inlineStr">
        <is>
          <t xml:space="preserve"> </t>
        </is>
      </c>
    </row>
    <row r="131" ht="16" customHeight="1" thickBot="1">
      <c r="B131" s="252" t="inlineStr">
        <is>
          <t xml:space="preserve"> </t>
        </is>
      </c>
      <c r="C131" s="252" t="n"/>
      <c r="D131" s="252" t="n"/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2" t="n"/>
      <c r="N131" s="252" t="n"/>
      <c r="O131" s="252" t="n"/>
      <c r="P131" s="252" t="n"/>
      <c r="Q131" s="252" t="n"/>
      <c r="R131" s="252" t="n"/>
    </row>
    <row r="132" ht="15.75" customHeight="1">
      <c r="B132" s="1226" t="inlineStr">
        <is>
          <t>Total Hospitality</t>
        </is>
      </c>
      <c r="C132" s="1193" t="inlineStr">
        <is>
          <t>Total Hospitality</t>
        </is>
      </c>
      <c r="D132" s="1145" t="n"/>
      <c r="E132" s="1145" t="n"/>
      <c r="F132" s="1145" t="n"/>
      <c r="G132" s="1145" t="n"/>
      <c r="H132" s="1145" t="n"/>
      <c r="I132" s="1145" t="n"/>
      <c r="J132" s="1145" t="n"/>
      <c r="K132" s="1145" t="n"/>
      <c r="L132" s="1145" t="n"/>
      <c r="M132" s="1145" t="n"/>
      <c r="N132" s="1145" t="n"/>
      <c r="O132" s="1145" t="n"/>
      <c r="P132" s="1145" t="n"/>
      <c r="Q132" s="1145" t="n"/>
      <c r="R132" s="705" t="n"/>
    </row>
    <row r="133" ht="18" customHeight="1">
      <c r="B133" s="1180" t="n"/>
      <c r="C133" s="1017" t="n"/>
      <c r="D133" s="997" t="n"/>
      <c r="E133" s="997" t="n"/>
      <c r="F133" s="997" t="n"/>
      <c r="G133" s="997" t="n"/>
      <c r="H133" s="997" t="n"/>
      <c r="I133" s="997" t="n"/>
      <c r="J133" s="997" t="n"/>
      <c r="K133" s="997" t="n"/>
      <c r="L133" s="997" t="n"/>
      <c r="M133" s="997" t="n"/>
      <c r="N133" s="997" t="n"/>
      <c r="O133" s="222" t="n"/>
      <c r="P133" s="182" t="n"/>
      <c r="Q133" s="180" t="n"/>
      <c r="R133" s="296" t="n"/>
    </row>
    <row r="134" ht="18" customHeight="1">
      <c r="B134" s="1180" t="n"/>
      <c r="C134" s="297" t="inlineStr">
        <is>
          <t>Total Sales</t>
        </is>
      </c>
      <c r="D134" s="194">
        <f>D29+D36</f>
        <v/>
      </c>
      <c r="E134" s="194">
        <f>E29+E36</f>
        <v/>
      </c>
      <c r="F134" s="194">
        <f>F29+F36</f>
        <v/>
      </c>
      <c r="G134" s="194">
        <f>G29+G36</f>
        <v/>
      </c>
      <c r="H134" s="194">
        <f>H29+H36</f>
        <v/>
      </c>
      <c r="I134" s="194">
        <f>I29+I36</f>
        <v/>
      </c>
      <c r="J134" s="194">
        <f>J29+J36</f>
        <v/>
      </c>
      <c r="K134" s="194">
        <f>K29+K36</f>
        <v/>
      </c>
      <c r="L134" s="194">
        <f>L29+L36</f>
        <v/>
      </c>
      <c r="M134" s="194">
        <f>M29+M36</f>
        <v/>
      </c>
      <c r="N134" s="194">
        <f>N29+N36</f>
        <v/>
      </c>
      <c r="O134" s="217">
        <f>O29+O36</f>
        <v/>
      </c>
      <c r="P134" s="59">
        <f>SUM(D134:O134)</f>
        <v/>
      </c>
      <c r="Q134" s="1175">
        <f>(Q135+Q136)</f>
        <v/>
      </c>
      <c r="R134" s="1176" t="inlineStr">
        <is>
          <t xml:space="preserve"> </t>
        </is>
      </c>
    </row>
    <row r="135" ht="18" customHeight="1">
      <c r="B135" s="1180" t="n"/>
      <c r="C135" s="299" t="inlineStr">
        <is>
          <t>Total COGS</t>
        </is>
      </c>
      <c r="D135" s="193">
        <f>D30+D37</f>
        <v/>
      </c>
      <c r="E135" s="193">
        <f>E30+E37</f>
        <v/>
      </c>
      <c r="F135" s="193">
        <f>F30+F37</f>
        <v/>
      </c>
      <c r="G135" s="193">
        <f>G30+G37</f>
        <v/>
      </c>
      <c r="H135" s="193">
        <f>H30+H37</f>
        <v/>
      </c>
      <c r="I135" s="193">
        <f>I30+I37</f>
        <v/>
      </c>
      <c r="J135" s="193">
        <f>J30+J37</f>
        <v/>
      </c>
      <c r="K135" s="193">
        <f>K30+K37</f>
        <v/>
      </c>
      <c r="L135" s="193">
        <f>L30+L37</f>
        <v/>
      </c>
      <c r="M135" s="193">
        <f>M30+M37</f>
        <v/>
      </c>
      <c r="N135" s="193">
        <f>N30+N37</f>
        <v/>
      </c>
      <c r="O135" s="218">
        <f>O30+O37</f>
        <v/>
      </c>
      <c r="P135" s="64">
        <f>SUM(D135:O135)</f>
        <v/>
      </c>
      <c r="Q135" s="1178">
        <f>IF(P134=0,0,P135/P134)</f>
        <v/>
      </c>
      <c r="R135" s="1179" t="inlineStr">
        <is>
          <t xml:space="preserve"> </t>
        </is>
      </c>
    </row>
    <row r="136" ht="19" customHeight="1" thickBot="1">
      <c r="B136" s="712" t="n"/>
      <c r="C136" s="301" t="inlineStr">
        <is>
          <t>Total Margin</t>
        </is>
      </c>
      <c r="D136" s="308">
        <f>D134-D135</f>
        <v/>
      </c>
      <c r="E136" s="308">
        <f>E134-E135</f>
        <v/>
      </c>
      <c r="F136" s="308">
        <f>F134-F135</f>
        <v/>
      </c>
      <c r="G136" s="308">
        <f>G134-G135</f>
        <v/>
      </c>
      <c r="H136" s="308">
        <f>H134-H135</f>
        <v/>
      </c>
      <c r="I136" s="308">
        <f>I134-I135</f>
        <v/>
      </c>
      <c r="J136" s="308">
        <f>J134-J135</f>
        <v/>
      </c>
      <c r="K136" s="308">
        <f>K134-K135</f>
        <v/>
      </c>
      <c r="L136" s="308">
        <f>L134-L135</f>
        <v/>
      </c>
      <c r="M136" s="308">
        <f>M134-M135</f>
        <v/>
      </c>
      <c r="N136" s="308">
        <f>N134-N135</f>
        <v/>
      </c>
      <c r="O136" s="309">
        <f>O134-O135</f>
        <v/>
      </c>
      <c r="P136" s="303">
        <f>SUM(D136:O136)</f>
        <v/>
      </c>
      <c r="Q136" s="1181">
        <f>IF(P134=0,0,P136/P134)</f>
        <v/>
      </c>
      <c r="R136" s="1182" t="inlineStr">
        <is>
          <t xml:space="preserve"> </t>
        </is>
      </c>
    </row>
    <row r="137" ht="19" customHeight="1" thickBot="1">
      <c r="B137" s="128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1227" t="inlineStr">
        <is>
          <t xml:space="preserve"> </t>
        </is>
      </c>
    </row>
    <row r="138" ht="18" customHeight="1">
      <c r="B138" s="1226" t="inlineStr">
        <is>
          <t>Total Real Estate</t>
        </is>
      </c>
      <c r="C138" s="1193" t="inlineStr">
        <is>
          <t>Total Real Estate Development</t>
        </is>
      </c>
      <c r="D138" s="1145" t="n"/>
      <c r="E138" s="1145" t="n"/>
      <c r="F138" s="1145" t="n"/>
      <c r="G138" s="1145" t="n"/>
      <c r="H138" s="1145" t="n"/>
      <c r="I138" s="1145" t="n"/>
      <c r="J138" s="1145" t="n"/>
      <c r="K138" s="1145" t="n"/>
      <c r="L138" s="1145" t="n"/>
      <c r="M138" s="1145" t="n"/>
      <c r="N138" s="1145" t="n"/>
      <c r="O138" s="1145" t="n"/>
      <c r="P138" s="1145" t="n"/>
      <c r="Q138" s="1145" t="n"/>
      <c r="R138" s="705" t="n"/>
    </row>
    <row r="139" ht="18" customHeight="1">
      <c r="B139" s="1180" t="n"/>
      <c r="C139" s="310" t="n"/>
      <c r="D139" s="183" t="n"/>
      <c r="E139" s="183" t="n"/>
      <c r="F139" s="183" t="n"/>
      <c r="G139" s="183" t="n"/>
      <c r="H139" s="183" t="n"/>
      <c r="I139" s="183" t="n"/>
      <c r="J139" s="183" t="n"/>
      <c r="K139" s="183" t="n"/>
      <c r="L139" s="183" t="n"/>
      <c r="M139" s="183" t="n"/>
      <c r="N139" s="183" t="n"/>
      <c r="O139" s="199" t="n"/>
      <c r="P139" s="182" t="n"/>
      <c r="Q139" s="180" t="n"/>
      <c r="R139" s="296" t="n"/>
    </row>
    <row r="140" ht="18" customHeight="1">
      <c r="B140" s="1180" t="n"/>
      <c r="C140" s="299" t="inlineStr">
        <is>
          <t>Total Sales</t>
        </is>
      </c>
      <c r="D140" s="195">
        <f>D43+D50</f>
        <v/>
      </c>
      <c r="E140" s="194">
        <f>E43+E50</f>
        <v/>
      </c>
      <c r="F140" s="194">
        <f>F43+F50</f>
        <v/>
      </c>
      <c r="G140" s="194">
        <f>G43+G50</f>
        <v/>
      </c>
      <c r="H140" s="194">
        <f>H43+H50</f>
        <v/>
      </c>
      <c r="I140" s="194">
        <f>I43+I50</f>
        <v/>
      </c>
      <c r="J140" s="194">
        <f>J43+J50</f>
        <v/>
      </c>
      <c r="K140" s="194">
        <f>K43+K50</f>
        <v/>
      </c>
      <c r="L140" s="194">
        <f>L43+L50</f>
        <v/>
      </c>
      <c r="M140" s="194">
        <f>M43+M50</f>
        <v/>
      </c>
      <c r="N140" s="194">
        <f>N43+N50</f>
        <v/>
      </c>
      <c r="O140" s="217">
        <f>O43+O50</f>
        <v/>
      </c>
      <c r="P140" s="59">
        <f>SUM(D140:O140)</f>
        <v/>
      </c>
      <c r="Q140" s="1175">
        <f>(Q141+Q142)</f>
        <v/>
      </c>
      <c r="R140" s="1176" t="inlineStr">
        <is>
          <t xml:space="preserve"> </t>
        </is>
      </c>
    </row>
    <row r="141" ht="18" customHeight="1">
      <c r="B141" s="1180" t="n"/>
      <c r="C141" s="299" t="inlineStr">
        <is>
          <t>Total COGS</t>
        </is>
      </c>
      <c r="D141" s="196">
        <f>D44+D51</f>
        <v/>
      </c>
      <c r="E141" s="193">
        <f>E44+E51</f>
        <v/>
      </c>
      <c r="F141" s="193">
        <f>F44+F51</f>
        <v/>
      </c>
      <c r="G141" s="193">
        <f>G44+G51</f>
        <v/>
      </c>
      <c r="H141" s="193">
        <f>H44+H51</f>
        <v/>
      </c>
      <c r="I141" s="193">
        <f>I44+I51</f>
        <v/>
      </c>
      <c r="J141" s="193">
        <f>J44+J51</f>
        <v/>
      </c>
      <c r="K141" s="193">
        <f>K44+K51</f>
        <v/>
      </c>
      <c r="L141" s="193">
        <f>L44+L51</f>
        <v/>
      </c>
      <c r="M141" s="193">
        <f>M44+M51</f>
        <v/>
      </c>
      <c r="N141" s="193">
        <f>N44+N51</f>
        <v/>
      </c>
      <c r="O141" s="218">
        <f>O44+O51</f>
        <v/>
      </c>
      <c r="P141" s="64">
        <f>SUM(D141:O141)</f>
        <v/>
      </c>
      <c r="Q141" s="1178">
        <f>IF(P140=0,0,P141/P140)</f>
        <v/>
      </c>
      <c r="R141" s="1179" t="inlineStr">
        <is>
          <t xml:space="preserve"> </t>
        </is>
      </c>
    </row>
    <row r="142" ht="19" customHeight="1" thickBot="1">
      <c r="B142" s="712" t="n"/>
      <c r="C142" s="301" t="inlineStr">
        <is>
          <t>Total Margin</t>
        </is>
      </c>
      <c r="D142" s="311">
        <f>D140-D141</f>
        <v/>
      </c>
      <c r="E142" s="308">
        <f>E140-E141</f>
        <v/>
      </c>
      <c r="F142" s="308">
        <f>F140-F141</f>
        <v/>
      </c>
      <c r="G142" s="308">
        <f>G140-G141</f>
        <v/>
      </c>
      <c r="H142" s="308">
        <f>H140-H141</f>
        <v/>
      </c>
      <c r="I142" s="308">
        <f>I140-I141</f>
        <v/>
      </c>
      <c r="J142" s="308">
        <f>J140-J141</f>
        <v/>
      </c>
      <c r="K142" s="308">
        <f>K140-K141</f>
        <v/>
      </c>
      <c r="L142" s="308">
        <f>L140-L141</f>
        <v/>
      </c>
      <c r="M142" s="308">
        <f>M140-M141</f>
        <v/>
      </c>
      <c r="N142" s="308">
        <f>N140-N141</f>
        <v/>
      </c>
      <c r="O142" s="309">
        <f>O140-O141</f>
        <v/>
      </c>
      <c r="P142" s="303">
        <f>SUM(D142:O142)</f>
        <v/>
      </c>
      <c r="Q142" s="1181">
        <f>IF(P140=0,0,P142/P140)</f>
        <v/>
      </c>
      <c r="R142" s="1182" t="inlineStr">
        <is>
          <t xml:space="preserve"> </t>
        </is>
      </c>
    </row>
    <row r="143" ht="18" customHeight="1" thickBot="1">
      <c r="B143" s="128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</row>
    <row r="144" ht="18" customHeight="1">
      <c r="B144" s="1226" t="inlineStr">
        <is>
          <t>Total Pharma</t>
        </is>
      </c>
      <c r="C144" s="1193" t="inlineStr">
        <is>
          <t>Total Pharma</t>
        </is>
      </c>
      <c r="D144" s="1145" t="n"/>
      <c r="E144" s="1145" t="n"/>
      <c r="F144" s="1145" t="n"/>
      <c r="G144" s="1145" t="n"/>
      <c r="H144" s="1145" t="n"/>
      <c r="I144" s="1145" t="n"/>
      <c r="J144" s="1145" t="n"/>
      <c r="K144" s="1145" t="n"/>
      <c r="L144" s="1145" t="n"/>
      <c r="M144" s="1145" t="n"/>
      <c r="N144" s="1145" t="n"/>
      <c r="O144" s="1145" t="n"/>
      <c r="P144" s="1145" t="n"/>
      <c r="Q144" s="1145" t="n"/>
      <c r="R144" s="705" t="n"/>
    </row>
    <row r="145" ht="18" customHeight="1">
      <c r="B145" s="1180" t="n"/>
      <c r="C145" s="295" t="n"/>
      <c r="D145" s="183" t="n"/>
      <c r="E145" s="183" t="n"/>
      <c r="F145" s="183" t="n"/>
      <c r="G145" s="183" t="n"/>
      <c r="H145" s="183" t="n"/>
      <c r="I145" s="183" t="n"/>
      <c r="J145" s="183" t="n"/>
      <c r="K145" s="183" t="n"/>
      <c r="L145" s="183" t="n"/>
      <c r="M145" s="183" t="n"/>
      <c r="N145" s="183" t="n"/>
      <c r="O145" s="199" t="n"/>
      <c r="P145" s="182" t="n"/>
      <c r="Q145" s="180" t="n"/>
      <c r="R145" s="296" t="n"/>
    </row>
    <row r="146" ht="18" customHeight="1">
      <c r="B146" s="1180" t="n"/>
      <c r="C146" s="297" t="inlineStr">
        <is>
          <t>Total Sales</t>
        </is>
      </c>
      <c r="D146" s="194">
        <f>D57+D64</f>
        <v/>
      </c>
      <c r="E146" s="194">
        <f>E57+E64</f>
        <v/>
      </c>
      <c r="F146" s="194">
        <f>F57+F64</f>
        <v/>
      </c>
      <c r="G146" s="194">
        <f>G57+G64</f>
        <v/>
      </c>
      <c r="H146" s="194">
        <f>H57+H64</f>
        <v/>
      </c>
      <c r="I146" s="194">
        <f>I57+I64</f>
        <v/>
      </c>
      <c r="J146" s="194">
        <f>J57+J64</f>
        <v/>
      </c>
      <c r="K146" s="194">
        <f>K57+K64</f>
        <v/>
      </c>
      <c r="L146" s="194">
        <f>L57+L64</f>
        <v/>
      </c>
      <c r="M146" s="194">
        <f>M57+M64</f>
        <v/>
      </c>
      <c r="N146" s="194">
        <f>N57+N64</f>
        <v/>
      </c>
      <c r="O146" s="217">
        <f>O57+O64</f>
        <v/>
      </c>
      <c r="P146" s="59">
        <f>SUM(D146:O146)</f>
        <v/>
      </c>
      <c r="Q146" s="1175">
        <f>(Q147+Q148)</f>
        <v/>
      </c>
      <c r="R146" s="1176" t="inlineStr">
        <is>
          <t xml:space="preserve"> </t>
        </is>
      </c>
    </row>
    <row r="147" ht="18" customHeight="1">
      <c r="B147" s="1180" t="n"/>
      <c r="C147" s="299" t="inlineStr">
        <is>
          <t>Total COGS</t>
        </is>
      </c>
      <c r="D147" s="193">
        <f>D58+D65</f>
        <v/>
      </c>
      <c r="E147" s="193">
        <f>E58+E65</f>
        <v/>
      </c>
      <c r="F147" s="193">
        <f>F58+F65</f>
        <v/>
      </c>
      <c r="G147" s="193">
        <f>G58+G65</f>
        <v/>
      </c>
      <c r="H147" s="193">
        <f>H58+H65</f>
        <v/>
      </c>
      <c r="I147" s="193">
        <f>I58+I65</f>
        <v/>
      </c>
      <c r="J147" s="193">
        <f>J58+J65</f>
        <v/>
      </c>
      <c r="K147" s="193">
        <f>K58+K65</f>
        <v/>
      </c>
      <c r="L147" s="193">
        <f>L58+L65</f>
        <v/>
      </c>
      <c r="M147" s="193">
        <f>M58+M65</f>
        <v/>
      </c>
      <c r="N147" s="193">
        <f>N58+N65</f>
        <v/>
      </c>
      <c r="O147" s="218">
        <f>O58+O65</f>
        <v/>
      </c>
      <c r="P147" s="64">
        <f>SUM(D147:O147)</f>
        <v/>
      </c>
      <c r="Q147" s="1178">
        <f>IF(P146=0,0,P147/P146)</f>
        <v/>
      </c>
      <c r="R147" s="1179" t="inlineStr">
        <is>
          <t xml:space="preserve"> </t>
        </is>
      </c>
    </row>
    <row r="148" ht="18" customHeight="1" thickBot="1">
      <c r="B148" s="712" t="n"/>
      <c r="C148" s="301" t="inlineStr">
        <is>
          <t>Total Margin</t>
        </is>
      </c>
      <c r="D148" s="308">
        <f>D146-D147</f>
        <v/>
      </c>
      <c r="E148" s="308">
        <f>E146-E147</f>
        <v/>
      </c>
      <c r="F148" s="308">
        <f>F146-F147</f>
        <v/>
      </c>
      <c r="G148" s="308">
        <f>G146-G147</f>
        <v/>
      </c>
      <c r="H148" s="308">
        <f>H146-H147</f>
        <v/>
      </c>
      <c r="I148" s="308">
        <f>I146-I147</f>
        <v/>
      </c>
      <c r="J148" s="308">
        <f>J146-J147</f>
        <v/>
      </c>
      <c r="K148" s="308">
        <f>K146-K147</f>
        <v/>
      </c>
      <c r="L148" s="308">
        <f>L146-L147</f>
        <v/>
      </c>
      <c r="M148" s="308">
        <f>M146-M147</f>
        <v/>
      </c>
      <c r="N148" s="308">
        <f>N146-N147</f>
        <v/>
      </c>
      <c r="O148" s="309">
        <f>O146-O147</f>
        <v/>
      </c>
      <c r="P148" s="303">
        <f>SUM(D148:O148)</f>
        <v/>
      </c>
      <c r="Q148" s="1181">
        <f>IF(P146=0,0,P148/P146)</f>
        <v/>
      </c>
      <c r="R148" s="1182" t="inlineStr">
        <is>
          <t xml:space="preserve"> </t>
        </is>
      </c>
    </row>
    <row r="149" ht="16" customHeight="1" thickBot="1">
      <c r="B149" s="202" t="n"/>
      <c r="C149" s="209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215" t="n"/>
      <c r="P149" s="46" t="n"/>
      <c r="Q149" s="46" t="n"/>
      <c r="R149" s="46" t="n"/>
    </row>
    <row r="150" ht="18" customHeight="1">
      <c r="B150" s="1226" t="inlineStr">
        <is>
          <t>Total Professional Services</t>
        </is>
      </c>
      <c r="C150" s="1193" t="inlineStr">
        <is>
          <t>Total Professional Services</t>
        </is>
      </c>
      <c r="D150" s="1145" t="n"/>
      <c r="E150" s="1145" t="n"/>
      <c r="F150" s="1145" t="n"/>
      <c r="G150" s="1145" t="n"/>
      <c r="H150" s="1145" t="n"/>
      <c r="I150" s="1145" t="n"/>
      <c r="J150" s="1145" t="n"/>
      <c r="K150" s="1145" t="n"/>
      <c r="L150" s="1145" t="n"/>
      <c r="M150" s="1145" t="n"/>
      <c r="N150" s="1145" t="n"/>
      <c r="O150" s="1145" t="n"/>
      <c r="P150" s="1145" t="n"/>
      <c r="Q150" s="1145" t="n"/>
      <c r="R150" s="705" t="n"/>
    </row>
    <row r="151" ht="18" customHeight="1">
      <c r="B151" s="1180" t="n"/>
      <c r="C151" s="306" t="n"/>
      <c r="D151" s="183" t="n"/>
      <c r="E151" s="183" t="n"/>
      <c r="F151" s="183" t="n"/>
      <c r="G151" s="183" t="n"/>
      <c r="H151" s="183" t="n"/>
      <c r="I151" s="183" t="n"/>
      <c r="J151" s="183" t="n"/>
      <c r="K151" s="183" t="n"/>
      <c r="L151" s="183" t="n"/>
      <c r="M151" s="183" t="n"/>
      <c r="N151" s="183" t="n"/>
      <c r="O151" s="199" t="n"/>
      <c r="P151" s="182" t="n"/>
      <c r="Q151" s="180" t="n"/>
      <c r="R151" s="296" t="n"/>
    </row>
    <row r="152" ht="18" customHeight="1">
      <c r="B152" s="1180" t="n"/>
      <c r="C152" s="297" t="inlineStr">
        <is>
          <t>Total Sales</t>
        </is>
      </c>
      <c r="D152" s="194">
        <f>D71+D78</f>
        <v/>
      </c>
      <c r="E152" s="194">
        <f>E71+E78</f>
        <v/>
      </c>
      <c r="F152" s="194">
        <f>F71+F78</f>
        <v/>
      </c>
      <c r="G152" s="194">
        <f>G71+G78</f>
        <v/>
      </c>
      <c r="H152" s="194">
        <f>H71+H78</f>
        <v/>
      </c>
      <c r="I152" s="194">
        <f>I71+I78</f>
        <v/>
      </c>
      <c r="J152" s="194">
        <f>J71+J78</f>
        <v/>
      </c>
      <c r="K152" s="194">
        <f>K71+K78</f>
        <v/>
      </c>
      <c r="L152" s="194">
        <f>L71+L78</f>
        <v/>
      </c>
      <c r="M152" s="194">
        <f>M71+M78</f>
        <v/>
      </c>
      <c r="N152" s="194">
        <f>N71+N78</f>
        <v/>
      </c>
      <c r="O152" s="217">
        <f>O71+O78</f>
        <v/>
      </c>
      <c r="P152" s="59">
        <f>SUM(D152:O152)</f>
        <v/>
      </c>
      <c r="Q152" s="1175">
        <f>(Q153+Q154)</f>
        <v/>
      </c>
      <c r="R152" s="1176" t="inlineStr">
        <is>
          <t xml:space="preserve"> </t>
        </is>
      </c>
    </row>
    <row r="153" ht="18" customHeight="1">
      <c r="B153" s="1180" t="n"/>
      <c r="C153" s="299" t="inlineStr">
        <is>
          <t>Total COGS</t>
        </is>
      </c>
      <c r="D153" s="193">
        <f>D72+D79</f>
        <v/>
      </c>
      <c r="E153" s="193">
        <f>E72+E79</f>
        <v/>
      </c>
      <c r="F153" s="193">
        <f>F72+F79</f>
        <v/>
      </c>
      <c r="G153" s="193">
        <f>G72+G79</f>
        <v/>
      </c>
      <c r="H153" s="193">
        <f>H72+H79</f>
        <v/>
      </c>
      <c r="I153" s="193">
        <f>I72+I79</f>
        <v/>
      </c>
      <c r="J153" s="193">
        <f>J72+J79</f>
        <v/>
      </c>
      <c r="K153" s="193">
        <f>K72+K79</f>
        <v/>
      </c>
      <c r="L153" s="193">
        <f>L72+L79</f>
        <v/>
      </c>
      <c r="M153" s="193">
        <f>M72+M79</f>
        <v/>
      </c>
      <c r="N153" s="193">
        <f>N72+N79</f>
        <v/>
      </c>
      <c r="O153" s="218">
        <f>O72+O79</f>
        <v/>
      </c>
      <c r="P153" s="64">
        <f>SUM(D153:O153)</f>
        <v/>
      </c>
      <c r="Q153" s="1178">
        <f>IF(P152=0,0,P153/P152)</f>
        <v/>
      </c>
      <c r="R153" s="1179" t="inlineStr">
        <is>
          <t xml:space="preserve"> </t>
        </is>
      </c>
    </row>
    <row r="154" ht="19" customHeight="1" thickBot="1">
      <c r="B154" s="712" t="n"/>
      <c r="C154" s="301" t="inlineStr">
        <is>
          <t>Total Margin</t>
        </is>
      </c>
      <c r="D154" s="308">
        <f>D152-D153</f>
        <v/>
      </c>
      <c r="E154" s="308">
        <f>E152-E153</f>
        <v/>
      </c>
      <c r="F154" s="308">
        <f>F152-F153</f>
        <v/>
      </c>
      <c r="G154" s="308">
        <f>G152-G153</f>
        <v/>
      </c>
      <c r="H154" s="308">
        <f>H152-H153</f>
        <v/>
      </c>
      <c r="I154" s="308">
        <f>I152-I153</f>
        <v/>
      </c>
      <c r="J154" s="308">
        <f>J152-J153</f>
        <v/>
      </c>
      <c r="K154" s="308">
        <f>K152-K153</f>
        <v/>
      </c>
      <c r="L154" s="308">
        <f>L152-L153</f>
        <v/>
      </c>
      <c r="M154" s="308">
        <f>M152-M153</f>
        <v/>
      </c>
      <c r="N154" s="308">
        <f>N152-N153</f>
        <v/>
      </c>
      <c r="O154" s="309">
        <f>O152-O153</f>
        <v/>
      </c>
      <c r="P154" s="303">
        <f>SUM(D154:O154)</f>
        <v/>
      </c>
      <c r="Q154" s="1181">
        <f>IF(P152=0,0,P154/P152)</f>
        <v/>
      </c>
      <c r="R154" s="1182" t="inlineStr">
        <is>
          <t xml:space="preserve"> </t>
        </is>
      </c>
    </row>
    <row r="155" ht="16" customHeight="1" thickBot="1">
      <c r="B155" s="128" t="n"/>
      <c r="C155" s="209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</row>
    <row r="156" ht="18" customHeight="1">
      <c r="B156" s="1233" t="inlineStr">
        <is>
          <t>Consultancy</t>
        </is>
      </c>
      <c r="C156" s="1004" t="inlineStr">
        <is>
          <t>Consultancy</t>
        </is>
      </c>
      <c r="D156" s="1229" t="n"/>
      <c r="E156" s="1229" t="n"/>
      <c r="F156" s="1229" t="n"/>
      <c r="G156" s="1229" t="n"/>
      <c r="H156" s="1229" t="n"/>
      <c r="I156" s="1229" t="n"/>
      <c r="J156" s="1229" t="n"/>
      <c r="K156" s="1229" t="n"/>
      <c r="L156" s="1229" t="n"/>
      <c r="M156" s="1229" t="n"/>
      <c r="N156" s="1229" t="n"/>
      <c r="O156" s="1229" t="n"/>
      <c r="P156" s="1229" t="n"/>
      <c r="Q156" s="1229" t="n"/>
      <c r="R156" s="1230" t="n"/>
    </row>
    <row r="157" ht="18" customHeight="1">
      <c r="B157" s="359" t="n"/>
      <c r="C157" s="342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1" t="n"/>
      <c r="P157" s="182" t="n"/>
      <c r="Q157" s="180" t="n"/>
      <c r="R157" s="346" t="n"/>
    </row>
    <row r="158" ht="18" customHeight="1">
      <c r="B158" s="359" t="n"/>
      <c r="C158" s="117" t="inlineStr">
        <is>
          <t>Total Sales</t>
        </is>
      </c>
      <c r="D158" s="194">
        <f>D91+D85</f>
        <v/>
      </c>
      <c r="E158" s="194">
        <f>E91+E85</f>
        <v/>
      </c>
      <c r="F158" s="194">
        <f>F91+F85</f>
        <v/>
      </c>
      <c r="G158" s="194">
        <f>G91+G85</f>
        <v/>
      </c>
      <c r="H158" s="194">
        <f>H91+H85</f>
        <v/>
      </c>
      <c r="I158" s="194">
        <f>I91+I85</f>
        <v/>
      </c>
      <c r="J158" s="194">
        <f>J91+J85</f>
        <v/>
      </c>
      <c r="K158" s="194">
        <f>K91+K85</f>
        <v/>
      </c>
      <c r="L158" s="194">
        <f>L91+L85</f>
        <v/>
      </c>
      <c r="M158" s="194">
        <f>M91+M85</f>
        <v/>
      </c>
      <c r="N158" s="194">
        <f>N91+N85</f>
        <v/>
      </c>
      <c r="O158" s="217">
        <f>O91+O85</f>
        <v/>
      </c>
      <c r="P158" s="197">
        <f>SUM(D158:O158)</f>
        <v/>
      </c>
      <c r="Q158" s="1175">
        <f>(Q159+Q160)</f>
        <v/>
      </c>
      <c r="R158" s="1176" t="inlineStr">
        <is>
          <t xml:space="preserve"> </t>
        </is>
      </c>
    </row>
    <row r="159" ht="18" customHeight="1">
      <c r="B159" s="359" t="n"/>
      <c r="C159" s="118" t="inlineStr">
        <is>
          <t>Total COGS</t>
        </is>
      </c>
      <c r="D159" s="193">
        <f>D86+D92</f>
        <v/>
      </c>
      <c r="E159" s="193">
        <f>E86+E92</f>
        <v/>
      </c>
      <c r="F159" s="193">
        <f>F86+F92</f>
        <v/>
      </c>
      <c r="G159" s="193">
        <f>G86+G92</f>
        <v/>
      </c>
      <c r="H159" s="193">
        <f>H86+H92</f>
        <v/>
      </c>
      <c r="I159" s="193">
        <f>I86+I92</f>
        <v/>
      </c>
      <c r="J159" s="193">
        <f>J86+J92</f>
        <v/>
      </c>
      <c r="K159" s="193">
        <f>K86+K92</f>
        <v/>
      </c>
      <c r="L159" s="193">
        <f>L86+L92</f>
        <v/>
      </c>
      <c r="M159" s="193">
        <f>M86+M92</f>
        <v/>
      </c>
      <c r="N159" s="193">
        <f>N86+N92</f>
        <v/>
      </c>
      <c r="O159" s="193">
        <f>O86+O92</f>
        <v/>
      </c>
      <c r="P159" s="198">
        <f>SUM(D158:O158)</f>
        <v/>
      </c>
      <c r="Q159" s="1178">
        <f>IF(P158=0,0,P159/P158)</f>
        <v/>
      </c>
      <c r="R159" s="1179" t="inlineStr">
        <is>
          <t xml:space="preserve"> </t>
        </is>
      </c>
    </row>
    <row r="160" ht="18" customHeight="1" thickBot="1">
      <c r="B160" s="1114" t="n"/>
      <c r="C160" s="369" t="inlineStr">
        <is>
          <t>Total Margin</t>
        </is>
      </c>
      <c r="D160" s="308">
        <f>D158-D159</f>
        <v/>
      </c>
      <c r="E160" s="308">
        <f>E158-E159</f>
        <v/>
      </c>
      <c r="F160" s="308">
        <f>F158-F159</f>
        <v/>
      </c>
      <c r="G160" s="308">
        <f>G158-G159</f>
        <v/>
      </c>
      <c r="H160" s="308">
        <f>H158-H159</f>
        <v/>
      </c>
      <c r="I160" s="308">
        <f>I158-I159</f>
        <v/>
      </c>
      <c r="J160" s="308">
        <f>J158-J159</f>
        <v/>
      </c>
      <c r="K160" s="308">
        <f>K158-K159</f>
        <v/>
      </c>
      <c r="L160" s="308">
        <f>L158-L159</f>
        <v/>
      </c>
      <c r="M160" s="308">
        <f>M158-M159</f>
        <v/>
      </c>
      <c r="N160" s="308">
        <f>N158-N159</f>
        <v/>
      </c>
      <c r="O160" s="309">
        <f>O158-O159</f>
        <v/>
      </c>
      <c r="P160" s="348">
        <f>SUM(D159:O159)</f>
        <v/>
      </c>
      <c r="Q160" s="1181">
        <f>IF(P158=0,0,P160/P158)</f>
        <v/>
      </c>
      <c r="R160" s="1182" t="inlineStr">
        <is>
          <t xml:space="preserve"> </t>
        </is>
      </c>
    </row>
    <row r="161" ht="18" customHeight="1" thickBot="1">
      <c r="B161" s="128" t="n"/>
      <c r="C161" s="367" t="n"/>
      <c r="D161" s="367" t="n"/>
      <c r="E161" s="367" t="n"/>
      <c r="F161" s="367" t="n"/>
      <c r="G161" s="367" t="n"/>
      <c r="H161" s="367" t="n"/>
      <c r="I161" s="367" t="n"/>
      <c r="J161" s="367" t="n"/>
      <c r="K161" s="367" t="n"/>
      <c r="L161" s="367" t="n"/>
      <c r="M161" s="367" t="n"/>
      <c r="N161" s="367" t="n"/>
      <c r="O161" s="367" t="n"/>
      <c r="P161" s="367" t="n"/>
      <c r="Q161" s="367" t="n"/>
      <c r="R161" s="368" t="n"/>
    </row>
    <row r="162" ht="18" customHeight="1">
      <c r="B162" s="1233" t="inlineStr">
        <is>
          <t>Total Support</t>
        </is>
      </c>
      <c r="C162" s="1197" t="inlineStr">
        <is>
          <t>Total Support</t>
        </is>
      </c>
      <c r="R162" s="707" t="n"/>
    </row>
    <row r="163" ht="18" customHeight="1">
      <c r="B163" s="359" t="n"/>
      <c r="C163" s="101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997" t="n"/>
      <c r="P163" s="997" t="n"/>
      <c r="Q163" s="997" t="n"/>
      <c r="R163" s="1008" t="n"/>
    </row>
    <row r="164" ht="18" customHeight="1">
      <c r="B164" s="359" t="n"/>
      <c r="C164" s="349" t="inlineStr">
        <is>
          <t>Total Sales</t>
        </is>
      </c>
      <c r="D164" s="350">
        <f>(D76+D69+D62+D55+D48+D41+D34+D27)*$D$10</f>
        <v/>
      </c>
      <c r="E164" s="350">
        <f>(E76+E69+E62+E55+E48+E41+E34+E27)*$D$10</f>
        <v/>
      </c>
      <c r="F164" s="350">
        <f>(F76+F69+F62+F55+F48+F41+F34+F27)*$D$10</f>
        <v/>
      </c>
      <c r="G164" s="350">
        <f>(G76+G69+G62+G55+G48+G41+G34+G27)*$D$10</f>
        <v/>
      </c>
      <c r="H164" s="350">
        <f>(H76+H69+H62+H55+H48+H41+H34+H27)*$D$10</f>
        <v/>
      </c>
      <c r="I164" s="350">
        <f>(I76+I69+I62+I55+I48+I41+I34+I27)*$D$10</f>
        <v/>
      </c>
      <c r="J164" s="350">
        <f>(J76+J69+J62+J55+J48+J41+J34+J27)*$D$10</f>
        <v/>
      </c>
      <c r="K164" s="350">
        <f>(K76+K69+K62+K55+K48+K41+K34+K27)*$D$10</f>
        <v/>
      </c>
      <c r="L164" s="350">
        <f>(L76+L69+L62+L55+L48+L41+L34+L27)*$D$10</f>
        <v/>
      </c>
      <c r="M164" s="350">
        <f>(M76+M69+M62+M55+M48+M41+M34+M27)*$D$10</f>
        <v/>
      </c>
      <c r="N164" s="350">
        <f>(N76+N69+N62+N55+N48+N41+N34+N27)*$D$10</f>
        <v/>
      </c>
      <c r="O164" s="351">
        <f>(O76+O69+O62+O55+O48+O41+O34+O27)*$D$10</f>
        <v/>
      </c>
      <c r="P164" s="59">
        <f>SUM(D164:O164)</f>
        <v/>
      </c>
      <c r="Q164" s="1175">
        <f>(Q165+Q166)</f>
        <v/>
      </c>
      <c r="R164" s="1176" t="inlineStr">
        <is>
          <t xml:space="preserve"> </t>
        </is>
      </c>
    </row>
    <row r="165" ht="18" customHeight="1">
      <c r="B165" s="359" t="n"/>
      <c r="C165" s="299" t="inlineStr">
        <is>
          <t>Total COGS</t>
        </is>
      </c>
      <c r="D165" s="193">
        <f>(D76+D69+D62+D55+D48+D41+D34+D27)*$E$10</f>
        <v/>
      </c>
      <c r="E165" s="193">
        <f>(E76+E69+E62+E55+E48+E41+E34+E27)*$E$10</f>
        <v/>
      </c>
      <c r="F165" s="193">
        <f>(F76+F69+F62+F55+F48+F41+F34+F27)*$E$10</f>
        <v/>
      </c>
      <c r="G165" s="193">
        <f>(G76+G69+G62+G55+G48+G41+G34+G27)*$E$10</f>
        <v/>
      </c>
      <c r="H165" s="193">
        <f>(H76+H69+H62+H55+H48+H41+H34+H27)*$E$10</f>
        <v/>
      </c>
      <c r="I165" s="193">
        <f>(I76+I69+I62+I55+I48+I41+I34+I27)*$E$10</f>
        <v/>
      </c>
      <c r="J165" s="193">
        <f>(J76+J69+J62+J55+J48+J41+J34+J27)*$E$10</f>
        <v/>
      </c>
      <c r="K165" s="193">
        <f>(K76+K69+K62+K55+K48+K41+K34+K27)*$E$10</f>
        <v/>
      </c>
      <c r="L165" s="193">
        <f>(L76+L69+L62+L55+L48+L41+L34+L27)*$E$10</f>
        <v/>
      </c>
      <c r="M165" s="193">
        <f>(M76+M69+M62+M55+M48+M41+M34+M27)*$E$10</f>
        <v/>
      </c>
      <c r="N165" s="193">
        <f>(N76+N69+N62+N55+N48+N41+N34+N27)*$E$10</f>
        <v/>
      </c>
      <c r="O165" s="193">
        <f>(O76+O69+O62+O55+O48+O41+O34+O27)*$E$10</f>
        <v/>
      </c>
      <c r="P165" s="345">
        <f>SUM(D165:O165)</f>
        <v/>
      </c>
      <c r="Q165" s="1178">
        <f>IF(P164=0,0,P165/P164)</f>
        <v/>
      </c>
      <c r="R165" s="1179" t="inlineStr">
        <is>
          <t xml:space="preserve"> </t>
        </is>
      </c>
    </row>
    <row r="166" ht="19" customHeight="1" thickBot="1">
      <c r="B166" s="1114" t="n"/>
      <c r="C166" s="301" t="inlineStr">
        <is>
          <t>Total Margin</t>
        </is>
      </c>
      <c r="D166" s="308">
        <f>D164-D165</f>
        <v/>
      </c>
      <c r="E166" s="308">
        <f>E164-E165</f>
        <v/>
      </c>
      <c r="F166" s="308">
        <f>F164-F165</f>
        <v/>
      </c>
      <c r="G166" s="308">
        <f>G164-G165</f>
        <v/>
      </c>
      <c r="H166" s="308">
        <f>H164-H165</f>
        <v/>
      </c>
      <c r="I166" s="308">
        <f>I164-I165</f>
        <v/>
      </c>
      <c r="J166" s="308">
        <f>J164-J165</f>
        <v/>
      </c>
      <c r="K166" s="308">
        <f>K164-K165</f>
        <v/>
      </c>
      <c r="L166" s="308">
        <f>L164-L165</f>
        <v/>
      </c>
      <c r="M166" s="308">
        <f>M164-M165</f>
        <v/>
      </c>
      <c r="N166" s="308">
        <f>N164-N165</f>
        <v/>
      </c>
      <c r="O166" s="308">
        <f>O164-O165</f>
        <v/>
      </c>
      <c r="P166" s="366">
        <f>SUM(D166:O166)</f>
        <v/>
      </c>
      <c r="Q166" s="1181">
        <f>IF(P164=0,0,P166/P164)</f>
        <v/>
      </c>
      <c r="R166" s="1182" t="inlineStr">
        <is>
          <t xml:space="preserve"> </t>
        </is>
      </c>
    </row>
    <row r="167" ht="19" customHeight="1" thickBot="1">
      <c r="B167" s="989" t="n"/>
      <c r="C167" s="711" t="n"/>
      <c r="D167" s="711" t="n"/>
      <c r="E167" s="711" t="n"/>
      <c r="F167" s="711" t="n"/>
      <c r="G167" s="711" t="n"/>
      <c r="H167" s="711" t="n"/>
      <c r="I167" s="711" t="n"/>
      <c r="J167" s="711" t="n"/>
      <c r="K167" s="711" t="n"/>
      <c r="L167" s="711" t="n"/>
      <c r="M167" s="340" t="n"/>
      <c r="N167" s="340" t="n"/>
      <c r="O167" s="340" t="n"/>
      <c r="P167" s="103" t="n"/>
      <c r="Q167" s="1208" t="n"/>
      <c r="R167" s="1240" t="n"/>
    </row>
    <row r="168" ht="18" customHeight="1">
      <c r="B168" s="1226" t="inlineStr">
        <is>
          <t>Total Admin</t>
        </is>
      </c>
      <c r="C168" s="1193" t="inlineStr">
        <is>
          <t>Administrative and On-Boarding</t>
        </is>
      </c>
      <c r="D168" s="1145" t="n"/>
      <c r="E168" s="1145" t="n"/>
      <c r="F168" s="1145" t="n"/>
      <c r="G168" s="1145" t="n"/>
      <c r="H168" s="1145" t="n"/>
      <c r="I168" s="1145" t="n"/>
      <c r="J168" s="1145" t="n"/>
      <c r="K168" s="1145" t="n"/>
      <c r="L168" s="1145" t="n"/>
      <c r="M168" s="1145" t="n"/>
      <c r="N168" s="1145" t="n"/>
      <c r="O168" s="1145" t="n"/>
      <c r="P168" s="1145" t="n"/>
      <c r="Q168" s="1145" t="n"/>
      <c r="R168" s="705" t="n"/>
    </row>
    <row r="169" ht="18" customHeight="1">
      <c r="B169" s="1180" t="n"/>
      <c r="C169" s="295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1" t="n"/>
      <c r="P169" s="182" t="n"/>
      <c r="Q169" s="180" t="n"/>
      <c r="R169" s="296" t="n"/>
    </row>
    <row r="170" ht="18" customHeight="1">
      <c r="B170" s="1180" t="n"/>
      <c r="C170" s="297" t="inlineStr">
        <is>
          <t>Total Sales</t>
        </is>
      </c>
      <c r="D170" s="194">
        <f>D120+D115+D109+D103</f>
        <v/>
      </c>
      <c r="E170" s="194">
        <f>E120+E115+E109+E103</f>
        <v/>
      </c>
      <c r="F170" s="194">
        <f>F121+F115+F109+F103</f>
        <v/>
      </c>
      <c r="G170" s="194">
        <f>G121+G115+G109+G103</f>
        <v/>
      </c>
      <c r="H170" s="194">
        <f>H121+H115+H109+H103</f>
        <v/>
      </c>
      <c r="I170" s="194">
        <f>I121+I115+I109+I103</f>
        <v/>
      </c>
      <c r="J170" s="194">
        <f>J121+J115+J109+J103</f>
        <v/>
      </c>
      <c r="K170" s="194">
        <f>K121+K115+K109+K103</f>
        <v/>
      </c>
      <c r="L170" s="194">
        <f>L121+L115+L109+L103</f>
        <v/>
      </c>
      <c r="M170" s="194">
        <f>M121+M115+M109+M103</f>
        <v/>
      </c>
      <c r="N170" s="194">
        <f>N121+N115+N109+N103</f>
        <v/>
      </c>
      <c r="O170" s="194">
        <f>O121+O115+O109+O103</f>
        <v/>
      </c>
      <c r="P170" s="59">
        <f>SUM(D170:O170)</f>
        <v/>
      </c>
      <c r="Q170" s="1175">
        <f>(Q171+Q172)</f>
        <v/>
      </c>
      <c r="R170" s="1176" t="inlineStr">
        <is>
          <t xml:space="preserve"> </t>
        </is>
      </c>
    </row>
    <row r="171" ht="18" customHeight="1">
      <c r="B171" s="1180" t="n"/>
      <c r="C171" s="299" t="inlineStr">
        <is>
          <t>Total COGS</t>
        </is>
      </c>
      <c r="D171" s="193">
        <f>D122+D116+D110+D104</f>
        <v/>
      </c>
      <c r="E171" s="193">
        <f>E122+E116+E110+E104</f>
        <v/>
      </c>
      <c r="F171" s="193">
        <f>F122+F116+F110+F104</f>
        <v/>
      </c>
      <c r="G171" s="193">
        <f>G122+G116+G110+G104</f>
        <v/>
      </c>
      <c r="H171" s="193">
        <f>H122+H116+H110+H104</f>
        <v/>
      </c>
      <c r="I171" s="193">
        <f>I122+I116+I110+I104</f>
        <v/>
      </c>
      <c r="J171" s="193">
        <f>J122+J116+J110+J104</f>
        <v/>
      </c>
      <c r="K171" s="193">
        <f>K122+K116+K110+K104</f>
        <v/>
      </c>
      <c r="L171" s="193">
        <f>L122+L116+L110+L104</f>
        <v/>
      </c>
      <c r="M171" s="193">
        <f>M122+M116+M110+M104</f>
        <v/>
      </c>
      <c r="N171" s="193">
        <f>N122+N116+N110+N104</f>
        <v/>
      </c>
      <c r="O171" s="193">
        <f>O122+O116+O110+O104</f>
        <v/>
      </c>
      <c r="P171" s="64">
        <f>SUM(D171:O171)</f>
        <v/>
      </c>
      <c r="Q171" s="1178">
        <f>IF(P170=0,0,P171/P170)</f>
        <v/>
      </c>
      <c r="R171" s="1179" t="inlineStr">
        <is>
          <t xml:space="preserve"> </t>
        </is>
      </c>
    </row>
    <row r="172" ht="19" customHeight="1" thickBot="1">
      <c r="B172" s="712" t="n"/>
      <c r="C172" s="301" t="inlineStr">
        <is>
          <t>Total Margin</t>
        </is>
      </c>
      <c r="D172" s="308">
        <f>D170-D171</f>
        <v/>
      </c>
      <c r="E172" s="308">
        <f>E170-E171</f>
        <v/>
      </c>
      <c r="F172" s="308">
        <f>F170-F171</f>
        <v/>
      </c>
      <c r="G172" s="308">
        <f>G170-G171</f>
        <v/>
      </c>
      <c r="H172" s="308">
        <f>H170-H171</f>
        <v/>
      </c>
      <c r="I172" s="308">
        <f>I170-I171</f>
        <v/>
      </c>
      <c r="J172" s="308">
        <f>J170-J171</f>
        <v/>
      </c>
      <c r="K172" s="308">
        <f>K170-K171</f>
        <v/>
      </c>
      <c r="L172" s="308">
        <f>L170-L171</f>
        <v/>
      </c>
      <c r="M172" s="308">
        <f>M170-M171</f>
        <v/>
      </c>
      <c r="N172" s="308">
        <f>N170-N171</f>
        <v/>
      </c>
      <c r="O172" s="308">
        <f>O170-O171</f>
        <v/>
      </c>
      <c r="P172" s="303">
        <f>SUM(D172:O172)</f>
        <v/>
      </c>
      <c r="Q172" s="1181">
        <f>IF(P170=0,0,P172/P170)</f>
        <v/>
      </c>
      <c r="R172" s="1182" t="inlineStr">
        <is>
          <t xml:space="preserve"> </t>
        </is>
      </c>
    </row>
    <row r="173" ht="16" customHeight="1" thickBot="1">
      <c r="B173" s="203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</row>
    <row r="174" ht="18" customHeight="1">
      <c r="B174" s="1243" t="inlineStr">
        <is>
          <t>Grand Total</t>
        </is>
      </c>
      <c r="C174" s="1244" t="inlineStr">
        <is>
          <t>Grand Totals</t>
        </is>
      </c>
      <c r="R174" s="1245" t="n"/>
      <c r="T174" s="641" t="inlineStr">
        <is>
          <t xml:space="preserve"> </t>
        </is>
      </c>
    </row>
    <row r="175" ht="18" customHeight="1">
      <c r="B175" s="1246" t="n"/>
      <c r="C175" s="640" t="inlineStr">
        <is>
          <t>Total Licenses</t>
        </is>
      </c>
      <c r="D175" s="1247">
        <f>D76+D69+D62+D55+D48+D41+D34+D27</f>
        <v/>
      </c>
      <c r="E175" s="1247">
        <f>E76+E69+E62+E55+E48+E41+E34+E27</f>
        <v/>
      </c>
      <c r="F175" s="1247">
        <f>F76+F69+F62+F55+F48+F41+F34+F27</f>
        <v/>
      </c>
      <c r="G175" s="1247">
        <f>G76+G69+G62+G55+G48+G41+G34+G27</f>
        <v/>
      </c>
      <c r="H175" s="1247">
        <f>H76+H69+H62+H55+H48+H41+H34+H27</f>
        <v/>
      </c>
      <c r="I175" s="1247">
        <f>I76+I69+I62+I55+I48+I41+I34+I27</f>
        <v/>
      </c>
      <c r="J175" s="1247">
        <f>J76+J69+J62+J55+J48+J41+J34+J27</f>
        <v/>
      </c>
      <c r="K175" s="1247">
        <f>K76+K69+K62+K55+K48+K41+K34+K27</f>
        <v/>
      </c>
      <c r="L175" s="1247">
        <f>L76+L69+L62+L55+L48+L41+L34+L27</f>
        <v/>
      </c>
      <c r="M175" s="1247">
        <f>M76+M69+M62+M55+M48+M41+M34+M27</f>
        <v/>
      </c>
      <c r="N175" s="1247">
        <f>N76+N69+N62+N55+N48+N41+N34+N27</f>
        <v/>
      </c>
      <c r="O175" s="1247">
        <f>O76+O69+O62+O55+O48+O41+O34+O27</f>
        <v/>
      </c>
      <c r="P175" s="1286">
        <f>P27+P34+P41+P48+P55+P62+P69+P69+P76</f>
        <v/>
      </c>
      <c r="Q175" s="180" t="n"/>
      <c r="R175" s="181" t="n"/>
      <c r="T175" s="1303" t="inlineStr">
        <is>
          <t xml:space="preserve"> </t>
        </is>
      </c>
    </row>
    <row r="176" ht="18" customHeight="1">
      <c r="B176" s="1246" t="n"/>
      <c r="C176" s="210" t="inlineStr">
        <is>
          <t>Total Sales</t>
        </is>
      </c>
      <c r="D176" s="194">
        <f>D170+D158+D146+D140+D134+D152+D164+D128</f>
        <v/>
      </c>
      <c r="E176" s="194">
        <f>E170+E158+E146+E140+E134+E152+E164+E128</f>
        <v/>
      </c>
      <c r="F176" s="194">
        <f>F170+F158+F146+F140+F134+F152+F164+F128</f>
        <v/>
      </c>
      <c r="G176" s="194">
        <f>G170+G158+G146+G140+G134+G152+G164+G128</f>
        <v/>
      </c>
      <c r="H176" s="194">
        <f>H170+H158+H146+H140+H134+H152+H164+H128</f>
        <v/>
      </c>
      <c r="I176" s="194">
        <f>I170+I158+I146+I140+I134+I152+I164+I128</f>
        <v/>
      </c>
      <c r="J176" s="194">
        <f>J170+J158+J146+J140+J134+J152+J164+J128</f>
        <v/>
      </c>
      <c r="K176" s="194">
        <f>K170+K158+K146+K140+K134+K152+K164+K128</f>
        <v/>
      </c>
      <c r="L176" s="194">
        <f>L170+L158+L146+L140+L134+L152+L164+L128</f>
        <v/>
      </c>
      <c r="M176" s="194">
        <f>M170+M158+M146+M140+M134+M152+M164+M128</f>
        <v/>
      </c>
      <c r="N176" s="194">
        <f>N170+N158+N146+N140+N134+N152+N164+N128</f>
        <v/>
      </c>
      <c r="O176" s="194">
        <f>O170+O158+O146+O140+O134+O152+O164+O128</f>
        <v/>
      </c>
      <c r="P176" s="197">
        <f>SUM(D176:O176)</f>
        <v/>
      </c>
      <c r="Q176" s="1175">
        <f>(Q177+Q178)</f>
        <v/>
      </c>
      <c r="R176" s="1248" t="inlineStr">
        <is>
          <t xml:space="preserve"> </t>
        </is>
      </c>
    </row>
    <row r="177" ht="18" customHeight="1">
      <c r="B177" s="1246" t="n"/>
      <c r="C177" s="212" t="inlineStr">
        <is>
          <t>Total COGS</t>
        </is>
      </c>
      <c r="D177" s="193">
        <f>D171+D159+D153+D147+D141+D135+D129</f>
        <v/>
      </c>
      <c r="E177" s="193">
        <f>E171+E159+E153+E147+E141+E135+E129</f>
        <v/>
      </c>
      <c r="F177" s="193">
        <f>F171+F159+F153+F147+F141+F135+F129</f>
        <v/>
      </c>
      <c r="G177" s="193">
        <f>G171+G159+G153+G147+G141+G135+G129</f>
        <v/>
      </c>
      <c r="H177" s="193">
        <f>H171+H159+H153+H147+H141+H135+H129</f>
        <v/>
      </c>
      <c r="I177" s="193">
        <f>I171+I159+I153+I147+I141+I135+I129</f>
        <v/>
      </c>
      <c r="J177" s="193">
        <f>J171+J159+J153+J147+J141+J135+J129</f>
        <v/>
      </c>
      <c r="K177" s="193">
        <f>K171+K159+K153+K147+K141+K135+K129</f>
        <v/>
      </c>
      <c r="L177" s="193">
        <f>L171+L159+L153+L147+L141+L135+L129</f>
        <v/>
      </c>
      <c r="M177" s="193">
        <f>M171+M159+M153+M147+M141+M135+M129</f>
        <v/>
      </c>
      <c r="N177" s="193">
        <f>N171+N159+N153+N147+N141+N135+N129</f>
        <v/>
      </c>
      <c r="O177" s="193">
        <f>O171+O159+O153+O147+O141+O135+O129</f>
        <v/>
      </c>
      <c r="P177" s="198">
        <f>SUM(D177:O177)</f>
        <v/>
      </c>
      <c r="Q177" s="1178">
        <f>IF(P176=0,0,P177/P176)</f>
        <v/>
      </c>
      <c r="R177" s="1250" t="inlineStr">
        <is>
          <t xml:space="preserve"> </t>
        </is>
      </c>
    </row>
    <row r="178" ht="19" customHeight="1" thickBot="1">
      <c r="B178" s="1251" t="n"/>
      <c r="C178" s="214" t="inlineStr">
        <is>
          <t>Total Margin</t>
        </is>
      </c>
      <c r="D178" s="111">
        <f>D176-D177</f>
        <v/>
      </c>
      <c r="E178" s="111">
        <f>E176-E177</f>
        <v/>
      </c>
      <c r="F178" s="111">
        <f>F176-F177</f>
        <v/>
      </c>
      <c r="G178" s="111">
        <f>G176-G177</f>
        <v/>
      </c>
      <c r="H178" s="111">
        <f>H176-H177</f>
        <v/>
      </c>
      <c r="I178" s="111">
        <f>I176-I177</f>
        <v/>
      </c>
      <c r="J178" s="111">
        <f>J176-J177</f>
        <v/>
      </c>
      <c r="K178" s="111">
        <f>K176-K177</f>
        <v/>
      </c>
      <c r="L178" s="111">
        <f>L176-L177</f>
        <v/>
      </c>
      <c r="M178" s="111">
        <f>M176-M177</f>
        <v/>
      </c>
      <c r="N178" s="111">
        <f>N176-N177</f>
        <v/>
      </c>
      <c r="O178" s="219">
        <f>O176-O177</f>
        <v/>
      </c>
      <c r="P178" s="220">
        <f>SUM(D178:O178)</f>
        <v/>
      </c>
      <c r="Q178" s="1252">
        <f>IF(P176=0,0,P178/P176)</f>
        <v/>
      </c>
      <c r="R178" s="1253" t="inlineStr">
        <is>
          <t xml:space="preserve"> </t>
        </is>
      </c>
    </row>
    <row r="179"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</row>
    <row r="210">
      <c r="C210" t="inlineStr">
        <is>
          <t>COGS</t>
        </is>
      </c>
      <c r="D210" s="1304">
        <f>'COGS Analysis'!$D$16/D175</f>
        <v/>
      </c>
      <c r="E210" s="1304">
        <f>'COGS Analysis'!$D$16/E175</f>
        <v/>
      </c>
      <c r="F210" s="1304">
        <f>'COGS Analysis'!$D$16/F175</f>
        <v/>
      </c>
      <c r="G210" s="1304">
        <f>'COGS Analysis'!$D$16/G175</f>
        <v/>
      </c>
      <c r="H210" s="1304">
        <f>'COGS Analysis'!$D$16/H175</f>
        <v/>
      </c>
      <c r="I210" s="1304">
        <f>'COGS Analysis'!$D$16/I175</f>
        <v/>
      </c>
      <c r="J210" s="1304">
        <f>'COGS Analysis'!$D$16/J175</f>
        <v/>
      </c>
      <c r="K210" s="1304">
        <f>'COGS Analysis'!$D$16/K175</f>
        <v/>
      </c>
      <c r="L210" s="1304">
        <f>'COGS Analysis'!$D$16/L175</f>
        <v/>
      </c>
      <c r="M210" s="1304">
        <f>'COGS Analysis'!$D$16/M175</f>
        <v/>
      </c>
      <c r="N210" s="1304">
        <f>'COGS Analysis'!$D$16/N175</f>
        <v/>
      </c>
      <c r="O210" s="1304">
        <f>'COGS Analysis'!$D$16/O175</f>
        <v/>
      </c>
      <c r="P210" s="1304">
        <f>'COGS Analysis'!$D$16/P175</f>
        <v/>
      </c>
      <c r="Q210" s="1304">
        <f>SUM(D210:P210)/12</f>
        <v/>
      </c>
      <c r="R210" s="1304" t="inlineStr">
        <is>
          <t xml:space="preserve"> </t>
        </is>
      </c>
    </row>
  </sheetData>
  <mergeCells count="76">
    <mergeCell ref="T48:AA48"/>
    <mergeCell ref="C138:R138"/>
    <mergeCell ref="T30:AA30"/>
    <mergeCell ref="C119:R119"/>
    <mergeCell ref="B162:B166"/>
    <mergeCell ref="C132:R132"/>
    <mergeCell ref="T39:AA39"/>
    <mergeCell ref="T33:AA33"/>
    <mergeCell ref="C61:R61"/>
    <mergeCell ref="C150:R150"/>
    <mergeCell ref="C39:R39"/>
    <mergeCell ref="B174:B178"/>
    <mergeCell ref="B81:R81"/>
    <mergeCell ref="B168:B172"/>
    <mergeCell ref="C144:R144"/>
    <mergeCell ref="T38:AA38"/>
    <mergeCell ref="T32:AA32"/>
    <mergeCell ref="T24:AA24"/>
    <mergeCell ref="T29:AA29"/>
    <mergeCell ref="T45:AA45"/>
    <mergeCell ref="B40:B53"/>
    <mergeCell ref="C174:R174"/>
    <mergeCell ref="B101:B124"/>
    <mergeCell ref="B54:B67"/>
    <mergeCell ref="C32:R32"/>
    <mergeCell ref="T53:AA53"/>
    <mergeCell ref="B167:L167"/>
    <mergeCell ref="T47:AA47"/>
    <mergeCell ref="B83:B98"/>
    <mergeCell ref="C53:R53"/>
    <mergeCell ref="T25:AA25"/>
    <mergeCell ref="B126:B130"/>
    <mergeCell ref="T50:AA50"/>
    <mergeCell ref="D3:F3"/>
    <mergeCell ref="C83:R83"/>
    <mergeCell ref="C101:R101"/>
    <mergeCell ref="T44:AA44"/>
    <mergeCell ref="C46:R46"/>
    <mergeCell ref="C68:R68"/>
    <mergeCell ref="B26:B39"/>
    <mergeCell ref="C33:R33"/>
    <mergeCell ref="C156:R156"/>
    <mergeCell ref="C107:R107"/>
    <mergeCell ref="C89:R89"/>
    <mergeCell ref="B138:B142"/>
    <mergeCell ref="B144:B148"/>
    <mergeCell ref="C74:R74"/>
    <mergeCell ref="T26:AA26"/>
    <mergeCell ref="C88:R88"/>
    <mergeCell ref="B68:B80"/>
    <mergeCell ref="C26:R26"/>
    <mergeCell ref="B156:B160"/>
    <mergeCell ref="C126:R126"/>
    <mergeCell ref="T40:AA40"/>
    <mergeCell ref="C162:R162"/>
    <mergeCell ref="T51:AA51"/>
    <mergeCell ref="C113:R113"/>
    <mergeCell ref="B150:B154"/>
    <mergeCell ref="T41:AA41"/>
    <mergeCell ref="C54:R54"/>
    <mergeCell ref="C94:R94"/>
    <mergeCell ref="C47:R47"/>
    <mergeCell ref="C168:R168"/>
    <mergeCell ref="T31:AA31"/>
    <mergeCell ref="C75:R75"/>
    <mergeCell ref="C40:R40"/>
    <mergeCell ref="B132:B136"/>
    <mergeCell ref="T43:AA43"/>
    <mergeCell ref="T34:AA34"/>
    <mergeCell ref="T46:AA46"/>
    <mergeCell ref="T52:AA52"/>
    <mergeCell ref="T37:AA37"/>
    <mergeCell ref="T27:AA27"/>
    <mergeCell ref="C60:R60"/>
    <mergeCell ref="T36:AA36"/>
    <mergeCell ref="C95:R95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3"/>
  <sheetViews>
    <sheetView showGridLines="0" topLeftCell="B1" zoomScale="125" zoomScaleNormal="125" workbookViewId="0">
      <selection activeCell="E18" sqref="E18"/>
    </sheetView>
  </sheetViews>
  <sheetFormatPr baseColWidth="10" defaultColWidth="11.5" defaultRowHeight="15"/>
  <cols>
    <col width="39" customWidth="1" min="3" max="3"/>
    <col width="17.5" customWidth="1" min="4" max="4"/>
    <col width="28" customWidth="1" min="5" max="8"/>
    <col width="12.5" customWidth="1" min="9" max="9"/>
    <col width="3.83203125" customWidth="1" min="10" max="10"/>
    <col width="15.33203125" customWidth="1" min="11" max="11"/>
    <col width="6" customWidth="1" min="12" max="12"/>
  </cols>
  <sheetData>
    <row r="1"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</row>
    <row r="2">
      <c r="C2" s="746" t="n"/>
      <c r="D2" s="746" t="n"/>
      <c r="E2" s="746" t="n"/>
      <c r="F2" s="746" t="n"/>
      <c r="G2" s="745" t="n"/>
      <c r="H2" s="746" t="n"/>
      <c r="I2" s="1305" t="n"/>
      <c r="J2" s="1305" t="n"/>
      <c r="K2" s="1306" t="n"/>
    </row>
    <row r="3" ht="28" customHeight="1">
      <c r="C3" s="783" t="inlineStr">
        <is>
          <t>PRODUCT</t>
        </is>
      </c>
      <c r="D3" s="783" t="inlineStr">
        <is>
          <t>Vendor</t>
        </is>
      </c>
      <c r="E3" s="783" t="inlineStr">
        <is>
          <t>Plan Name</t>
        </is>
      </c>
      <c r="F3" s="783" t="inlineStr">
        <is>
          <t>Cost Link</t>
        </is>
      </c>
      <c r="G3" s="783" t="inlineStr">
        <is>
          <t>Cost Unit</t>
        </is>
      </c>
      <c r="H3" s="783" t="inlineStr">
        <is>
          <t>Cost Unit Number</t>
        </is>
      </c>
      <c r="I3" s="783" t="inlineStr">
        <is>
          <t>Cost Per Month</t>
        </is>
      </c>
      <c r="J3" s="783" t="inlineStr">
        <is>
          <t xml:space="preserve"> </t>
        </is>
      </c>
      <c r="K3" s="1307" t="inlineStr">
        <is>
          <t>Annual Cost
(Unit X Month)</t>
        </is>
      </c>
      <c r="L3" s="787" t="inlineStr">
        <is>
          <t xml:space="preserve"> 2</t>
        </is>
      </c>
    </row>
    <row r="4" ht="18" customHeight="1" thickBot="1">
      <c r="C4" s="777" t="inlineStr">
        <is>
          <t xml:space="preserve">Support   </t>
        </is>
      </c>
      <c r="D4" s="749" t="n"/>
      <c r="E4" s="749" t="n"/>
      <c r="F4" s="749" t="n"/>
      <c r="G4" s="749" t="n"/>
      <c r="H4" s="749" t="n"/>
      <c r="I4" s="749" t="n"/>
      <c r="J4" s="749" t="n"/>
      <c r="K4" s="1308">
        <f>Table13[[#This Row],[Cost Per Month]]*12*Table13[[#This Row],[Cost Unit Number]]</f>
        <v/>
      </c>
      <c r="L4" s="746" t="n"/>
    </row>
    <row r="5" ht="61" customHeight="1">
      <c r="B5" s="1309" t="inlineStr">
        <is>
          <t>By Customer Support</t>
        </is>
      </c>
      <c r="C5" s="790" t="inlineStr">
        <is>
          <t>E-mail &amp; Chat</t>
        </is>
      </c>
      <c r="D5" s="959" t="inlineStr">
        <is>
          <t>FreshWorks</t>
        </is>
      </c>
      <c r="E5" s="959" t="inlineStr">
        <is>
          <t>FreshChat - Sprout Plan (free)</t>
        </is>
      </c>
      <c r="F5" s="752" t="inlineStr">
        <is>
          <t xml:space="preserve"> Support Desk Pricing</t>
        </is>
      </c>
      <c r="G5" s="959" t="inlineStr">
        <is>
          <t>per license; 5000 bot</t>
        </is>
      </c>
      <c r="H5" s="251" t="n">
        <v>1</v>
      </c>
      <c r="I5" s="1310" t="n">
        <v>69</v>
      </c>
      <c r="J5" s="1310" t="n"/>
      <c r="K5" s="1311">
        <f>Table13[[#This Row],[Cost Per Month]]*12*Table13[[#This Row],[Cost Unit Number]]</f>
        <v/>
      </c>
      <c r="L5" s="746" t="n"/>
    </row>
    <row r="6" ht="36" customHeight="1">
      <c r="B6" s="359" t="n"/>
      <c r="C6" s="754" t="inlineStr">
        <is>
          <t>OMNICHANNEL; Ticketing</t>
        </is>
      </c>
      <c r="D6" s="959" t="inlineStr">
        <is>
          <t>FreshWorks</t>
        </is>
      </c>
      <c r="E6" s="959" t="inlineStr">
        <is>
          <t>FreshDesk - Estate Omnichannel</t>
        </is>
      </c>
      <c r="F6" s="752" t="inlineStr">
        <is>
          <t>Fresh Desk Omni Channel</t>
        </is>
      </c>
      <c r="G6" s="959" t="inlineStr">
        <is>
          <t>per user</t>
        </is>
      </c>
      <c r="H6" s="251" t="n">
        <v>1</v>
      </c>
      <c r="I6" s="1310" t="n">
        <v>79</v>
      </c>
      <c r="J6" s="1310" t="n"/>
      <c r="K6" s="1311">
        <f>Table13[[#This Row],[Cost Per Month]]*12*Table13[[#This Row],[Cost Unit Number]]</f>
        <v/>
      </c>
      <c r="L6" s="746" t="n"/>
    </row>
    <row r="7" ht="36" customHeight="1">
      <c r="B7" s="359" t="n"/>
      <c r="C7" s="754" t="inlineStr">
        <is>
          <t>SUPPORT DESK</t>
        </is>
      </c>
      <c r="D7" s="959" t="inlineStr">
        <is>
          <t>Zoom</t>
        </is>
      </c>
      <c r="E7" s="959" t="inlineStr">
        <is>
          <t xml:space="preserve"> </t>
        </is>
      </c>
      <c r="F7" s="752" t="inlineStr">
        <is>
          <t xml:space="preserve"> </t>
        </is>
      </c>
      <c r="G7" s="959" t="inlineStr">
        <is>
          <t>per user</t>
        </is>
      </c>
      <c r="H7" s="251" t="n">
        <v>3</v>
      </c>
      <c r="I7" s="1310" t="n">
        <v>149</v>
      </c>
      <c r="J7" s="1310" t="n"/>
      <c r="K7" s="1311">
        <f>Table13[[#This Row],[Cost Per Month]]*Table13[[#This Row],[Cost Unit Number]]</f>
        <v/>
      </c>
      <c r="L7" s="746" t="n"/>
    </row>
    <row r="8" ht="36" customHeight="1" thickBot="1">
      <c r="B8" s="1114" t="n"/>
      <c r="C8" s="754" t="inlineStr">
        <is>
          <t xml:space="preserve"> </t>
        </is>
      </c>
      <c r="D8" s="959" t="inlineStr">
        <is>
          <t>phone</t>
        </is>
      </c>
      <c r="E8" s="959" t="inlineStr">
        <is>
          <t xml:space="preserve"> </t>
        </is>
      </c>
      <c r="F8" s="752" t="inlineStr">
        <is>
          <t xml:space="preserve"> Freshworks </t>
        </is>
      </c>
      <c r="G8" s="959" t="inlineStr">
        <is>
          <t>per user</t>
        </is>
      </c>
      <c r="H8" s="251" t="n">
        <v>3</v>
      </c>
      <c r="I8" s="1310" t="n">
        <v>3</v>
      </c>
      <c r="J8" s="1310" t="n"/>
      <c r="K8" s="1311">
        <f>Table13[[#This Row],[Cost Per Month]]*12*Table13[[#This Row],[Cost Unit Number]]</f>
        <v/>
      </c>
      <c r="L8" s="746" t="n"/>
    </row>
    <row r="9" ht="36" customHeight="1" thickBot="1">
      <c r="B9" s="791" t="inlineStr">
        <is>
          <t>BY LICENCE</t>
        </is>
      </c>
      <c r="C9" s="754" t="inlineStr">
        <is>
          <t>Data Integration</t>
        </is>
      </c>
      <c r="D9" s="959" t="inlineStr">
        <is>
          <t>hConnect</t>
        </is>
      </c>
      <c r="E9" s="753" t="n"/>
      <c r="F9" s="788" t="inlineStr">
        <is>
          <t>https://hconnect.io/</t>
        </is>
      </c>
      <c r="G9" s="959" t="inlineStr">
        <is>
          <t xml:space="preserve">per license </t>
        </is>
      </c>
      <c r="H9" s="251" t="n">
        <v>12</v>
      </c>
      <c r="I9" s="1310" t="n">
        <v>600</v>
      </c>
      <c r="J9" s="1310" t="n"/>
      <c r="K9" s="1311" t="n">
        <v>0</v>
      </c>
      <c r="L9" s="746" t="n"/>
    </row>
    <row r="10" ht="36" customHeight="1">
      <c r="B10" s="1312" t="inlineStr">
        <is>
          <t>Back Office</t>
        </is>
      </c>
      <c r="C10" s="754" t="inlineStr">
        <is>
          <t>Hosting</t>
        </is>
      </c>
      <c r="D10" s="959" t="inlineStr">
        <is>
          <t>AWS</t>
        </is>
      </c>
      <c r="E10" s="753" t="n"/>
      <c r="F10" s="753" t="n"/>
      <c r="G10" s="959" t="inlineStr">
        <is>
          <t>cost per month</t>
        </is>
      </c>
      <c r="H10" s="251" t="n">
        <v>12</v>
      </c>
      <c r="I10" s="1310" t="n">
        <v>2000</v>
      </c>
      <c r="J10" s="1310" t="n"/>
      <c r="K10" s="1311">
        <f>Table13[[#This Row],[Cost Per Month]]*Table13[[#This Row],[Cost Unit Number]]</f>
        <v/>
      </c>
      <c r="L10" s="746" t="n"/>
    </row>
    <row r="11" ht="36" customHeight="1" thickBot="1">
      <c r="B11" s="1114" t="n"/>
      <c r="C11" s="959" t="inlineStr">
        <is>
          <t>Billing  (SAS recurring management software)</t>
        </is>
      </c>
      <c r="D11" s="959" t="inlineStr">
        <is>
          <t>Chargebee</t>
        </is>
      </c>
      <c r="E11" s="959" t="inlineStr">
        <is>
          <t>Chargebee</t>
        </is>
      </c>
      <c r="F11" s="752" t="inlineStr">
        <is>
          <t xml:space="preserve"> Chargebee Pricing</t>
        </is>
      </c>
      <c r="G11" s="959" t="inlineStr">
        <is>
          <t>includes USD 600K/yr revenue
0.6% of overage revenue</t>
        </is>
      </c>
      <c r="H11" s="251" t="n">
        <v>1</v>
      </c>
      <c r="I11" s="1310" t="n">
        <v>249</v>
      </c>
      <c r="J11" s="1310" t="n"/>
      <c r="K11" s="1311">
        <f>Table13[[#This Row],[Cost Per Month]]*12*Table13[[#This Row],[Cost Unit Number]]</f>
        <v/>
      </c>
      <c r="L11" s="746" t="n"/>
    </row>
    <row r="12">
      <c r="C12" s="46" t="inlineStr">
        <is>
          <t>Total</t>
        </is>
      </c>
      <c r="D12" s="46" t="n"/>
      <c r="E12" s="46" t="n"/>
      <c r="F12" s="46" t="n"/>
      <c r="G12" s="564" t="n"/>
      <c r="H12" s="46" t="n"/>
      <c r="I12" s="1313" t="n"/>
      <c r="J12" s="1313" t="n"/>
      <c r="K12" s="1314">
        <f>SUBTOTAL(109,Table13[Annual Cost
(Unit X Month)])</f>
        <v/>
      </c>
      <c r="L12" s="746" t="n"/>
    </row>
    <row r="13">
      <c r="C13" s="46" t="n"/>
      <c r="D13" s="46" t="inlineStr">
        <is>
          <t xml:space="preserve"> </t>
        </is>
      </c>
      <c r="E13" s="46" t="n"/>
      <c r="F13" s="46" t="n"/>
      <c r="G13" s="564" t="n"/>
      <c r="H13" s="46" t="n"/>
      <c r="I13" s="1315" t="n"/>
      <c r="J13" s="1315" t="n"/>
      <c r="K13" s="1311" t="n"/>
    </row>
    <row r="14" ht="29" customHeight="1">
      <c r="C14" s="567" t="inlineStr">
        <is>
          <t xml:space="preserve"> </t>
        </is>
      </c>
      <c r="D14" s="682" t="n">
        <v>1</v>
      </c>
      <c r="E14" s="46" t="n"/>
      <c r="F14" s="46" t="n"/>
      <c r="G14" s="564" t="n"/>
      <c r="H14" s="46" t="n"/>
      <c r="I14" s="1315" t="n"/>
      <c r="J14" s="1315" t="n"/>
      <c r="K14" s="1311" t="n"/>
    </row>
    <row r="15" ht="75" customHeight="1">
      <c r="C15" s="568" t="inlineStr">
        <is>
          <t>TOTAL TECHNOLOGY Service &amp; Operations costs annual</t>
        </is>
      </c>
      <c r="D15" s="1316">
        <f>Table13[[#Totals],[Annual Cost
(Unit X Month)]]</f>
        <v/>
      </c>
      <c r="E15" s="570" t="n"/>
      <c r="F15" s="46" t="n"/>
      <c r="G15" s="564" t="n"/>
      <c r="H15" s="46" t="n"/>
      <c r="I15" s="1315" t="n"/>
      <c r="J15" s="1315" t="n"/>
      <c r="K15" s="1310" t="n"/>
    </row>
    <row r="16" ht="30" customHeight="1">
      <c r="C16" s="568" t="inlineStr">
        <is>
          <t>Cost Per Month</t>
        </is>
      </c>
      <c r="D16" s="1316">
        <f>D15/12</f>
        <v/>
      </c>
      <c r="E16" s="46" t="n"/>
      <c r="F16" s="46" t="n"/>
      <c r="G16" s="564" t="n"/>
      <c r="H16" s="46" t="n"/>
      <c r="I16" s="1315" t="n"/>
      <c r="J16" s="1315" t="n"/>
      <c r="K16" s="1310" t="n"/>
    </row>
    <row r="17" ht="34" customHeight="1">
      <c r="C17" s="792" t="n"/>
      <c r="D17" s="793" t="n"/>
      <c r="E17" s="46" t="n"/>
      <c r="F17" s="46" t="n"/>
      <c r="G17" s="564" t="n"/>
      <c r="H17" s="46" t="n"/>
      <c r="I17" s="1315" t="n"/>
      <c r="J17" s="1315" t="n"/>
      <c r="K17" s="1310" t="n"/>
    </row>
    <row r="18" ht="34" customHeight="1">
      <c r="C18" s="567" t="n"/>
      <c r="D18" s="794" t="n"/>
      <c r="E18" s="46" t="n"/>
      <c r="F18" s="46" t="n"/>
      <c r="G18" s="564" t="n"/>
      <c r="H18" s="46" t="n"/>
      <c r="I18" s="1315" t="n"/>
      <c r="J18" s="1315" t="n"/>
      <c r="K18" s="1310" t="n"/>
    </row>
    <row r="19">
      <c r="C19" s="46" t="n"/>
      <c r="D19" s="46" t="n"/>
      <c r="E19" s="46" t="n"/>
      <c r="F19" s="46" t="n"/>
      <c r="G19" s="564" t="n"/>
      <c r="H19" s="46" t="n"/>
      <c r="I19" s="1315" t="n"/>
      <c r="J19" s="1315" t="n"/>
      <c r="K19" s="1310" t="n"/>
    </row>
    <row r="20" ht="34" customHeight="1"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</row>
    <row r="21"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</row>
    <row r="22"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</row>
    <row r="23"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</row>
  </sheetData>
  <mergeCells count="2">
    <mergeCell ref="B10:B11"/>
    <mergeCell ref="B5:B8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display=" FreshDesk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1" r:id="rId6"/>
  </hyperlinks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7"/>
  </tableParts>
</worksheet>
</file>

<file path=xl/worksheets/sheet11.xml><?xml version="1.0" encoding="utf-8"?>
<worksheet xmlns="http://schemas.openxmlformats.org/spreadsheetml/2006/main">
  <sheetPr codeName="Sheet3">
    <outlinePr summaryBelow="1" summaryRight="1"/>
    <pageSetUpPr/>
  </sheetPr>
  <dimension ref="A1:CH410"/>
  <sheetViews>
    <sheetView zoomScale="112" zoomScaleNormal="112" workbookViewId="0">
      <pane xSplit="2" ySplit="5" topLeftCell="R10" activePane="bottomRight" state="frozen"/>
      <selection pane="topRight" activeCell="C1" sqref="C1"/>
      <selection pane="bottomLeft" activeCell="A6" sqref="A6"/>
      <selection pane="bottomRight" activeCell="P28" sqref="P28"/>
    </sheetView>
  </sheetViews>
  <sheetFormatPr baseColWidth="10" defaultColWidth="11.1640625" defaultRowHeight="15"/>
  <cols>
    <col collapsed="1" width="35.83203125" bestFit="1" customWidth="1" min="1" max="1"/>
    <col width="8.6640625" customWidth="1" min="2" max="2"/>
    <col width="10.5" customWidth="1" min="3" max="15"/>
    <col width="10.33203125" customWidth="1" min="16" max="16"/>
    <col width="10.5" customWidth="1" min="17" max="18"/>
    <col width="10.5" bestFit="1" customWidth="1" min="40" max="40"/>
    <col width="13.1640625" customWidth="1" min="41" max="41"/>
  </cols>
  <sheetData>
    <row r="1" ht="12.7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317" t="n"/>
      <c r="J1" s="12" t="n"/>
      <c r="K1" s="17" t="n"/>
      <c r="L1" s="12" t="n"/>
      <c r="M1" s="12" t="n"/>
      <c r="N1" s="12" t="n"/>
      <c r="O1" s="12" t="n"/>
      <c r="P1" s="12" t="n"/>
      <c r="S1" s="931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</row>
    <row r="2" ht="12.75" customHeight="1">
      <c r="A2" s="931" t="inlineStr">
        <is>
          <t xml:space="preserve">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18" t="n"/>
      <c r="L2" s="12" t="n"/>
      <c r="M2" s="12" t="n"/>
      <c r="N2" s="12" t="n"/>
      <c r="O2" s="12" t="n"/>
      <c r="P2" s="12" t="n"/>
      <c r="S2" s="931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</row>
    <row r="3" ht="12.75" customHeight="1" thickBot="1">
      <c r="A3" s="93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318" t="n"/>
      <c r="L3" s="12" t="n"/>
      <c r="M3" s="12" t="inlineStr">
        <is>
          <t xml:space="preserve"> </t>
        </is>
      </c>
      <c r="N3" s="12" t="n"/>
      <c r="O3" s="12" t="n"/>
      <c r="P3" s="12" t="n"/>
      <c r="S3" s="931" t="n"/>
      <c r="T3" s="12" t="n"/>
      <c r="U3" s="12" t="n"/>
      <c r="V3" s="12" t="n"/>
      <c r="W3" s="12" t="n"/>
      <c r="X3" s="12" t="n"/>
      <c r="Y3" s="12" t="n"/>
      <c r="Z3" s="12" t="n"/>
      <c r="AA3" s="12" t="inlineStr">
        <is>
          <t xml:space="preserve"> </t>
        </is>
      </c>
      <c r="AB3" s="12" t="n"/>
      <c r="AC3" s="12" t="n"/>
      <c r="AD3" s="12" t="n"/>
      <c r="AE3" s="12" t="n"/>
      <c r="AF3" s="931" t="n"/>
      <c r="AG3" s="12" t="n"/>
      <c r="AH3" s="12" t="n"/>
      <c r="AI3" s="12" t="n"/>
      <c r="AJ3" s="12" t="n"/>
      <c r="AK3" s="12" t="n"/>
      <c r="AL3" s="12" t="n"/>
    </row>
    <row r="4" ht="23.25" customHeight="1" thickBot="1">
      <c r="A4" s="77" t="n"/>
      <c r="B4" s="133" t="n"/>
      <c r="C4" s="698" t="inlineStr">
        <is>
          <t>Forecast</t>
        </is>
      </c>
      <c r="D4" s="699" t="n"/>
      <c r="E4" s="699" t="n"/>
      <c r="F4" s="699" t="n"/>
      <c r="G4" s="699" t="n"/>
      <c r="H4" s="700" t="n"/>
      <c r="I4" s="699" t="n"/>
      <c r="J4" s="699" t="n"/>
      <c r="K4" s="699" t="n"/>
      <c r="L4" s="699" t="n"/>
      <c r="M4" s="699" t="n"/>
      <c r="N4" s="886" t="n"/>
      <c r="O4" s="719" t="n"/>
      <c r="P4" s="701" t="n"/>
      <c r="Q4" s="698" t="inlineStr">
        <is>
          <t>Forecast</t>
        </is>
      </c>
      <c r="R4" s="699" t="n"/>
      <c r="S4" s="699" t="n"/>
      <c r="T4" s="699" t="n"/>
      <c r="U4" s="699" t="n"/>
      <c r="V4" s="700" t="n"/>
      <c r="W4" s="699" t="n"/>
      <c r="X4" s="699" t="n"/>
      <c r="Y4" s="699" t="n"/>
      <c r="Z4" s="699" t="n"/>
      <c r="AA4" s="699" t="n"/>
      <c r="AB4" s="699" t="n"/>
      <c r="AC4" s="704" t="n"/>
      <c r="AD4" s="705" t="n"/>
      <c r="AE4" s="698" t="inlineStr">
        <is>
          <t>Forecast</t>
        </is>
      </c>
      <c r="AF4" s="699" t="n"/>
      <c r="AG4" s="699" t="n"/>
      <c r="AH4" s="699" t="n"/>
      <c r="AI4" s="699" t="n"/>
      <c r="AJ4" s="700" t="n"/>
      <c r="AK4" s="699" t="n"/>
      <c r="AL4" s="699" t="n"/>
      <c r="AM4" s="699" t="n"/>
      <c r="AN4" s="699" t="n"/>
      <c r="AO4" s="699" t="n"/>
      <c r="AP4" s="699" t="n"/>
      <c r="AQ4" s="730" t="n"/>
      <c r="AR4" s="705" t="n"/>
      <c r="AS4" s="698" t="inlineStr">
        <is>
          <t>Forecast</t>
        </is>
      </c>
      <c r="AT4" s="699" t="n"/>
      <c r="AU4" s="699" t="n"/>
      <c r="AV4" s="699" t="n"/>
      <c r="AW4" s="699" t="n"/>
      <c r="AX4" s="700" t="n"/>
      <c r="AY4" s="699" t="n"/>
      <c r="AZ4" s="699" t="n"/>
      <c r="BA4" s="699" t="n"/>
      <c r="BB4" s="699" t="n"/>
      <c r="BC4" s="699" t="n"/>
      <c r="BD4" s="699" t="n"/>
      <c r="BE4" s="730" t="n"/>
      <c r="BF4" s="705" t="n"/>
      <c r="BG4" s="698" t="inlineStr">
        <is>
          <t>Forecast</t>
        </is>
      </c>
      <c r="BH4" s="699" t="n"/>
      <c r="BI4" s="699" t="n"/>
      <c r="BJ4" s="699" t="n"/>
      <c r="BK4" s="699" t="n"/>
      <c r="BL4" s="700" t="n"/>
      <c r="BM4" s="699" t="n"/>
      <c r="BN4" s="699" t="n"/>
      <c r="BO4" s="699" t="n"/>
      <c r="BP4" s="699" t="n"/>
      <c r="BQ4" s="699" t="n"/>
      <c r="BR4" s="699" t="n"/>
      <c r="BS4" s="730" t="n"/>
      <c r="BT4" s="705" t="n"/>
      <c r="BU4" s="698" t="inlineStr">
        <is>
          <t>Forecast</t>
        </is>
      </c>
      <c r="BV4" s="699" t="n"/>
      <c r="BW4" s="699" t="n"/>
      <c r="BX4" s="699" t="n"/>
      <c r="BY4" s="699" t="n"/>
      <c r="BZ4" s="700" t="n"/>
      <c r="CA4" s="699" t="n"/>
      <c r="CB4" s="699" t="n"/>
      <c r="CC4" s="699" t="n"/>
      <c r="CD4" s="699" t="n"/>
      <c r="CE4" s="699" t="n"/>
      <c r="CF4" s="699" t="n"/>
      <c r="CG4" s="730" t="n"/>
      <c r="CH4" s="705" t="n"/>
    </row>
    <row r="5" ht="26" customHeight="1" thickBot="1">
      <c r="A5" s="76" t="n"/>
      <c r="B5" s="353" t="inlineStr">
        <is>
          <t xml:space="preserve">  </t>
        </is>
      </c>
      <c r="C5" s="702" t="n">
        <v>2025</v>
      </c>
      <c r="D5" s="1319" t="n"/>
      <c r="E5" s="1319" t="n"/>
      <c r="F5" s="1319" t="n"/>
      <c r="G5" s="1319" t="n"/>
      <c r="H5" s="1319" t="n"/>
      <c r="I5" s="1319" t="n"/>
      <c r="J5" s="1319" t="n"/>
      <c r="K5" s="1319" t="n"/>
      <c r="L5" s="1319" t="n"/>
      <c r="M5" s="1319" t="n"/>
      <c r="N5" s="1320" t="n"/>
      <c r="O5" s="720" t="n">
        <v>2025</v>
      </c>
      <c r="P5" s="703" t="n"/>
      <c r="Q5" s="702" t="n">
        <v>2026</v>
      </c>
      <c r="R5" s="1319" t="n"/>
      <c r="S5" s="1319" t="n"/>
      <c r="T5" s="1319" t="n"/>
      <c r="U5" s="1319" t="n"/>
      <c r="V5" s="1319" t="n"/>
      <c r="W5" s="1319" t="n"/>
      <c r="X5" s="1319" t="n"/>
      <c r="Y5" s="1319" t="n"/>
      <c r="Z5" s="1319" t="n"/>
      <c r="AA5" s="1319" t="n"/>
      <c r="AB5" s="1319" t="n"/>
      <c r="AC5" s="706" t="n">
        <v>2026</v>
      </c>
      <c r="AD5" s="707" t="n"/>
      <c r="AE5" s="702" t="n">
        <v>2027</v>
      </c>
      <c r="AF5" s="1319" t="n"/>
      <c r="AG5" s="1319" t="n"/>
      <c r="AH5" s="1319" t="n"/>
      <c r="AI5" s="1319" t="n"/>
      <c r="AJ5" s="1319" t="n"/>
      <c r="AK5" s="1319" t="n"/>
      <c r="AL5" s="1319" t="n"/>
      <c r="AM5" s="1319" t="n"/>
      <c r="AN5" s="1319" t="n"/>
      <c r="AO5" s="1319" t="n"/>
      <c r="AP5" s="1319" t="n"/>
      <c r="AQ5" s="731" t="n">
        <v>2027</v>
      </c>
      <c r="AR5" s="707" t="n"/>
      <c r="AS5" s="702" t="n">
        <v>2028</v>
      </c>
      <c r="AT5" s="1319" t="n"/>
      <c r="AU5" s="1319" t="n"/>
      <c r="AV5" s="1319" t="n"/>
      <c r="AW5" s="1319" t="n"/>
      <c r="AX5" s="1319" t="n"/>
      <c r="AY5" s="1319" t="n"/>
      <c r="AZ5" s="1319" t="n"/>
      <c r="BA5" s="1319" t="n"/>
      <c r="BB5" s="1319" t="n"/>
      <c r="BC5" s="1319" t="n"/>
      <c r="BD5" s="1319" t="n"/>
      <c r="BE5" s="731" t="n">
        <v>2028</v>
      </c>
      <c r="BF5" s="707" t="n"/>
      <c r="BG5" s="702" t="n">
        <v>2029</v>
      </c>
      <c r="BH5" s="1319" t="n"/>
      <c r="BI5" s="1319" t="n"/>
      <c r="BJ5" s="1319" t="n"/>
      <c r="BK5" s="1319" t="n"/>
      <c r="BL5" s="1319" t="n"/>
      <c r="BM5" s="1319" t="n"/>
      <c r="BN5" s="1319" t="n"/>
      <c r="BO5" s="1319" t="n"/>
      <c r="BP5" s="1319" t="n"/>
      <c r="BQ5" s="1319" t="n"/>
      <c r="BR5" s="1319" t="n"/>
      <c r="BS5" s="731" t="n">
        <v>2029</v>
      </c>
      <c r="BT5" s="707" t="n"/>
      <c r="BU5" s="702" t="n">
        <v>2030</v>
      </c>
      <c r="BV5" s="1319" t="n"/>
      <c r="BW5" s="1319" t="n"/>
      <c r="BX5" s="1319" t="n"/>
      <c r="BY5" s="1319" t="n"/>
      <c r="BZ5" s="1319" t="n"/>
      <c r="CA5" s="1319" t="n"/>
      <c r="CB5" s="1319" t="n"/>
      <c r="CC5" s="1319" t="n"/>
      <c r="CD5" s="1319" t="n"/>
      <c r="CE5" s="1319" t="n"/>
      <c r="CF5" s="1319" t="n"/>
      <c r="CG5" s="731" t="n">
        <v>2030</v>
      </c>
      <c r="CH5" s="707" t="n"/>
    </row>
    <row r="6" ht="59" customHeight="1">
      <c r="A6" s="84" t="n"/>
      <c r="B6" s="885" t="inlineStr">
        <is>
          <t xml:space="preserve"> </t>
        </is>
      </c>
      <c r="C6" s="708" t="n">
        <v>45658</v>
      </c>
      <c r="D6" s="354" t="n">
        <v>45689</v>
      </c>
      <c r="E6" s="354" t="n">
        <v>45717</v>
      </c>
      <c r="F6" s="354" t="n">
        <v>45748</v>
      </c>
      <c r="G6" s="354" t="n">
        <v>45778</v>
      </c>
      <c r="H6" s="354" t="n">
        <v>45809</v>
      </c>
      <c r="I6" s="354" t="n">
        <v>45839</v>
      </c>
      <c r="J6" s="354" t="n">
        <v>45870</v>
      </c>
      <c r="K6" s="354" t="n">
        <v>45901</v>
      </c>
      <c r="L6" s="354" t="n">
        <v>45931</v>
      </c>
      <c r="M6" s="354" t="n">
        <v>45962</v>
      </c>
      <c r="N6" s="880" t="n">
        <v>45992</v>
      </c>
      <c r="O6" s="721" t="inlineStr">
        <is>
          <t>Total</t>
        </is>
      </c>
      <c r="P6" s="685" t="inlineStr">
        <is>
          <t>2025 Head Count</t>
        </is>
      </c>
      <c r="Q6" s="708" t="n">
        <v>46023</v>
      </c>
      <c r="R6" s="354" t="n">
        <v>46054</v>
      </c>
      <c r="S6" s="354" t="n">
        <v>46082</v>
      </c>
      <c r="T6" s="354" t="n">
        <v>46113</v>
      </c>
      <c r="U6" s="354" t="n">
        <v>46143</v>
      </c>
      <c r="V6" s="354" t="n">
        <v>46174</v>
      </c>
      <c r="W6" s="354" t="n">
        <v>46204</v>
      </c>
      <c r="X6" s="354" t="n">
        <v>46235</v>
      </c>
      <c r="Y6" s="354" t="n">
        <v>46266</v>
      </c>
      <c r="Z6" s="354" t="n">
        <v>46296</v>
      </c>
      <c r="AA6" s="354" t="n">
        <v>46327</v>
      </c>
      <c r="AB6" s="354" t="n">
        <v>46357</v>
      </c>
      <c r="AC6" s="727" t="inlineStr">
        <is>
          <t>Total</t>
        </is>
      </c>
      <c r="AD6" s="709" t="inlineStr">
        <is>
          <t>2026 Head Count</t>
        </is>
      </c>
      <c r="AE6" s="708" t="n">
        <v>46388</v>
      </c>
      <c r="AF6" s="354" t="n">
        <v>46419</v>
      </c>
      <c r="AG6" s="354" t="n">
        <v>46447</v>
      </c>
      <c r="AH6" s="354" t="n">
        <v>46478</v>
      </c>
      <c r="AI6" s="354" t="n">
        <v>46508</v>
      </c>
      <c r="AJ6" s="354" t="n">
        <v>46539</v>
      </c>
      <c r="AK6" s="354" t="n">
        <v>46569</v>
      </c>
      <c r="AL6" s="354" t="n">
        <v>46600</v>
      </c>
      <c r="AM6" s="354" t="n">
        <v>46631</v>
      </c>
      <c r="AN6" s="354" t="n">
        <v>46661</v>
      </c>
      <c r="AO6" s="354" t="n">
        <v>46692</v>
      </c>
      <c r="AP6" s="354" t="n">
        <v>46722</v>
      </c>
      <c r="AQ6" s="727" t="inlineStr">
        <is>
          <t>Total</t>
        </is>
      </c>
      <c r="AR6" s="709" t="inlineStr">
        <is>
          <t>2027 Head Count</t>
        </is>
      </c>
      <c r="AS6" s="708" t="n">
        <v>46753</v>
      </c>
      <c r="AT6" s="354" t="n">
        <v>46784</v>
      </c>
      <c r="AU6" s="354" t="n">
        <v>46813</v>
      </c>
      <c r="AV6" s="354" t="n">
        <v>46844</v>
      </c>
      <c r="AW6" s="354" t="inlineStr">
        <is>
          <t>5/=2028</t>
        </is>
      </c>
      <c r="AX6" s="354" t="n">
        <v>46905</v>
      </c>
      <c r="AY6" s="354" t="n">
        <v>46935</v>
      </c>
      <c r="AZ6" s="354" t="n">
        <v>46966</v>
      </c>
      <c r="BA6" s="354" t="n">
        <v>46997</v>
      </c>
      <c r="BB6" s="354" t="n">
        <v>47027</v>
      </c>
      <c r="BC6" s="354" t="n">
        <v>47058</v>
      </c>
      <c r="BD6" s="354" t="n">
        <v>47088</v>
      </c>
      <c r="BE6" s="728" t="inlineStr">
        <is>
          <t>Total</t>
        </is>
      </c>
      <c r="BF6" s="709" t="inlineStr">
        <is>
          <t>2028 Head Count</t>
        </is>
      </c>
      <c r="BG6" s="708" t="n">
        <v>47119</v>
      </c>
      <c r="BH6" s="354" t="n">
        <v>47150</v>
      </c>
      <c r="BI6" s="354" t="n">
        <v>47178</v>
      </c>
      <c r="BJ6" s="354" t="n">
        <v>47209</v>
      </c>
      <c r="BK6" s="354" t="n">
        <v>47239</v>
      </c>
      <c r="BL6" s="354" t="n">
        <v>47270</v>
      </c>
      <c r="BM6" s="354" t="n">
        <v>47300</v>
      </c>
      <c r="BN6" s="354" t="n">
        <v>47331</v>
      </c>
      <c r="BO6" s="354" t="n">
        <v>47362</v>
      </c>
      <c r="BP6" s="354" t="n">
        <v>47392</v>
      </c>
      <c r="BQ6" s="354" t="n">
        <v>47423</v>
      </c>
      <c r="BR6" s="354" t="n">
        <v>47453</v>
      </c>
      <c r="BS6" s="729" t="inlineStr">
        <is>
          <t>Total</t>
        </is>
      </c>
      <c r="BT6" s="709" t="inlineStr">
        <is>
          <t>2029 Head Count</t>
        </is>
      </c>
      <c r="BU6" s="708" t="n">
        <v>47484</v>
      </c>
      <c r="BV6" s="354" t="n">
        <v>44958</v>
      </c>
      <c r="BW6" s="354" t="n">
        <v>47543</v>
      </c>
      <c r="BX6" s="354" t="n">
        <v>47574</v>
      </c>
      <c r="BY6" s="354" t="n">
        <v>47604</v>
      </c>
      <c r="BZ6" s="354" t="inlineStr">
        <is>
          <t>6/20230</t>
        </is>
      </c>
      <c r="CA6" s="354" t="n">
        <v>47665</v>
      </c>
      <c r="CB6" s="354" t="n">
        <v>47696</v>
      </c>
      <c r="CC6" s="354" t="n">
        <v>47727</v>
      </c>
      <c r="CD6" s="354" t="n">
        <v>47757</v>
      </c>
      <c r="CE6" s="354" t="n">
        <v>47788</v>
      </c>
      <c r="CF6" s="354" t="n">
        <v>47818</v>
      </c>
      <c r="CG6" s="729" t="inlineStr">
        <is>
          <t>Total</t>
        </is>
      </c>
      <c r="CH6" s="716" t="inlineStr">
        <is>
          <t>2030 Head Count</t>
        </is>
      </c>
    </row>
    <row r="7" ht="25" customHeight="1">
      <c r="A7" s="85" t="inlineStr">
        <is>
          <t>Salaries  And  Wages :</t>
        </is>
      </c>
      <c r="B7" s="46" t="n"/>
      <c r="C7" s="686" t="n"/>
      <c r="D7" s="46" t="n"/>
      <c r="E7" s="46" t="n"/>
      <c r="F7" s="46" t="n"/>
      <c r="G7" s="46" t="n"/>
      <c r="H7" s="46" t="n"/>
      <c r="I7" s="46" t="n"/>
      <c r="J7" s="1321" t="n"/>
      <c r="K7" s="1321" t="n"/>
      <c r="L7" s="88" t="n"/>
      <c r="M7" s="1321" t="n"/>
      <c r="N7" s="1322" t="n"/>
      <c r="O7" s="1323" t="n"/>
      <c r="P7" s="1324" t="n"/>
      <c r="Q7" s="686" t="n"/>
      <c r="R7" s="46" t="n"/>
      <c r="S7" s="1321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724" t="n"/>
      <c r="AD7" s="710" t="n"/>
      <c r="AE7" s="686" t="n"/>
      <c r="AF7" s="46" t="n"/>
      <c r="AG7" s="1321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724" t="n"/>
      <c r="AR7" s="710" t="n"/>
      <c r="AS7" s="686" t="n"/>
      <c r="AT7" s="46" t="n"/>
      <c r="AU7" s="1321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724" t="n"/>
      <c r="BF7" s="710" t="n"/>
      <c r="BG7" s="686" t="n"/>
      <c r="BH7" s="46" t="n"/>
      <c r="BI7" s="1321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724" t="n"/>
      <c r="BT7" s="710" t="n"/>
      <c r="BU7" s="686" t="n"/>
      <c r="BV7" s="46" t="n"/>
      <c r="BW7" s="1321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724" t="n"/>
      <c r="CH7" s="710" t="n"/>
    </row>
    <row r="8" ht="24" customHeight="1">
      <c r="A8" s="1325" t="inlineStr">
        <is>
          <t>CEO</t>
        </is>
      </c>
      <c r="B8" s="46" t="inlineStr">
        <is>
          <t xml:space="preserve"> </t>
        </is>
      </c>
      <c r="C8" s="688" t="n">
        <v>5000</v>
      </c>
      <c r="D8" s="114">
        <f>$C$8</f>
        <v/>
      </c>
      <c r="E8" s="114">
        <f>$C$8</f>
        <v/>
      </c>
      <c r="F8" s="114">
        <f>$C$8</f>
        <v/>
      </c>
      <c r="G8" s="114">
        <f>$C$8</f>
        <v/>
      </c>
      <c r="H8" s="114">
        <f>$C$8</f>
        <v/>
      </c>
      <c r="I8" s="114">
        <f>$C$8</f>
        <v/>
      </c>
      <c r="J8" s="114">
        <f>$C$8</f>
        <v/>
      </c>
      <c r="K8" s="114">
        <f>$C$8</f>
        <v/>
      </c>
      <c r="L8" s="114">
        <f>$C$8</f>
        <v/>
      </c>
      <c r="M8" s="114">
        <f>$C$8</f>
        <v/>
      </c>
      <c r="N8" s="882">
        <f>$C$8</f>
        <v/>
      </c>
      <c r="O8" s="723">
        <f>SUM(C8:N8)</f>
        <v/>
      </c>
      <c r="P8" s="1326" t="n">
        <v>0.5</v>
      </c>
      <c r="Q8" s="688" t="n">
        <v>6500</v>
      </c>
      <c r="R8" s="114">
        <f>$Q$8</f>
        <v/>
      </c>
      <c r="S8" s="114">
        <f>$Q$8</f>
        <v/>
      </c>
      <c r="T8" s="114">
        <f>$Q$8</f>
        <v/>
      </c>
      <c r="U8" s="114">
        <f>$Q$8</f>
        <v/>
      </c>
      <c r="V8" s="114">
        <f>$Q$8</f>
        <v/>
      </c>
      <c r="W8" s="114">
        <f>$Q$8</f>
        <v/>
      </c>
      <c r="X8" s="114">
        <f>$Q$8</f>
        <v/>
      </c>
      <c r="Y8" s="114">
        <f>$Q$8</f>
        <v/>
      </c>
      <c r="Z8" s="114">
        <f>$Q$8</f>
        <v/>
      </c>
      <c r="AA8" s="114">
        <f>$Q$8</f>
        <v/>
      </c>
      <c r="AB8" s="114">
        <f>$Q$8</f>
        <v/>
      </c>
      <c r="AC8" s="723">
        <f>SUM(Q8:AB8)</f>
        <v/>
      </c>
      <c r="AD8" s="689" t="n">
        <v>1</v>
      </c>
      <c r="AE8" s="688" t="n">
        <v>10000</v>
      </c>
      <c r="AF8" s="114">
        <f>$AE$8</f>
        <v/>
      </c>
      <c r="AG8" s="114">
        <f>$AE$8</f>
        <v/>
      </c>
      <c r="AH8" s="114">
        <f>$AE$8</f>
        <v/>
      </c>
      <c r="AI8" s="114">
        <f>$AE$8</f>
        <v/>
      </c>
      <c r="AJ8" s="114">
        <f>$AE$8</f>
        <v/>
      </c>
      <c r="AK8" s="114">
        <f>$AE$8</f>
        <v/>
      </c>
      <c r="AL8" s="114">
        <f>$AE$8</f>
        <v/>
      </c>
      <c r="AM8" s="114">
        <f>$AE$8</f>
        <v/>
      </c>
      <c r="AN8" s="114">
        <f>$AE$8</f>
        <v/>
      </c>
      <c r="AO8" s="114">
        <f>$AE$8</f>
        <v/>
      </c>
      <c r="AP8" s="114">
        <f>$AE$8</f>
        <v/>
      </c>
      <c r="AQ8" s="723">
        <f>SUM(AE8:AP8)</f>
        <v/>
      </c>
      <c r="AR8" s="689" t="n">
        <v>1</v>
      </c>
      <c r="AS8" s="688" t="n">
        <v>10000</v>
      </c>
      <c r="AT8" s="114">
        <f>$AS$8</f>
        <v/>
      </c>
      <c r="AU8" s="114">
        <f>$AS$8</f>
        <v/>
      </c>
      <c r="AV8" s="114">
        <f>$AS$8</f>
        <v/>
      </c>
      <c r="AW8" s="114">
        <f>$AS$8</f>
        <v/>
      </c>
      <c r="AX8" s="114">
        <f>$AS$8</f>
        <v/>
      </c>
      <c r="AY8" s="114">
        <f>$AS$8</f>
        <v/>
      </c>
      <c r="AZ8" s="114">
        <f>$AS$8</f>
        <v/>
      </c>
      <c r="BA8" s="114">
        <f>$AS$8</f>
        <v/>
      </c>
      <c r="BB8" s="114">
        <f>$AS$8</f>
        <v/>
      </c>
      <c r="BC8" s="114">
        <f>$AS$8</f>
        <v/>
      </c>
      <c r="BD8" s="114">
        <f>$AS$8</f>
        <v/>
      </c>
      <c r="BE8" s="723">
        <f>SUM(AS8:BD8)</f>
        <v/>
      </c>
      <c r="BF8" s="689" t="n">
        <v>1</v>
      </c>
      <c r="BG8" s="688" t="n">
        <v>12000</v>
      </c>
      <c r="BH8" s="114">
        <f>$BG$8</f>
        <v/>
      </c>
      <c r="BI8" s="114">
        <f>$BG$8</f>
        <v/>
      </c>
      <c r="BJ8" s="114">
        <f>$BG$8</f>
        <v/>
      </c>
      <c r="BK8" s="114">
        <f>$BG$8</f>
        <v/>
      </c>
      <c r="BL8" s="114">
        <f>$BG$8</f>
        <v/>
      </c>
      <c r="BM8" s="114">
        <f>$BG$8</f>
        <v/>
      </c>
      <c r="BN8" s="114">
        <f>$BG$8</f>
        <v/>
      </c>
      <c r="BO8" s="114">
        <f>$BG$8</f>
        <v/>
      </c>
      <c r="BP8" s="114">
        <f>$BG$8</f>
        <v/>
      </c>
      <c r="BQ8" s="114">
        <f>$BG$8</f>
        <v/>
      </c>
      <c r="BR8" s="114">
        <f>$BG$8</f>
        <v/>
      </c>
      <c r="BS8" s="723">
        <f>SUM(BG8:BR8)</f>
        <v/>
      </c>
      <c r="BT8" s="689" t="n">
        <v>1</v>
      </c>
      <c r="BU8" s="688" t="n">
        <v>12000</v>
      </c>
      <c r="BV8" s="114">
        <f>$BG$8</f>
        <v/>
      </c>
      <c r="BW8" s="114">
        <f>$BG$8</f>
        <v/>
      </c>
      <c r="BX8" s="114">
        <f>$BG$8</f>
        <v/>
      </c>
      <c r="BY8" s="114">
        <f>$BG$8</f>
        <v/>
      </c>
      <c r="BZ8" s="114">
        <f>$BG$8</f>
        <v/>
      </c>
      <c r="CA8" s="114">
        <f>$BG$8</f>
        <v/>
      </c>
      <c r="CB8" s="114">
        <f>$BG$8</f>
        <v/>
      </c>
      <c r="CC8" s="114">
        <f>$BG$8</f>
        <v/>
      </c>
      <c r="CD8" s="114">
        <f>$BG$8</f>
        <v/>
      </c>
      <c r="CE8" s="114">
        <f>$BG$8</f>
        <v/>
      </c>
      <c r="CF8" s="114">
        <f>$BG$8</f>
        <v/>
      </c>
      <c r="CG8" s="723">
        <f>SUM(BU8:CF8)</f>
        <v/>
      </c>
      <c r="CH8" s="689" t="n">
        <v>1</v>
      </c>
    </row>
    <row r="9" ht="24" customHeight="1">
      <c r="A9" s="1325" t="inlineStr">
        <is>
          <t>CFO Accting</t>
        </is>
      </c>
      <c r="B9" s="46" t="inlineStr">
        <is>
          <t xml:space="preserve"> </t>
        </is>
      </c>
      <c r="C9" s="688" t="n">
        <v>0</v>
      </c>
      <c r="D9" s="114">
        <f>$C$9</f>
        <v/>
      </c>
      <c r="E9" s="114">
        <f>$C$9</f>
        <v/>
      </c>
      <c r="F9" s="114">
        <f>$C$9</f>
        <v/>
      </c>
      <c r="G9" s="114">
        <f>$C$9</f>
        <v/>
      </c>
      <c r="H9" s="114">
        <f>$C$9</f>
        <v/>
      </c>
      <c r="I9" s="114">
        <f>$C$9</f>
        <v/>
      </c>
      <c r="J9" s="114">
        <f>$C$9</f>
        <v/>
      </c>
      <c r="K9" s="114">
        <f>$C$9</f>
        <v/>
      </c>
      <c r="L9" s="114">
        <f>$C$9</f>
        <v/>
      </c>
      <c r="M9" s="114">
        <f>$C$9</f>
        <v/>
      </c>
      <c r="N9" s="882">
        <f>$C$9</f>
        <v/>
      </c>
      <c r="O9" s="723">
        <f>SUM(J9:N9)</f>
        <v/>
      </c>
      <c r="P9" s="1326" t="n"/>
      <c r="Q9" s="688" t="n">
        <v>0</v>
      </c>
      <c r="R9" s="114" t="n">
        <v>0</v>
      </c>
      <c r="S9" s="114" t="n">
        <v>0</v>
      </c>
      <c r="T9" s="114" t="n">
        <v>0</v>
      </c>
      <c r="U9" s="114" t="n">
        <v>0</v>
      </c>
      <c r="V9" s="114" t="n">
        <v>0</v>
      </c>
      <c r="W9" s="114" t="n">
        <v>0</v>
      </c>
      <c r="X9" s="114" t="n">
        <v>0</v>
      </c>
      <c r="Y9" s="114" t="n">
        <v>0</v>
      </c>
      <c r="Z9" s="114" t="n">
        <v>0</v>
      </c>
      <c r="AA9" s="114" t="n">
        <v>0</v>
      </c>
      <c r="AB9" s="114" t="n">
        <v>0</v>
      </c>
      <c r="AC9" s="723">
        <f>SUM(Q9:AB9)</f>
        <v/>
      </c>
      <c r="AD9" s="690" t="n"/>
      <c r="AE9" s="688" t="n">
        <v>0</v>
      </c>
      <c r="AF9" s="114">
        <f>$AE$9</f>
        <v/>
      </c>
      <c r="AG9" s="114">
        <f>$AE$9</f>
        <v/>
      </c>
      <c r="AH9" s="114">
        <f>$AE$9</f>
        <v/>
      </c>
      <c r="AI9" s="114">
        <f>$AE$9</f>
        <v/>
      </c>
      <c r="AJ9" s="114">
        <f>$AE$9</f>
        <v/>
      </c>
      <c r="AK9" s="114">
        <f>$AE$9</f>
        <v/>
      </c>
      <c r="AL9" s="114">
        <f>$AE$9</f>
        <v/>
      </c>
      <c r="AM9" s="114">
        <f>$AE$9</f>
        <v/>
      </c>
      <c r="AN9" s="114">
        <f>$AE$9</f>
        <v/>
      </c>
      <c r="AO9" s="114">
        <f>$AE$9</f>
        <v/>
      </c>
      <c r="AP9" s="114">
        <f>$AE$9</f>
        <v/>
      </c>
      <c r="AQ9" s="723">
        <f>SUM(AE9:AP9)</f>
        <v/>
      </c>
      <c r="AR9" s="689" t="n">
        <v>1</v>
      </c>
      <c r="AS9" s="688" t="n">
        <v>6000</v>
      </c>
      <c r="AT9" s="114" t="n">
        <v>6000</v>
      </c>
      <c r="AU9" s="114" t="n">
        <v>6000</v>
      </c>
      <c r="AV9" s="114" t="n">
        <v>6000</v>
      </c>
      <c r="AW9" s="114" t="n">
        <v>6000</v>
      </c>
      <c r="AX9" s="114" t="n">
        <v>6000</v>
      </c>
      <c r="AY9" s="114" t="n">
        <v>6000</v>
      </c>
      <c r="AZ9" s="114" t="n">
        <v>6000</v>
      </c>
      <c r="BA9" s="114" t="n">
        <v>6000</v>
      </c>
      <c r="BB9" s="114" t="n">
        <v>6000</v>
      </c>
      <c r="BC9" s="114" t="n">
        <v>6000</v>
      </c>
      <c r="BD9" s="114" t="n">
        <v>6000</v>
      </c>
      <c r="BE9" s="723">
        <f>SUM(AS9:BD9)</f>
        <v/>
      </c>
      <c r="BF9" s="689" t="n">
        <v>1</v>
      </c>
      <c r="BG9" s="688" t="n">
        <v>6000</v>
      </c>
      <c r="BH9" s="114">
        <f>$BG$9</f>
        <v/>
      </c>
      <c r="BI9" s="114">
        <f>$BG$9</f>
        <v/>
      </c>
      <c r="BJ9" s="114">
        <f>$BG$9</f>
        <v/>
      </c>
      <c r="BK9" s="114">
        <f>$BG$9</f>
        <v/>
      </c>
      <c r="BL9" s="114">
        <f>$BG$9</f>
        <v/>
      </c>
      <c r="BM9" s="114">
        <f>$BG$9</f>
        <v/>
      </c>
      <c r="BN9" s="114">
        <f>$BG$9</f>
        <v/>
      </c>
      <c r="BO9" s="114">
        <f>$BG$9</f>
        <v/>
      </c>
      <c r="BP9" s="114">
        <f>$BG$9</f>
        <v/>
      </c>
      <c r="BQ9" s="114">
        <f>$BG$9</f>
        <v/>
      </c>
      <c r="BR9" s="114">
        <f>$BG$9</f>
        <v/>
      </c>
      <c r="BS9" s="723">
        <f>SUM(BG9:BR9)</f>
        <v/>
      </c>
      <c r="BT9" s="689" t="n">
        <v>1</v>
      </c>
      <c r="BU9" s="688" t="n">
        <v>6000</v>
      </c>
      <c r="BV9" s="114">
        <f>$BU$9</f>
        <v/>
      </c>
      <c r="BW9" s="114">
        <f>$BU$9</f>
        <v/>
      </c>
      <c r="BX9" s="114">
        <f>$BU$9</f>
        <v/>
      </c>
      <c r="BY9" s="114">
        <f>$BU$9</f>
        <v/>
      </c>
      <c r="BZ9" s="114">
        <f>$BU$9</f>
        <v/>
      </c>
      <c r="CA9" s="114">
        <f>$BU$9</f>
        <v/>
      </c>
      <c r="CB9" s="114">
        <f>$BU$9</f>
        <v/>
      </c>
      <c r="CC9" s="114">
        <f>$BU$9</f>
        <v/>
      </c>
      <c r="CD9" s="114">
        <f>$BU$9</f>
        <v/>
      </c>
      <c r="CE9" s="114">
        <f>$BU$9</f>
        <v/>
      </c>
      <c r="CF9" s="114">
        <f>$BU$9</f>
        <v/>
      </c>
      <c r="CG9" s="723">
        <f>SUM(BU9:CF9)</f>
        <v/>
      </c>
      <c r="CH9" s="689" t="n">
        <v>1</v>
      </c>
    </row>
    <row r="10" ht="24" customHeight="1">
      <c r="A10" s="1325" t="inlineStr">
        <is>
          <t>Product  /Technology</t>
        </is>
      </c>
      <c r="B10" s="46" t="inlineStr">
        <is>
          <t xml:space="preserve"> </t>
        </is>
      </c>
      <c r="C10" s="688" t="n">
        <v>10000</v>
      </c>
      <c r="D10" s="114">
        <f>C10</f>
        <v/>
      </c>
      <c r="E10" s="114">
        <f>D10</f>
        <v/>
      </c>
      <c r="F10" s="114">
        <f>E10</f>
        <v/>
      </c>
      <c r="G10" s="114">
        <f>F10</f>
        <v/>
      </c>
      <c r="H10" s="114">
        <f>G10</f>
        <v/>
      </c>
      <c r="I10" s="114">
        <f>H10</f>
        <v/>
      </c>
      <c r="J10" s="114">
        <f>I10</f>
        <v/>
      </c>
      <c r="K10" s="114">
        <f>J10</f>
        <v/>
      </c>
      <c r="L10" s="114">
        <f>K10</f>
        <v/>
      </c>
      <c r="M10" s="114">
        <f>L10</f>
        <v/>
      </c>
      <c r="N10" s="114">
        <f>M10</f>
        <v/>
      </c>
      <c r="O10" s="723">
        <f>SUM(C10:N10)</f>
        <v/>
      </c>
      <c r="P10" s="1326" t="n">
        <v>0.5</v>
      </c>
      <c r="Q10" s="688" t="n">
        <v>6500</v>
      </c>
      <c r="R10" s="114" t="n">
        <v>6500</v>
      </c>
      <c r="S10" s="114" t="n">
        <v>6500</v>
      </c>
      <c r="T10" s="114" t="n">
        <v>6500</v>
      </c>
      <c r="U10" s="114" t="n">
        <v>6500</v>
      </c>
      <c r="V10" s="114" t="n">
        <v>6500</v>
      </c>
      <c r="W10" s="114" t="n">
        <v>6500</v>
      </c>
      <c r="X10" s="114" t="n">
        <v>6500</v>
      </c>
      <c r="Y10" s="114" t="n">
        <v>6500</v>
      </c>
      <c r="Z10" s="114" t="n">
        <v>6500</v>
      </c>
      <c r="AA10" s="114" t="n">
        <v>6500</v>
      </c>
      <c r="AB10" s="114" t="n">
        <v>6500</v>
      </c>
      <c r="AC10" s="723">
        <f>SUM(Q10:AB10)</f>
        <v/>
      </c>
      <c r="AD10" s="689" t="n">
        <v>1</v>
      </c>
      <c r="AE10" s="688" t="n">
        <v>7500</v>
      </c>
      <c r="AF10" s="114">
        <f>$AE$10</f>
        <v/>
      </c>
      <c r="AG10" s="114" t="n">
        <v>7500</v>
      </c>
      <c r="AH10" s="114" t="n">
        <v>7500</v>
      </c>
      <c r="AI10" s="114" t="n">
        <v>7500</v>
      </c>
      <c r="AJ10" s="114" t="n">
        <v>7500</v>
      </c>
      <c r="AK10" s="114" t="n">
        <v>7500</v>
      </c>
      <c r="AL10" s="114" t="n">
        <v>7500</v>
      </c>
      <c r="AM10" s="114" t="n">
        <v>7500</v>
      </c>
      <c r="AN10" s="114" t="n">
        <v>7500</v>
      </c>
      <c r="AO10" s="114" t="n">
        <v>7500</v>
      </c>
      <c r="AP10" s="114" t="n">
        <v>7500</v>
      </c>
      <c r="AQ10" s="723">
        <f>SUM(AE10:AP10)</f>
        <v/>
      </c>
      <c r="AR10" s="689" t="n">
        <v>1</v>
      </c>
      <c r="AS10" s="688" t="n">
        <v>7000</v>
      </c>
      <c r="AT10" s="114" t="n">
        <v>7000</v>
      </c>
      <c r="AU10" s="114" t="n">
        <v>7000</v>
      </c>
      <c r="AV10" s="114" t="n">
        <v>7000</v>
      </c>
      <c r="AW10" s="114" t="n">
        <v>7000</v>
      </c>
      <c r="AX10" s="114" t="n">
        <v>7000</v>
      </c>
      <c r="AY10" s="114" t="n">
        <v>7000</v>
      </c>
      <c r="AZ10" s="114" t="n">
        <v>7000</v>
      </c>
      <c r="BA10" s="114" t="n">
        <v>7000</v>
      </c>
      <c r="BB10" s="114" t="n">
        <v>7000</v>
      </c>
      <c r="BC10" s="114" t="n">
        <v>7000</v>
      </c>
      <c r="BD10" s="114" t="n">
        <v>7000</v>
      </c>
      <c r="BE10" s="723">
        <f>SUM(AS10:BD10)</f>
        <v/>
      </c>
      <c r="BF10" s="689" t="n">
        <v>1</v>
      </c>
      <c r="BG10" s="688" t="n">
        <v>7000</v>
      </c>
      <c r="BH10" s="114">
        <f>$BG$10</f>
        <v/>
      </c>
      <c r="BI10" s="114">
        <f>$BG$10</f>
        <v/>
      </c>
      <c r="BJ10" s="114">
        <f>$BG$10</f>
        <v/>
      </c>
      <c r="BK10" s="114">
        <f>$BG$10</f>
        <v/>
      </c>
      <c r="BL10" s="114">
        <f>$BG$10</f>
        <v/>
      </c>
      <c r="BM10" s="114">
        <f>$BG$10</f>
        <v/>
      </c>
      <c r="BN10" s="114">
        <f>$BG$10</f>
        <v/>
      </c>
      <c r="BO10" s="114">
        <f>$BG$10</f>
        <v/>
      </c>
      <c r="BP10" s="114">
        <f>$BG$10</f>
        <v/>
      </c>
      <c r="BQ10" s="114">
        <f>$BG$10</f>
        <v/>
      </c>
      <c r="BR10" s="114">
        <f>$BG$10</f>
        <v/>
      </c>
      <c r="BS10" s="723">
        <f>SUM(BG10:BR10)</f>
        <v/>
      </c>
      <c r="BT10" s="689" t="n">
        <v>1</v>
      </c>
      <c r="BU10" s="688" t="n">
        <v>7000</v>
      </c>
      <c r="BV10" s="114">
        <f>$BU$10</f>
        <v/>
      </c>
      <c r="BW10" s="114">
        <f>$BU$10</f>
        <v/>
      </c>
      <c r="BX10" s="114">
        <f>$BU$10</f>
        <v/>
      </c>
      <c r="BY10" s="114">
        <f>$BU$10</f>
        <v/>
      </c>
      <c r="BZ10" s="114">
        <f>$BU$10</f>
        <v/>
      </c>
      <c r="CA10" s="114">
        <f>$BU$10</f>
        <v/>
      </c>
      <c r="CB10" s="114">
        <f>$BU$10</f>
        <v/>
      </c>
      <c r="CC10" s="114">
        <f>$BU$10</f>
        <v/>
      </c>
      <c r="CD10" s="114">
        <f>$BU$10</f>
        <v/>
      </c>
      <c r="CE10" s="114">
        <f>$BU$10</f>
        <v/>
      </c>
      <c r="CF10" s="114">
        <f>$BU$10</f>
        <v/>
      </c>
      <c r="CG10" s="723">
        <f>SUM(BU10:CF10)</f>
        <v/>
      </c>
      <c r="CH10" s="689" t="n">
        <v>1</v>
      </c>
    </row>
    <row r="11" ht="24" customHeight="1">
      <c r="A11" s="1325" t="inlineStr">
        <is>
          <t>Operations</t>
        </is>
      </c>
      <c r="B11" s="46" t="inlineStr">
        <is>
          <t xml:space="preserve"> </t>
        </is>
      </c>
      <c r="C11" s="688" t="inlineStr">
        <is>
          <t xml:space="preserve"> </t>
        </is>
      </c>
      <c r="D11" s="114" t="inlineStr">
        <is>
          <t xml:space="preserve"> </t>
        </is>
      </c>
      <c r="E11" s="114" t="inlineStr">
        <is>
          <t xml:space="preserve"> </t>
        </is>
      </c>
      <c r="F11" s="114" t="inlineStr">
        <is>
          <t xml:space="preserve"> </t>
        </is>
      </c>
      <c r="G11" s="114" t="inlineStr">
        <is>
          <t xml:space="preserve"> </t>
        </is>
      </c>
      <c r="H11" s="114" t="inlineStr">
        <is>
          <t xml:space="preserve"> </t>
        </is>
      </c>
      <c r="I11" s="114" t="inlineStr">
        <is>
          <t xml:space="preserve"> </t>
        </is>
      </c>
      <c r="J11" s="114" t="inlineStr">
        <is>
          <t xml:space="preserve"> </t>
        </is>
      </c>
      <c r="K11" s="114" t="inlineStr">
        <is>
          <t xml:space="preserve"> </t>
        </is>
      </c>
      <c r="L11" s="114" t="inlineStr">
        <is>
          <t xml:space="preserve"> </t>
        </is>
      </c>
      <c r="M11" s="114" t="inlineStr">
        <is>
          <t xml:space="preserve"> </t>
        </is>
      </c>
      <c r="N11" s="882" t="inlineStr">
        <is>
          <t xml:space="preserve"> </t>
        </is>
      </c>
      <c r="O11" s="723">
        <f>SUM(C11:N11)</f>
        <v/>
      </c>
      <c r="P11" s="1326" t="n"/>
      <c r="Q11" s="688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723" t="n"/>
      <c r="AD11" s="689" t="n"/>
      <c r="AE11" s="688" t="n"/>
      <c r="AF11" s="114" t="n"/>
      <c r="AG11" s="114" t="n"/>
      <c r="AH11" s="114" t="n"/>
      <c r="AI11" s="114" t="n"/>
      <c r="AJ11" s="114" t="n"/>
      <c r="AK11" s="114" t="n"/>
      <c r="AL11" s="114" t="n"/>
      <c r="AM11" s="114" t="n"/>
      <c r="AN11" s="114" t="n"/>
      <c r="AO11" s="114" t="n"/>
      <c r="AP11" s="114" t="n"/>
      <c r="AQ11" s="723" t="n"/>
      <c r="AR11" s="689" t="n"/>
      <c r="AS11" s="688" t="n"/>
      <c r="AT11" s="114" t="n"/>
      <c r="AU11" s="114" t="n"/>
      <c r="AV11" s="114" t="n"/>
      <c r="AW11" s="114" t="n"/>
      <c r="AX11" s="114" t="n"/>
      <c r="AY11" s="114" t="n"/>
      <c r="AZ11" s="114" t="n"/>
      <c r="BA11" s="114" t="n"/>
      <c r="BB11" s="114" t="n"/>
      <c r="BC11" s="114" t="n"/>
      <c r="BD11" s="114" t="n"/>
      <c r="BE11" s="723" t="n"/>
      <c r="BF11" s="689" t="n"/>
      <c r="BG11" s="688" t="n"/>
      <c r="BH11" s="114" t="n"/>
      <c r="BI11" s="114" t="n"/>
      <c r="BJ11" s="114" t="n"/>
      <c r="BK11" s="114" t="n"/>
      <c r="BL11" s="114" t="n"/>
      <c r="BM11" s="114" t="n"/>
      <c r="BN11" s="114" t="n"/>
      <c r="BO11" s="114" t="n"/>
      <c r="BP11" s="114" t="n"/>
      <c r="BQ11" s="114" t="n"/>
      <c r="BR11" s="114" t="n"/>
      <c r="BS11" s="723" t="n"/>
      <c r="BT11" s="689" t="n"/>
      <c r="BU11" s="688" t="n"/>
      <c r="BV11" s="114" t="n"/>
      <c r="BW11" s="114" t="n"/>
      <c r="BX11" s="114" t="n"/>
      <c r="BY11" s="114" t="n"/>
      <c r="BZ11" s="114" t="n"/>
      <c r="CA11" s="114" t="n"/>
      <c r="CB11" s="114" t="n"/>
      <c r="CC11" s="114" t="n"/>
      <c r="CD11" s="114" t="n"/>
      <c r="CE11" s="114" t="n"/>
      <c r="CF11" s="114" t="n"/>
      <c r="CG11" s="723" t="n"/>
      <c r="CH11" s="689" t="n"/>
    </row>
    <row r="12" ht="24" customHeight="1">
      <c r="A12" s="1327" t="inlineStr">
        <is>
          <t>COO</t>
        </is>
      </c>
      <c r="B12" s="46" t="inlineStr">
        <is>
          <t xml:space="preserve"> </t>
        </is>
      </c>
      <c r="C12" s="686" t="n">
        <v>3500</v>
      </c>
      <c r="D12" s="46">
        <f>$C$12</f>
        <v/>
      </c>
      <c r="E12" s="46">
        <f>$C$12</f>
        <v/>
      </c>
      <c r="F12" s="46">
        <f>$C$12</f>
        <v/>
      </c>
      <c r="G12" s="46">
        <f>$C$12</f>
        <v/>
      </c>
      <c r="H12" s="46">
        <f>$C$12</f>
        <v/>
      </c>
      <c r="I12" s="46">
        <f>$C$12</f>
        <v/>
      </c>
      <c r="J12" s="46">
        <f>$C$12</f>
        <v/>
      </c>
      <c r="K12" s="46">
        <f>$C$12</f>
        <v/>
      </c>
      <c r="L12" s="46">
        <f>$C$12</f>
        <v/>
      </c>
      <c r="M12" s="46">
        <f>$C$12</f>
        <v/>
      </c>
      <c r="N12" s="215">
        <f>$C$12</f>
        <v/>
      </c>
      <c r="O12" s="724">
        <f>SUM(C12:N12)</f>
        <v/>
      </c>
      <c r="P12" s="1326" t="n">
        <v>0.5</v>
      </c>
      <c r="Q12" s="686" t="n">
        <v>6500</v>
      </c>
      <c r="R12" s="114">
        <f>$Q$12</f>
        <v/>
      </c>
      <c r="S12" s="114">
        <f>$Q$12</f>
        <v/>
      </c>
      <c r="T12" s="114">
        <f>$Q$12</f>
        <v/>
      </c>
      <c r="U12" s="114">
        <f>$Q$12</f>
        <v/>
      </c>
      <c r="V12" s="114">
        <f>$Q$12</f>
        <v/>
      </c>
      <c r="W12" s="114">
        <f>$Q$12</f>
        <v/>
      </c>
      <c r="X12" s="114">
        <f>$Q$12</f>
        <v/>
      </c>
      <c r="Y12" s="114">
        <f>$Q$12</f>
        <v/>
      </c>
      <c r="Z12" s="114">
        <f>$Q$12</f>
        <v/>
      </c>
      <c r="AA12" s="114">
        <f>$Q$12</f>
        <v/>
      </c>
      <c r="AB12" s="114">
        <f>$Q$12</f>
        <v/>
      </c>
      <c r="AC12" s="724">
        <f>SUM(Q12:AB12)</f>
        <v/>
      </c>
      <c r="AD12" s="689" t="n">
        <v>1</v>
      </c>
      <c r="AE12" s="686" t="n">
        <v>7500</v>
      </c>
      <c r="AF12" s="114">
        <f>$AE$12</f>
        <v/>
      </c>
      <c r="AG12" s="114">
        <f>$AE$12</f>
        <v/>
      </c>
      <c r="AH12" s="114">
        <f>$AE$12</f>
        <v/>
      </c>
      <c r="AI12" s="114">
        <f>$AE$12</f>
        <v/>
      </c>
      <c r="AJ12" s="114">
        <f>$AE$12</f>
        <v/>
      </c>
      <c r="AK12" s="114">
        <f>$AE$12</f>
        <v/>
      </c>
      <c r="AL12" s="114">
        <f>$AE$12</f>
        <v/>
      </c>
      <c r="AM12" s="114">
        <f>$AE$12</f>
        <v/>
      </c>
      <c r="AN12" s="114">
        <f>$AE$12</f>
        <v/>
      </c>
      <c r="AO12" s="114">
        <f>$AE$12</f>
        <v/>
      </c>
      <c r="AP12" s="114">
        <f>$AE$12</f>
        <v/>
      </c>
      <c r="AQ12" s="724">
        <f>SUM(AE12:AP12)</f>
        <v/>
      </c>
      <c r="AR12" s="689" t="n">
        <v>1</v>
      </c>
      <c r="AS12" s="686" t="n">
        <v>7500</v>
      </c>
      <c r="AT12" s="114">
        <f>$AS$12</f>
        <v/>
      </c>
      <c r="AU12" s="114">
        <f>$AS$12</f>
        <v/>
      </c>
      <c r="AV12" s="114">
        <f>$AS$12</f>
        <v/>
      </c>
      <c r="AW12" s="114">
        <f>$AS$12</f>
        <v/>
      </c>
      <c r="AX12" s="114">
        <f>$AS$12</f>
        <v/>
      </c>
      <c r="AY12" s="114">
        <f>$AS$12</f>
        <v/>
      </c>
      <c r="AZ12" s="114">
        <f>$AS$12</f>
        <v/>
      </c>
      <c r="BA12" s="114">
        <f>$AS$12</f>
        <v/>
      </c>
      <c r="BB12" s="114">
        <f>$AS$12</f>
        <v/>
      </c>
      <c r="BC12" s="114">
        <f>$AS$12</f>
        <v/>
      </c>
      <c r="BD12" s="114">
        <f>$AS$12</f>
        <v/>
      </c>
      <c r="BE12" s="724">
        <f>SUM(AS12:BD12)</f>
        <v/>
      </c>
      <c r="BF12" s="689" t="n">
        <v>1</v>
      </c>
      <c r="BG12" s="686" t="n">
        <v>6500</v>
      </c>
      <c r="BH12" s="114">
        <f>$BG$12</f>
        <v/>
      </c>
      <c r="BI12" s="114">
        <f>$BG$12</f>
        <v/>
      </c>
      <c r="BJ12" s="114">
        <f>$BG$12</f>
        <v/>
      </c>
      <c r="BK12" s="114">
        <f>$BG$12</f>
        <v/>
      </c>
      <c r="BL12" s="114">
        <f>$BG$12</f>
        <v/>
      </c>
      <c r="BM12" s="114">
        <f>$BG$12</f>
        <v/>
      </c>
      <c r="BN12" s="114">
        <f>$BG$12</f>
        <v/>
      </c>
      <c r="BO12" s="114">
        <f>$BG$12</f>
        <v/>
      </c>
      <c r="BP12" s="114">
        <f>$BG$12</f>
        <v/>
      </c>
      <c r="BQ12" s="114">
        <f>$BG$12</f>
        <v/>
      </c>
      <c r="BR12" s="114">
        <f>$BG$12</f>
        <v/>
      </c>
      <c r="BS12" s="724">
        <f>SUM(BG12:BR12)</f>
        <v/>
      </c>
      <c r="BT12" s="689" t="n">
        <v>1</v>
      </c>
      <c r="BU12" s="686" t="n">
        <v>6500</v>
      </c>
      <c r="BV12" s="114">
        <f>$BG$12</f>
        <v/>
      </c>
      <c r="BW12" s="114">
        <f>$BG$12</f>
        <v/>
      </c>
      <c r="BX12" s="114">
        <f>$BG$12</f>
        <v/>
      </c>
      <c r="BY12" s="114">
        <f>$BG$12</f>
        <v/>
      </c>
      <c r="BZ12" s="114">
        <f>$BG$12</f>
        <v/>
      </c>
      <c r="CA12" s="114">
        <f>$BG$12</f>
        <v/>
      </c>
      <c r="CB12" s="114">
        <f>$BG$12</f>
        <v/>
      </c>
      <c r="CC12" s="114">
        <f>$BG$12</f>
        <v/>
      </c>
      <c r="CD12" s="114">
        <f>$BG$12</f>
        <v/>
      </c>
      <c r="CE12" s="114">
        <f>$BG$12</f>
        <v/>
      </c>
      <c r="CF12" s="114">
        <f>$BG$12</f>
        <v/>
      </c>
      <c r="CG12" s="724">
        <f>SUM(BU12:CF12)</f>
        <v/>
      </c>
      <c r="CH12" s="689" t="n">
        <v>1</v>
      </c>
    </row>
    <row r="13" ht="24" customHeight="1">
      <c r="A13" s="1327" t="inlineStr">
        <is>
          <t>Customer Success</t>
        </is>
      </c>
      <c r="B13" s="46" t="inlineStr">
        <is>
          <t xml:space="preserve"> </t>
        </is>
      </c>
      <c r="C13" s="686" t="n">
        <v>0</v>
      </c>
      <c r="D13" s="46" t="n">
        <v>0</v>
      </c>
      <c r="E13" s="46" t="n">
        <v>0</v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6" t="n">
        <v>0</v>
      </c>
      <c r="L13" s="46" t="n">
        <v>0</v>
      </c>
      <c r="M13" s="46" t="n">
        <v>0</v>
      </c>
      <c r="N13" s="215" t="n">
        <v>0</v>
      </c>
      <c r="O13" s="724">
        <f>SUM(C13:N13)</f>
        <v/>
      </c>
      <c r="P13" s="1326" t="n"/>
      <c r="Q13" s="686" t="n">
        <v>3000</v>
      </c>
      <c r="R13" s="114">
        <f>$Q$13</f>
        <v/>
      </c>
      <c r="S13" s="114">
        <f>$Q$13</f>
        <v/>
      </c>
      <c r="T13" s="114">
        <f>$Q$13</f>
        <v/>
      </c>
      <c r="U13" s="114">
        <f>$Q$13</f>
        <v/>
      </c>
      <c r="V13" s="114">
        <f>$Q$13</f>
        <v/>
      </c>
      <c r="W13" s="114">
        <f>$Q$13</f>
        <v/>
      </c>
      <c r="X13" s="114">
        <f>$Q$13</f>
        <v/>
      </c>
      <c r="Y13" s="114">
        <f>$Q$13</f>
        <v/>
      </c>
      <c r="Z13" s="114">
        <f>$Q$13</f>
        <v/>
      </c>
      <c r="AA13" s="114">
        <f>$Q$13</f>
        <v/>
      </c>
      <c r="AB13" s="114">
        <f>$Q$13</f>
        <v/>
      </c>
      <c r="AC13" s="724">
        <f>SUM(Q13:AB13)</f>
        <v/>
      </c>
      <c r="AD13" s="689" t="n">
        <v>1</v>
      </c>
      <c r="AE13" s="686" t="n">
        <v>6000</v>
      </c>
      <c r="AF13" s="114">
        <f>$AE$13</f>
        <v/>
      </c>
      <c r="AG13" s="114">
        <f>$AE$13</f>
        <v/>
      </c>
      <c r="AH13" s="114">
        <f>$AE$13</f>
        <v/>
      </c>
      <c r="AI13" s="114">
        <f>$AE$13</f>
        <v/>
      </c>
      <c r="AJ13" s="114">
        <f>$AE$13</f>
        <v/>
      </c>
      <c r="AK13" s="114">
        <f>$AE$13</f>
        <v/>
      </c>
      <c r="AL13" s="114">
        <f>$AE$13</f>
        <v/>
      </c>
      <c r="AM13" s="114">
        <f>$AE$13</f>
        <v/>
      </c>
      <c r="AN13" s="114">
        <f>$AE$13</f>
        <v/>
      </c>
      <c r="AO13" s="114">
        <f>$AE$13</f>
        <v/>
      </c>
      <c r="AP13" s="114">
        <f>$AE$13</f>
        <v/>
      </c>
      <c r="AQ13" s="724">
        <f>SUM(AE13:AP13)</f>
        <v/>
      </c>
      <c r="AR13" s="689" t="n">
        <v>2</v>
      </c>
      <c r="AS13" s="686" t="n">
        <v>6000</v>
      </c>
      <c r="AT13" s="114">
        <f>$AS$13</f>
        <v/>
      </c>
      <c r="AU13" s="114">
        <f>$AS$13</f>
        <v/>
      </c>
      <c r="AV13" s="114">
        <f>$AS$13</f>
        <v/>
      </c>
      <c r="AW13" s="114">
        <f>$AS$13</f>
        <v/>
      </c>
      <c r="AX13" s="114">
        <f>$AS$13</f>
        <v/>
      </c>
      <c r="AY13" s="114">
        <f>$AS$13</f>
        <v/>
      </c>
      <c r="AZ13" s="114">
        <f>$AS$13</f>
        <v/>
      </c>
      <c r="BA13" s="114">
        <f>$AS$13</f>
        <v/>
      </c>
      <c r="BB13" s="114">
        <f>$AS$13</f>
        <v/>
      </c>
      <c r="BC13" s="114">
        <f>$AS$13</f>
        <v/>
      </c>
      <c r="BD13" s="114">
        <f>$AS$13</f>
        <v/>
      </c>
      <c r="BE13" s="724">
        <f>SUM(AS13:BD13)</f>
        <v/>
      </c>
      <c r="BF13" s="689" t="n">
        <v>2</v>
      </c>
      <c r="BG13" s="686" t="n">
        <v>6000</v>
      </c>
      <c r="BH13" s="114">
        <f>$BG$13</f>
        <v/>
      </c>
      <c r="BI13" s="114">
        <f>$BG$13</f>
        <v/>
      </c>
      <c r="BJ13" s="114">
        <f>$BG$13</f>
        <v/>
      </c>
      <c r="BK13" s="114">
        <f>$BG$13</f>
        <v/>
      </c>
      <c r="BL13" s="114">
        <f>$BG$13</f>
        <v/>
      </c>
      <c r="BM13" s="114">
        <f>$BG$13</f>
        <v/>
      </c>
      <c r="BN13" s="114">
        <f>$BG$13</f>
        <v/>
      </c>
      <c r="BO13" s="114">
        <f>$BG$13</f>
        <v/>
      </c>
      <c r="BP13" s="114">
        <f>$BG$13</f>
        <v/>
      </c>
      <c r="BQ13" s="114">
        <f>$BG$13</f>
        <v/>
      </c>
      <c r="BR13" s="114">
        <f>$BG$13</f>
        <v/>
      </c>
      <c r="BS13" s="724">
        <f>SUM(BG13:BR13)</f>
        <v/>
      </c>
      <c r="BT13" s="689" t="n">
        <v>3</v>
      </c>
      <c r="BU13" s="686" t="n">
        <v>6000</v>
      </c>
      <c r="BV13" s="114">
        <f>$BG$13</f>
        <v/>
      </c>
      <c r="BW13" s="114">
        <f>$BG$13</f>
        <v/>
      </c>
      <c r="BX13" s="114">
        <f>$BG$13</f>
        <v/>
      </c>
      <c r="BY13" s="114">
        <f>$BG$13</f>
        <v/>
      </c>
      <c r="BZ13" s="114">
        <f>$BG$13</f>
        <v/>
      </c>
      <c r="CA13" s="114">
        <f>$BG$13</f>
        <v/>
      </c>
      <c r="CB13" s="114">
        <f>$BG$13</f>
        <v/>
      </c>
      <c r="CC13" s="114">
        <f>$BG$13</f>
        <v/>
      </c>
      <c r="CD13" s="114">
        <f>$BG$13</f>
        <v/>
      </c>
      <c r="CE13" s="114">
        <f>$BG$13</f>
        <v/>
      </c>
      <c r="CF13" s="114">
        <f>$BG$13</f>
        <v/>
      </c>
      <c r="CG13" s="724">
        <f>SUM(BU13:CF13)</f>
        <v/>
      </c>
      <c r="CH13" s="689" t="n">
        <v>3</v>
      </c>
    </row>
    <row r="14" ht="24" customHeight="1">
      <c r="A14" s="1327" t="inlineStr">
        <is>
          <t xml:space="preserve">Project Management &amp; Deployment </t>
        </is>
      </c>
      <c r="B14" s="46" t="inlineStr">
        <is>
          <t xml:space="preserve"> </t>
        </is>
      </c>
      <c r="C14" s="686" t="n">
        <v>2000</v>
      </c>
      <c r="D14" s="46">
        <f>$C$14</f>
        <v/>
      </c>
      <c r="E14" s="46">
        <f>$C$14</f>
        <v/>
      </c>
      <c r="F14" s="46">
        <f>$C$14</f>
        <v/>
      </c>
      <c r="G14" s="46">
        <f>$C$14</f>
        <v/>
      </c>
      <c r="H14" s="46">
        <f>$C$14</f>
        <v/>
      </c>
      <c r="I14" s="46">
        <f>$C$14</f>
        <v/>
      </c>
      <c r="J14" s="46">
        <f>$C$14</f>
        <v/>
      </c>
      <c r="K14" s="46">
        <f>$C$14</f>
        <v/>
      </c>
      <c r="L14" s="46">
        <f>$C$14</f>
        <v/>
      </c>
      <c r="M14" s="46">
        <f>$C$14</f>
        <v/>
      </c>
      <c r="N14" s="215">
        <f>$C$14</f>
        <v/>
      </c>
      <c r="O14" s="724">
        <f>SUM(C14:N14)</f>
        <v/>
      </c>
      <c r="P14" s="1326" t="n">
        <v>0.5</v>
      </c>
      <c r="Q14" s="686" t="n">
        <v>2000</v>
      </c>
      <c r="R14" s="46" t="n">
        <v>2000</v>
      </c>
      <c r="S14" s="46" t="n">
        <v>2000</v>
      </c>
      <c r="T14" s="46" t="n">
        <v>2000</v>
      </c>
      <c r="U14" s="46" t="n">
        <v>2000</v>
      </c>
      <c r="V14" s="46" t="n">
        <v>2000</v>
      </c>
      <c r="W14" s="46" t="n">
        <v>2000</v>
      </c>
      <c r="X14" s="46" t="n">
        <v>2000</v>
      </c>
      <c r="Y14" s="46" t="n">
        <v>2000</v>
      </c>
      <c r="Z14" s="46" t="n">
        <v>2000</v>
      </c>
      <c r="AA14" s="46" t="n">
        <v>2000</v>
      </c>
      <c r="AB14" s="46" t="n">
        <v>2000</v>
      </c>
      <c r="AC14" s="724">
        <f>SUM(Q14:AB14)</f>
        <v/>
      </c>
      <c r="AD14" s="689" t="n">
        <v>1</v>
      </c>
      <c r="AE14" s="686" t="n">
        <v>2000</v>
      </c>
      <c r="AF14" s="46" t="n">
        <v>2000</v>
      </c>
      <c r="AG14" s="46" t="n">
        <v>2000</v>
      </c>
      <c r="AH14" s="46" t="n">
        <v>2000</v>
      </c>
      <c r="AI14" s="46" t="n">
        <v>2000</v>
      </c>
      <c r="AJ14" s="46" t="n">
        <v>2000</v>
      </c>
      <c r="AK14" s="46" t="n">
        <v>2000</v>
      </c>
      <c r="AL14" s="46" t="n">
        <v>2000</v>
      </c>
      <c r="AM14" s="46" t="n">
        <v>2000</v>
      </c>
      <c r="AN14" s="46" t="n">
        <v>2000</v>
      </c>
      <c r="AO14" s="46" t="n">
        <v>2000</v>
      </c>
      <c r="AP14" s="46" t="n">
        <v>2000</v>
      </c>
      <c r="AQ14" s="724">
        <f>SUM(AE14:AP14)</f>
        <v/>
      </c>
      <c r="AR14" s="689" t="n">
        <v>1</v>
      </c>
      <c r="AS14" s="686" t="n">
        <v>2000</v>
      </c>
      <c r="AT14" s="46">
        <f>$AS$14</f>
        <v/>
      </c>
      <c r="AU14" s="46">
        <f>$AS$14</f>
        <v/>
      </c>
      <c r="AV14" s="46">
        <f>$AS$14</f>
        <v/>
      </c>
      <c r="AW14" s="46">
        <f>$AS$14</f>
        <v/>
      </c>
      <c r="AX14" s="46">
        <f>$AS$14</f>
        <v/>
      </c>
      <c r="AY14" s="46">
        <f>$AS$14</f>
        <v/>
      </c>
      <c r="AZ14" s="46">
        <f>$AS$14</f>
        <v/>
      </c>
      <c r="BA14" s="46">
        <f>$AS$14</f>
        <v/>
      </c>
      <c r="BB14" s="46">
        <f>$AS$14</f>
        <v/>
      </c>
      <c r="BC14" s="46">
        <f>$AS$14</f>
        <v/>
      </c>
      <c r="BD14" s="46">
        <f>$AS$14</f>
        <v/>
      </c>
      <c r="BE14" s="724">
        <f>SUM(AS14:BD14)</f>
        <v/>
      </c>
      <c r="BF14" s="689" t="n">
        <v>1</v>
      </c>
      <c r="BG14" s="686" t="n">
        <v>2000</v>
      </c>
      <c r="BH14" s="46" t="n">
        <v>2000</v>
      </c>
      <c r="BI14" s="46" t="n">
        <v>2000</v>
      </c>
      <c r="BJ14" s="46" t="n">
        <v>2000</v>
      </c>
      <c r="BK14" s="46" t="n">
        <v>2000</v>
      </c>
      <c r="BL14" s="46" t="n">
        <v>2000</v>
      </c>
      <c r="BM14" s="46" t="n">
        <v>2000</v>
      </c>
      <c r="BN14" s="46" t="n">
        <v>2000</v>
      </c>
      <c r="BO14" s="46" t="n">
        <v>2000</v>
      </c>
      <c r="BP14" s="46" t="n">
        <v>2000</v>
      </c>
      <c r="BQ14" s="46" t="n">
        <v>2000</v>
      </c>
      <c r="BR14" s="46" t="n">
        <v>2000</v>
      </c>
      <c r="BS14" s="724">
        <f>SUM(BG14:BR14)</f>
        <v/>
      </c>
      <c r="BT14" s="689" t="n">
        <v>1</v>
      </c>
      <c r="BU14" s="686" t="n">
        <v>2000</v>
      </c>
      <c r="BV14" s="46">
        <f>$BU$14</f>
        <v/>
      </c>
      <c r="BW14" s="46">
        <f>$BU$14</f>
        <v/>
      </c>
      <c r="BX14" s="46">
        <f>$BU$14</f>
        <v/>
      </c>
      <c r="BY14" s="46">
        <f>$BU$14</f>
        <v/>
      </c>
      <c r="BZ14" s="46">
        <f>$BU$14</f>
        <v/>
      </c>
      <c r="CA14" s="46">
        <f>$BU$14</f>
        <v/>
      </c>
      <c r="CB14" s="46">
        <f>$BU$14</f>
        <v/>
      </c>
      <c r="CC14" s="46">
        <f>$BU$14</f>
        <v/>
      </c>
      <c r="CD14" s="46">
        <f>$BU$14</f>
        <v/>
      </c>
      <c r="CE14" s="46">
        <f>$BU$14</f>
        <v/>
      </c>
      <c r="CF14" s="46">
        <f>$BU$14</f>
        <v/>
      </c>
      <c r="CG14" s="724">
        <f>SUM(BU14:CF14)</f>
        <v/>
      </c>
      <c r="CH14" s="689" t="n">
        <v>1</v>
      </c>
    </row>
    <row r="15" ht="24" customHeight="1">
      <c r="A15" s="1325" t="inlineStr">
        <is>
          <t>Marketing / Revenue</t>
        </is>
      </c>
      <c r="B15" s="46" t="n"/>
      <c r="C15" s="686" t="inlineStr">
        <is>
          <t xml:space="preserve"> </t>
        </is>
      </c>
      <c r="D15" s="46" t="inlineStr">
        <is>
          <t xml:space="preserve"> </t>
        </is>
      </c>
      <c r="E15" s="46" t="inlineStr">
        <is>
          <t xml:space="preserve"> </t>
        </is>
      </c>
      <c r="F15" s="46" t="inlineStr">
        <is>
          <t xml:space="preserve"> </t>
        </is>
      </c>
      <c r="G15" s="46" t="inlineStr">
        <is>
          <t xml:space="preserve"> </t>
        </is>
      </c>
      <c r="H15" s="46" t="inlineStr">
        <is>
          <t xml:space="preserve"> </t>
        </is>
      </c>
      <c r="I15" s="46" t="inlineStr">
        <is>
          <t xml:space="preserve"> </t>
        </is>
      </c>
      <c r="J15" s="46" t="inlineStr">
        <is>
          <t xml:space="preserve"> </t>
        </is>
      </c>
      <c r="K15" s="46" t="inlineStr">
        <is>
          <t xml:space="preserve"> </t>
        </is>
      </c>
      <c r="L15" s="46" t="inlineStr">
        <is>
          <t xml:space="preserve"> </t>
        </is>
      </c>
      <c r="M15" s="46" t="inlineStr">
        <is>
          <t xml:space="preserve"> </t>
        </is>
      </c>
      <c r="N15" s="215" t="inlineStr">
        <is>
          <t xml:space="preserve"> </t>
        </is>
      </c>
      <c r="O15" s="723" t="inlineStr">
        <is>
          <t xml:space="preserve"> </t>
        </is>
      </c>
      <c r="P15" s="1326" t="n"/>
      <c r="Q15" s="686" t="inlineStr">
        <is>
          <t xml:space="preserve"> </t>
        </is>
      </c>
      <c r="R15" s="114" t="inlineStr">
        <is>
          <t xml:space="preserve"> </t>
        </is>
      </c>
      <c r="S15" s="114" t="inlineStr">
        <is>
          <t xml:space="preserve"> </t>
        </is>
      </c>
      <c r="T15" s="114" t="inlineStr">
        <is>
          <t xml:space="preserve"> </t>
        </is>
      </c>
      <c r="U15" s="114">
        <f>$Q$15</f>
        <v/>
      </c>
      <c r="V15" s="114">
        <f>$Q$15</f>
        <v/>
      </c>
      <c r="W15" s="114">
        <f>$Q$15</f>
        <v/>
      </c>
      <c r="X15" s="114">
        <f>$Q$15</f>
        <v/>
      </c>
      <c r="Y15" s="114">
        <f>$Q$15</f>
        <v/>
      </c>
      <c r="Z15" s="114">
        <f>$Q$15</f>
        <v/>
      </c>
      <c r="AA15" s="114">
        <f>$Q$15</f>
        <v/>
      </c>
      <c r="AB15" s="114">
        <f>$Q$15</f>
        <v/>
      </c>
      <c r="AC15" s="723" t="inlineStr">
        <is>
          <t xml:space="preserve"> </t>
        </is>
      </c>
      <c r="AD15" s="689" t="n"/>
      <c r="AE15" s="686" t="inlineStr">
        <is>
          <t xml:space="preserve"> </t>
        </is>
      </c>
      <c r="AF15" s="114" t="inlineStr">
        <is>
          <t xml:space="preserve"> </t>
        </is>
      </c>
      <c r="AG15" s="114" t="inlineStr">
        <is>
          <t xml:space="preserve"> </t>
        </is>
      </c>
      <c r="AH15" s="114">
        <f>$AE$15</f>
        <v/>
      </c>
      <c r="AI15" s="114">
        <f>$AE$15</f>
        <v/>
      </c>
      <c r="AJ15" s="114">
        <f>$AE$15</f>
        <v/>
      </c>
      <c r="AK15" s="114">
        <f>$AE$15</f>
        <v/>
      </c>
      <c r="AL15" s="114">
        <f>$AE$15</f>
        <v/>
      </c>
      <c r="AM15" s="114">
        <f>$AE$15</f>
        <v/>
      </c>
      <c r="AN15" s="114">
        <f>$AE$15</f>
        <v/>
      </c>
      <c r="AO15" s="114">
        <f>$AE$15</f>
        <v/>
      </c>
      <c r="AP15" s="114">
        <f>$AE$15</f>
        <v/>
      </c>
      <c r="AQ15" s="723" t="inlineStr">
        <is>
          <t xml:space="preserve"> </t>
        </is>
      </c>
      <c r="AR15" s="689" t="n"/>
      <c r="AS15" s="686" t="inlineStr">
        <is>
          <t xml:space="preserve"> </t>
        </is>
      </c>
      <c r="AT15" s="114">
        <f>$AS$15</f>
        <v/>
      </c>
      <c r="AU15" s="114">
        <f>$AS$15</f>
        <v/>
      </c>
      <c r="AV15" s="114">
        <f>$AS$15</f>
        <v/>
      </c>
      <c r="AW15" s="114">
        <f>$AS$15</f>
        <v/>
      </c>
      <c r="AX15" s="114">
        <f>$AS$15</f>
        <v/>
      </c>
      <c r="AY15" s="114">
        <f>$AS$15</f>
        <v/>
      </c>
      <c r="AZ15" s="114">
        <f>$AS$15</f>
        <v/>
      </c>
      <c r="BA15" s="114">
        <f>$AS$15</f>
        <v/>
      </c>
      <c r="BB15" s="114">
        <f>$AS$15</f>
        <v/>
      </c>
      <c r="BC15" s="114">
        <f>$AS$15</f>
        <v/>
      </c>
      <c r="BD15" s="114">
        <f>$AS$15</f>
        <v/>
      </c>
      <c r="BE15" s="723" t="inlineStr">
        <is>
          <t xml:space="preserve"> </t>
        </is>
      </c>
      <c r="BF15" s="689" t="n"/>
      <c r="BG15" s="686" t="inlineStr">
        <is>
          <t xml:space="preserve"> </t>
        </is>
      </c>
      <c r="BH15" s="114" t="inlineStr">
        <is>
          <t xml:space="preserve"> </t>
        </is>
      </c>
      <c r="BI15" s="114">
        <f>$BG$15</f>
        <v/>
      </c>
      <c r="BJ15" s="114">
        <f>$BG$15</f>
        <v/>
      </c>
      <c r="BK15" s="114">
        <f>$BG$15</f>
        <v/>
      </c>
      <c r="BL15" s="114">
        <f>$BG$15</f>
        <v/>
      </c>
      <c r="BM15" s="114">
        <f>$BG$15</f>
        <v/>
      </c>
      <c r="BN15" s="114">
        <f>$BG$15</f>
        <v/>
      </c>
      <c r="BO15" s="114">
        <f>$BG$15</f>
        <v/>
      </c>
      <c r="BP15" s="114">
        <f>$BG$15</f>
        <v/>
      </c>
      <c r="BQ15" s="114">
        <f>$BG$15</f>
        <v/>
      </c>
      <c r="BR15" s="114">
        <f>$BG$15</f>
        <v/>
      </c>
      <c r="BS15" s="723" t="inlineStr">
        <is>
          <t xml:space="preserve"> </t>
        </is>
      </c>
      <c r="BT15" s="689" t="n"/>
      <c r="BU15" s="686" t="inlineStr">
        <is>
          <t xml:space="preserve"> </t>
        </is>
      </c>
      <c r="BV15" s="114" t="inlineStr">
        <is>
          <t xml:space="preserve"> </t>
        </is>
      </c>
      <c r="BW15" s="114">
        <f>$BG$15</f>
        <v/>
      </c>
      <c r="BX15" s="114">
        <f>$BG$15</f>
        <v/>
      </c>
      <c r="BY15" s="114">
        <f>$BG$15</f>
        <v/>
      </c>
      <c r="BZ15" s="114">
        <f>$BG$15</f>
        <v/>
      </c>
      <c r="CA15" s="114">
        <f>$BG$15</f>
        <v/>
      </c>
      <c r="CB15" s="114">
        <f>$BG$15</f>
        <v/>
      </c>
      <c r="CC15" s="114">
        <f>$BG$15</f>
        <v/>
      </c>
      <c r="CD15" s="114">
        <f>$BG$15</f>
        <v/>
      </c>
      <c r="CE15" s="114">
        <f>$BG$15</f>
        <v/>
      </c>
      <c r="CF15" s="114">
        <f>$BG$15</f>
        <v/>
      </c>
      <c r="CG15" s="723" t="inlineStr">
        <is>
          <t xml:space="preserve"> </t>
        </is>
      </c>
      <c r="CH15" s="689" t="n"/>
    </row>
    <row r="16" ht="24" customHeight="1">
      <c r="A16" s="1328" t="inlineStr">
        <is>
          <t>Head of Commercial</t>
        </is>
      </c>
      <c r="B16" s="46" t="inlineStr">
        <is>
          <t xml:space="preserve"> </t>
        </is>
      </c>
      <c r="C16" s="686" t="n">
        <v>5000</v>
      </c>
      <c r="D16" s="46">
        <f>$C$16</f>
        <v/>
      </c>
      <c r="E16" s="46">
        <f>$C$16</f>
        <v/>
      </c>
      <c r="F16" s="46">
        <f>$C$16</f>
        <v/>
      </c>
      <c r="G16" s="46">
        <f>$C$16</f>
        <v/>
      </c>
      <c r="H16" s="46">
        <f>$C$16</f>
        <v/>
      </c>
      <c r="I16" s="46">
        <f>$C$16</f>
        <v/>
      </c>
      <c r="J16" s="46">
        <f>$C$16</f>
        <v/>
      </c>
      <c r="K16" s="46">
        <f>$C$16</f>
        <v/>
      </c>
      <c r="L16" s="46">
        <f>$C$16</f>
        <v/>
      </c>
      <c r="M16" s="46">
        <f>$C$16</f>
        <v/>
      </c>
      <c r="N16" s="215">
        <f>$C$16</f>
        <v/>
      </c>
      <c r="O16" s="724">
        <f>SUM(C16:N16)</f>
        <v/>
      </c>
      <c r="P16" s="1326" t="n">
        <v>0.5</v>
      </c>
      <c r="Q16" s="686" t="n">
        <v>4000</v>
      </c>
      <c r="R16" s="114">
        <f>$Q$16</f>
        <v/>
      </c>
      <c r="S16" s="114">
        <f>$Q$16</f>
        <v/>
      </c>
      <c r="T16" s="114">
        <f>$Q$16</f>
        <v/>
      </c>
      <c r="U16" s="114">
        <f>$Q$16</f>
        <v/>
      </c>
      <c r="V16" s="114">
        <f>$Q$16</f>
        <v/>
      </c>
      <c r="W16" s="114">
        <f>$Q$16</f>
        <v/>
      </c>
      <c r="X16" s="114">
        <f>$Q$16</f>
        <v/>
      </c>
      <c r="Y16" s="114">
        <f>$Q$16</f>
        <v/>
      </c>
      <c r="Z16" s="114">
        <f>$Q$16</f>
        <v/>
      </c>
      <c r="AA16" s="114">
        <f>$Q$16</f>
        <v/>
      </c>
      <c r="AB16" s="114">
        <f>$Q$16</f>
        <v/>
      </c>
      <c r="AC16" s="724">
        <f>SUM(Q16:AB16)</f>
        <v/>
      </c>
      <c r="AD16" s="689" t="n">
        <v>1</v>
      </c>
      <c r="AE16" s="686" t="n">
        <v>4000</v>
      </c>
      <c r="AF16" s="114">
        <f>$AE$16</f>
        <v/>
      </c>
      <c r="AG16" s="114">
        <f>$AE$16</f>
        <v/>
      </c>
      <c r="AH16" s="114">
        <f>$AE$16</f>
        <v/>
      </c>
      <c r="AI16" s="114">
        <f>$AE$16</f>
        <v/>
      </c>
      <c r="AJ16" s="114">
        <f>$AE$16</f>
        <v/>
      </c>
      <c r="AK16" s="114">
        <f>$AE$16</f>
        <v/>
      </c>
      <c r="AL16" s="114">
        <f>$AE$16</f>
        <v/>
      </c>
      <c r="AM16" s="114">
        <f>$AE$16</f>
        <v/>
      </c>
      <c r="AN16" s="114">
        <f>$AE$16</f>
        <v/>
      </c>
      <c r="AO16" s="114">
        <f>$AE$16</f>
        <v/>
      </c>
      <c r="AP16" s="114">
        <f>$AE$16</f>
        <v/>
      </c>
      <c r="AQ16" s="724">
        <f>SUM(AE16:AP16)</f>
        <v/>
      </c>
      <c r="AR16" s="689" t="n">
        <v>1</v>
      </c>
      <c r="AS16" s="686" t="n">
        <v>4000</v>
      </c>
      <c r="AT16" s="114">
        <f>$AS$16</f>
        <v/>
      </c>
      <c r="AU16" s="114">
        <f>$AS$16</f>
        <v/>
      </c>
      <c r="AV16" s="114">
        <f>$AS$16</f>
        <v/>
      </c>
      <c r="AW16" s="114">
        <f>$AS$16</f>
        <v/>
      </c>
      <c r="AX16" s="114">
        <f>$AS$16</f>
        <v/>
      </c>
      <c r="AY16" s="114">
        <f>$AS$16</f>
        <v/>
      </c>
      <c r="AZ16" s="114">
        <f>$AS$16</f>
        <v/>
      </c>
      <c r="BA16" s="114">
        <f>$AS$16</f>
        <v/>
      </c>
      <c r="BB16" s="114">
        <f>$AS$16</f>
        <v/>
      </c>
      <c r="BC16" s="114">
        <f>$AS$16</f>
        <v/>
      </c>
      <c r="BD16" s="114">
        <f>$AS$16</f>
        <v/>
      </c>
      <c r="BE16" s="724">
        <f>SUM(AS16:BD16)</f>
        <v/>
      </c>
      <c r="BF16" s="689" t="n">
        <v>1</v>
      </c>
      <c r="BG16" s="686" t="n">
        <v>3000</v>
      </c>
      <c r="BH16" s="114">
        <f>$BG$16</f>
        <v/>
      </c>
      <c r="BI16" s="114">
        <f>$BG$16</f>
        <v/>
      </c>
      <c r="BJ16" s="114">
        <f>$BG$16</f>
        <v/>
      </c>
      <c r="BK16" s="114">
        <f>$BG$16</f>
        <v/>
      </c>
      <c r="BL16" s="114">
        <f>$BG$16</f>
        <v/>
      </c>
      <c r="BM16" s="114">
        <f>$BG$16</f>
        <v/>
      </c>
      <c r="BN16" s="114">
        <f>$BG$16</f>
        <v/>
      </c>
      <c r="BO16" s="114">
        <f>$BG$16</f>
        <v/>
      </c>
      <c r="BP16" s="114">
        <f>$BG$16</f>
        <v/>
      </c>
      <c r="BQ16" s="114">
        <f>$BG$16</f>
        <v/>
      </c>
      <c r="BR16" s="114">
        <f>$BG$16</f>
        <v/>
      </c>
      <c r="BS16" s="724">
        <f>SUM(BG16:BR16)</f>
        <v/>
      </c>
      <c r="BT16" s="689" t="n">
        <v>1</v>
      </c>
      <c r="BU16" s="686" t="n">
        <v>3000</v>
      </c>
      <c r="BV16" s="114">
        <f>$BG$16</f>
        <v/>
      </c>
      <c r="BW16" s="114">
        <f>$BG$16</f>
        <v/>
      </c>
      <c r="BX16" s="114">
        <f>$BG$16</f>
        <v/>
      </c>
      <c r="BY16" s="114">
        <f>$BG$16</f>
        <v/>
      </c>
      <c r="BZ16" s="114">
        <f>$BG$16</f>
        <v/>
      </c>
      <c r="CA16" s="114">
        <f>$BG$16</f>
        <v/>
      </c>
      <c r="CB16" s="114">
        <f>$BG$16</f>
        <v/>
      </c>
      <c r="CC16" s="114">
        <f>$BG$16</f>
        <v/>
      </c>
      <c r="CD16" s="114">
        <f>$BG$16</f>
        <v/>
      </c>
      <c r="CE16" s="114">
        <f>$BG$16</f>
        <v/>
      </c>
      <c r="CF16" s="114">
        <f>$BG$16</f>
        <v/>
      </c>
      <c r="CG16" s="724">
        <f>SUM(BU16:CF16)</f>
        <v/>
      </c>
      <c r="CH16" s="689" t="n">
        <v>1</v>
      </c>
    </row>
    <row r="17" ht="24" customHeight="1">
      <c r="A17" s="1328" t="inlineStr">
        <is>
          <t>Marketing Director</t>
        </is>
      </c>
      <c r="B17" s="46" t="inlineStr">
        <is>
          <t xml:space="preserve"> </t>
        </is>
      </c>
      <c r="C17" s="686" t="n">
        <v>0</v>
      </c>
      <c r="D17" s="46" t="n">
        <v>0</v>
      </c>
      <c r="E17" s="46" t="n">
        <v>0</v>
      </c>
      <c r="F17" s="46" t="n">
        <v>0</v>
      </c>
      <c r="G17" s="46" t="n">
        <v>0</v>
      </c>
      <c r="H17" s="46" t="n">
        <v>0</v>
      </c>
      <c r="I17" s="46" t="n">
        <v>0</v>
      </c>
      <c r="J17" s="46" t="n">
        <v>0</v>
      </c>
      <c r="K17" s="46" t="n">
        <v>0</v>
      </c>
      <c r="L17" s="46" t="n">
        <v>0</v>
      </c>
      <c r="M17" s="46" t="n">
        <v>0</v>
      </c>
      <c r="N17" s="215" t="n">
        <v>0</v>
      </c>
      <c r="O17" s="724">
        <f>SUM(C17:N17)</f>
        <v/>
      </c>
      <c r="P17" s="689" t="inlineStr">
        <is>
          <t xml:space="preserve"> </t>
        </is>
      </c>
      <c r="Q17" s="686" t="n">
        <v>2000</v>
      </c>
      <c r="R17" s="114">
        <f>$Q$17</f>
        <v/>
      </c>
      <c r="S17" s="114">
        <f>$Q$17</f>
        <v/>
      </c>
      <c r="T17" s="114">
        <f>$Q$17</f>
        <v/>
      </c>
      <c r="U17" s="114">
        <f>$Q$17</f>
        <v/>
      </c>
      <c r="V17" s="114">
        <f>$Q$17</f>
        <v/>
      </c>
      <c r="W17" s="114">
        <f>$Q$17</f>
        <v/>
      </c>
      <c r="X17" s="114">
        <f>$Q$17</f>
        <v/>
      </c>
      <c r="Y17" s="114">
        <f>$Q$17</f>
        <v/>
      </c>
      <c r="Z17" s="114">
        <f>$Q$17</f>
        <v/>
      </c>
      <c r="AA17" s="114">
        <f>$Q$17</f>
        <v/>
      </c>
      <c r="AB17" s="114">
        <f>$Q$17</f>
        <v/>
      </c>
      <c r="AC17" s="724">
        <f>SUM(Q17:AB17)</f>
        <v/>
      </c>
      <c r="AD17" s="1326" t="n">
        <v>0.5</v>
      </c>
      <c r="AE17" s="686" t="n">
        <v>2000</v>
      </c>
      <c r="AF17" s="114">
        <f>$AE$17</f>
        <v/>
      </c>
      <c r="AG17" s="114">
        <f>$AE$17</f>
        <v/>
      </c>
      <c r="AH17" s="114">
        <f>$AE$17</f>
        <v/>
      </c>
      <c r="AI17" s="114">
        <f>$AE$17</f>
        <v/>
      </c>
      <c r="AJ17" s="114">
        <f>$AE$17</f>
        <v/>
      </c>
      <c r="AK17" s="114">
        <f>$AE$17</f>
        <v/>
      </c>
      <c r="AL17" s="114">
        <f>$AE$17</f>
        <v/>
      </c>
      <c r="AM17" s="114">
        <f>$AE$17</f>
        <v/>
      </c>
      <c r="AN17" s="114">
        <f>$AE$17</f>
        <v/>
      </c>
      <c r="AO17" s="114">
        <f>$AE$17</f>
        <v/>
      </c>
      <c r="AP17" s="114">
        <f>$AE$17</f>
        <v/>
      </c>
      <c r="AQ17" s="724">
        <f>SUM(AE17:AP17)</f>
        <v/>
      </c>
      <c r="AR17" s="689" t="n">
        <v>1</v>
      </c>
      <c r="AS17" s="686" t="n">
        <v>2000</v>
      </c>
      <c r="AT17" s="114">
        <f>$AS$17</f>
        <v/>
      </c>
      <c r="AU17" s="114">
        <f>$AS$17</f>
        <v/>
      </c>
      <c r="AV17" s="114">
        <f>$AS$17</f>
        <v/>
      </c>
      <c r="AW17" s="114">
        <f>$AS$17</f>
        <v/>
      </c>
      <c r="AX17" s="114">
        <f>$AS$17</f>
        <v/>
      </c>
      <c r="AY17" s="114">
        <f>$AS$17</f>
        <v/>
      </c>
      <c r="AZ17" s="114">
        <f>$AS$17</f>
        <v/>
      </c>
      <c r="BA17" s="114">
        <f>$AS$17</f>
        <v/>
      </c>
      <c r="BB17" s="114">
        <f>$AS$17</f>
        <v/>
      </c>
      <c r="BC17" s="114">
        <f>$AS$17</f>
        <v/>
      </c>
      <c r="BD17" s="114">
        <f>$AS$17</f>
        <v/>
      </c>
      <c r="BE17" s="724">
        <f>SUM(AS17:BD17)</f>
        <v/>
      </c>
      <c r="BF17" s="689" t="n">
        <v>1</v>
      </c>
      <c r="BG17" s="686" t="n">
        <v>2000</v>
      </c>
      <c r="BH17" s="114">
        <f>$BG$17</f>
        <v/>
      </c>
      <c r="BI17" s="114">
        <f>$BG$17</f>
        <v/>
      </c>
      <c r="BJ17" s="114">
        <f>$BG$17</f>
        <v/>
      </c>
      <c r="BK17" s="114">
        <f>$BG$17</f>
        <v/>
      </c>
      <c r="BL17" s="114">
        <f>$BG$17</f>
        <v/>
      </c>
      <c r="BM17" s="114">
        <f>$BG$17</f>
        <v/>
      </c>
      <c r="BN17" s="114">
        <f>$BG$17</f>
        <v/>
      </c>
      <c r="BO17" s="114">
        <f>$BG$17</f>
        <v/>
      </c>
      <c r="BP17" s="114">
        <f>$BG$17</f>
        <v/>
      </c>
      <c r="BQ17" s="114">
        <f>$BG$17</f>
        <v/>
      </c>
      <c r="BR17" s="114">
        <f>$BG$17</f>
        <v/>
      </c>
      <c r="BS17" s="724">
        <f>SUM(BG17:BR17)</f>
        <v/>
      </c>
      <c r="BT17" s="689" t="n">
        <v>1</v>
      </c>
      <c r="BU17" s="686" t="n">
        <v>2000</v>
      </c>
      <c r="BV17" s="114">
        <f>$BG$17</f>
        <v/>
      </c>
      <c r="BW17" s="114">
        <f>$BG$17</f>
        <v/>
      </c>
      <c r="BX17" s="114">
        <f>$BG$17</f>
        <v/>
      </c>
      <c r="BY17" s="114">
        <f>$BG$17</f>
        <v/>
      </c>
      <c r="BZ17" s="114">
        <f>$BG$17</f>
        <v/>
      </c>
      <c r="CA17" s="114">
        <f>$BG$17</f>
        <v/>
      </c>
      <c r="CB17" s="114">
        <f>$BG$17</f>
        <v/>
      </c>
      <c r="CC17" s="114">
        <f>$BG$17</f>
        <v/>
      </c>
      <c r="CD17" s="114">
        <f>$BG$17</f>
        <v/>
      </c>
      <c r="CE17" s="114">
        <f>$BG$17</f>
        <v/>
      </c>
      <c r="CF17" s="114">
        <f>$BG$17</f>
        <v/>
      </c>
      <c r="CG17" s="724">
        <f>SUM(BU17:CF17)</f>
        <v/>
      </c>
      <c r="CH17" s="689" t="n">
        <v>1</v>
      </c>
    </row>
    <row r="18" ht="24" customHeight="1">
      <c r="A18" s="1328" t="inlineStr">
        <is>
          <t>Sales- Vertical Specialist- Hospitality</t>
        </is>
      </c>
      <c r="B18" s="46" t="inlineStr">
        <is>
          <t xml:space="preserve"> </t>
        </is>
      </c>
      <c r="C18" s="686" t="n">
        <v>0</v>
      </c>
      <c r="D18" s="46" t="n">
        <v>0</v>
      </c>
      <c r="E18" s="46" t="n">
        <v>0</v>
      </c>
      <c r="F18" s="46" t="n">
        <v>0</v>
      </c>
      <c r="G18" s="46" t="n">
        <v>0</v>
      </c>
      <c r="H18" s="46" t="n">
        <v>0</v>
      </c>
      <c r="I18" s="46" t="n">
        <v>0</v>
      </c>
      <c r="J18" s="46" t="n">
        <v>0</v>
      </c>
      <c r="K18" s="46" t="n">
        <v>0</v>
      </c>
      <c r="L18" s="46" t="n">
        <v>0</v>
      </c>
      <c r="M18" s="46" t="n">
        <v>0</v>
      </c>
      <c r="N18" s="215" t="n">
        <v>0</v>
      </c>
      <c r="O18" s="724">
        <f>SUM(C18:N18)</f>
        <v/>
      </c>
      <c r="P18" s="689" t="inlineStr">
        <is>
          <t xml:space="preserve"> </t>
        </is>
      </c>
      <c r="Q18" s="686" t="n">
        <v>4000</v>
      </c>
      <c r="R18" s="114">
        <f>$Q$18</f>
        <v/>
      </c>
      <c r="S18" s="114">
        <f>$Q$18</f>
        <v/>
      </c>
      <c r="T18" s="114">
        <f>$Q$18</f>
        <v/>
      </c>
      <c r="U18" s="114">
        <f>$Q$18</f>
        <v/>
      </c>
      <c r="V18" s="114">
        <f>$Q$18</f>
        <v/>
      </c>
      <c r="W18" s="114">
        <f>$Q$18</f>
        <v/>
      </c>
      <c r="X18" s="114">
        <f>$Q$18</f>
        <v/>
      </c>
      <c r="Y18" s="114">
        <f>$Q$18</f>
        <v/>
      </c>
      <c r="Z18" s="114">
        <f>$Q$18</f>
        <v/>
      </c>
      <c r="AA18" s="114">
        <f>$Q$18</f>
        <v/>
      </c>
      <c r="AB18" s="114">
        <f>$Q$18</f>
        <v/>
      </c>
      <c r="AC18" s="724">
        <f>SUM(Q18:AB18)</f>
        <v/>
      </c>
      <c r="AD18" s="689" t="n">
        <v>0.5</v>
      </c>
      <c r="AE18" s="686" t="n">
        <v>4000</v>
      </c>
      <c r="AF18" s="114">
        <f>$AE$18</f>
        <v/>
      </c>
      <c r="AG18" s="114">
        <f>$AE$18</f>
        <v/>
      </c>
      <c r="AH18" s="114">
        <f>$AE$18</f>
        <v/>
      </c>
      <c r="AI18" s="114">
        <f>$AE$18</f>
        <v/>
      </c>
      <c r="AJ18" s="114">
        <f>$AE$18</f>
        <v/>
      </c>
      <c r="AK18" s="114">
        <f>$AE$18</f>
        <v/>
      </c>
      <c r="AL18" s="114">
        <f>$AE$18</f>
        <v/>
      </c>
      <c r="AM18" s="114">
        <f>$AE$18</f>
        <v/>
      </c>
      <c r="AN18" s="114">
        <f>$AE$18</f>
        <v/>
      </c>
      <c r="AO18" s="114">
        <f>$AE$18</f>
        <v/>
      </c>
      <c r="AP18" s="114">
        <f>$AE$18</f>
        <v/>
      </c>
      <c r="AQ18" s="724">
        <f>SUM(AE18:AP18)</f>
        <v/>
      </c>
      <c r="AR18" s="689" t="n">
        <v>0.5</v>
      </c>
      <c r="AS18" s="686" t="n">
        <v>4000</v>
      </c>
      <c r="AT18" s="114">
        <f>$AS$18</f>
        <v/>
      </c>
      <c r="AU18" s="114">
        <f>$AS$18</f>
        <v/>
      </c>
      <c r="AV18" s="114">
        <f>$AS$18</f>
        <v/>
      </c>
      <c r="AW18" s="114">
        <f>$AS$18</f>
        <v/>
      </c>
      <c r="AX18" s="114">
        <f>$AS$18</f>
        <v/>
      </c>
      <c r="AY18" s="114">
        <f>$AS$18</f>
        <v/>
      </c>
      <c r="AZ18" s="114">
        <f>$AS$18</f>
        <v/>
      </c>
      <c r="BA18" s="114">
        <f>$AS$18</f>
        <v/>
      </c>
      <c r="BB18" s="114">
        <f>$AS$18</f>
        <v/>
      </c>
      <c r="BC18" s="114">
        <f>$AS$18</f>
        <v/>
      </c>
      <c r="BD18" s="114">
        <f>$AS$18</f>
        <v/>
      </c>
      <c r="BE18" s="724">
        <f>SUM(AS18:BD18)</f>
        <v/>
      </c>
      <c r="BF18" s="689" t="n">
        <v>1</v>
      </c>
      <c r="BG18" s="686" t="n">
        <v>4000</v>
      </c>
      <c r="BH18" s="114">
        <f>$BG$18</f>
        <v/>
      </c>
      <c r="BI18" s="114">
        <f>$BG$18</f>
        <v/>
      </c>
      <c r="BJ18" s="114">
        <f>$BG$18</f>
        <v/>
      </c>
      <c r="BK18" s="114">
        <f>$BG$18</f>
        <v/>
      </c>
      <c r="BL18" s="114">
        <f>$BG$18</f>
        <v/>
      </c>
      <c r="BM18" s="114">
        <f>$BG$18</f>
        <v/>
      </c>
      <c r="BN18" s="114">
        <f>$BG$18</f>
        <v/>
      </c>
      <c r="BO18" s="114">
        <f>$BG$18</f>
        <v/>
      </c>
      <c r="BP18" s="114">
        <f>$BG$18</f>
        <v/>
      </c>
      <c r="BQ18" s="114">
        <f>$BG$18</f>
        <v/>
      </c>
      <c r="BR18" s="114">
        <f>$BG$18</f>
        <v/>
      </c>
      <c r="BS18" s="724">
        <f>SUM(BG18:BR18)</f>
        <v/>
      </c>
      <c r="BT18" s="689" t="n">
        <v>1</v>
      </c>
      <c r="BU18" s="686" t="n">
        <v>4000</v>
      </c>
      <c r="BV18" s="114">
        <f>$BG$18</f>
        <v/>
      </c>
      <c r="BW18" s="114">
        <f>$BG$18</f>
        <v/>
      </c>
      <c r="BX18" s="114">
        <f>$BG$18</f>
        <v/>
      </c>
      <c r="BY18" s="114">
        <f>$BG$18</f>
        <v/>
      </c>
      <c r="BZ18" s="114">
        <f>$BG$18</f>
        <v/>
      </c>
      <c r="CA18" s="114">
        <f>$BG$18</f>
        <v/>
      </c>
      <c r="CB18" s="114">
        <f>$BG$18</f>
        <v/>
      </c>
      <c r="CC18" s="114">
        <f>$BG$18</f>
        <v/>
      </c>
      <c r="CD18" s="114">
        <f>$BG$18</f>
        <v/>
      </c>
      <c r="CE18" s="114">
        <f>$BG$18</f>
        <v/>
      </c>
      <c r="CF18" s="114">
        <f>$BG$18</f>
        <v/>
      </c>
      <c r="CG18" s="724">
        <f>SUM(BU18:CF18)</f>
        <v/>
      </c>
      <c r="CH18" s="689" t="n">
        <v>1</v>
      </c>
    </row>
    <row r="19" ht="24" customHeight="1">
      <c r="A19" s="1328" t="inlineStr">
        <is>
          <t>Sales- Vertical Specialist- Real Estate</t>
        </is>
      </c>
      <c r="B19" s="46" t="n"/>
      <c r="C19" s="686" t="n">
        <v>0</v>
      </c>
      <c r="D19" s="46" t="n">
        <v>0</v>
      </c>
      <c r="E19" s="46" t="n">
        <v>0</v>
      </c>
      <c r="F19" s="46" t="n">
        <v>0</v>
      </c>
      <c r="G19" s="46" t="n">
        <v>0</v>
      </c>
      <c r="H19" s="46" t="n">
        <v>0</v>
      </c>
      <c r="I19" s="46" t="n">
        <v>0</v>
      </c>
      <c r="J19" s="46" t="n">
        <v>0</v>
      </c>
      <c r="K19" s="46" t="n">
        <v>0</v>
      </c>
      <c r="L19" s="46" t="n">
        <v>0</v>
      </c>
      <c r="M19" s="46" t="n">
        <v>0</v>
      </c>
      <c r="N19" s="215" t="n">
        <v>0</v>
      </c>
      <c r="O19" s="724">
        <f>SUM(C19:N19)</f>
        <v/>
      </c>
      <c r="P19" s="689" t="inlineStr">
        <is>
          <t xml:space="preserve"> </t>
        </is>
      </c>
      <c r="Q19" s="686" t="n">
        <v>0</v>
      </c>
      <c r="R19" s="114">
        <f>$Q$20</f>
        <v/>
      </c>
      <c r="S19" s="114">
        <f>$Q$20</f>
        <v/>
      </c>
      <c r="T19" s="114">
        <f>$Q$20</f>
        <v/>
      </c>
      <c r="U19" s="114">
        <f>$Q$20</f>
        <v/>
      </c>
      <c r="V19" s="114">
        <f>$Q$20</f>
        <v/>
      </c>
      <c r="W19" s="114">
        <f>$Q$20</f>
        <v/>
      </c>
      <c r="X19" s="114">
        <f>$Q$20</f>
        <v/>
      </c>
      <c r="Y19" s="114">
        <f>$Q$20</f>
        <v/>
      </c>
      <c r="Z19" s="114">
        <f>$Q$20</f>
        <v/>
      </c>
      <c r="AA19" s="114">
        <f>$Q$20</f>
        <v/>
      </c>
      <c r="AB19" s="114">
        <f>$Q$20</f>
        <v/>
      </c>
      <c r="AC19" s="724">
        <f>SUM(Q19:AB19)</f>
        <v/>
      </c>
      <c r="AD19" s="689" t="n"/>
      <c r="AE19" s="686" t="n">
        <v>4000</v>
      </c>
      <c r="AF19" s="46" t="n">
        <v>4000</v>
      </c>
      <c r="AG19" s="46" t="n">
        <v>4000</v>
      </c>
      <c r="AH19" s="46" t="n">
        <v>4000</v>
      </c>
      <c r="AI19" s="46" t="n">
        <v>4000</v>
      </c>
      <c r="AJ19" s="46" t="n">
        <v>4000</v>
      </c>
      <c r="AK19" s="46" t="n">
        <v>4000</v>
      </c>
      <c r="AL19" s="46" t="n">
        <v>4000</v>
      </c>
      <c r="AM19" s="46" t="n">
        <v>4000</v>
      </c>
      <c r="AN19" s="46" t="n">
        <v>4000</v>
      </c>
      <c r="AO19" s="46" t="n">
        <v>4000</v>
      </c>
      <c r="AP19" s="46" t="n">
        <v>4000</v>
      </c>
      <c r="AQ19" s="724">
        <f>SUM(AE19:AP19)</f>
        <v/>
      </c>
      <c r="AR19" s="689" t="n">
        <v>1</v>
      </c>
      <c r="AS19" s="686" t="n">
        <v>4000</v>
      </c>
      <c r="AT19" s="114">
        <f>AS19</f>
        <v/>
      </c>
      <c r="AU19" s="114">
        <f>AT19</f>
        <v/>
      </c>
      <c r="AV19" s="114">
        <f>AU19</f>
        <v/>
      </c>
      <c r="AW19" s="114">
        <f>AV19</f>
        <v/>
      </c>
      <c r="AX19" s="114">
        <f>AW19</f>
        <v/>
      </c>
      <c r="AY19" s="114">
        <f>AX19</f>
        <v/>
      </c>
      <c r="AZ19" s="114">
        <f>AY19</f>
        <v/>
      </c>
      <c r="BA19" s="114">
        <f>AZ19</f>
        <v/>
      </c>
      <c r="BB19" s="114">
        <f>BA19</f>
        <v/>
      </c>
      <c r="BC19" s="114">
        <f>BB19</f>
        <v/>
      </c>
      <c r="BD19" s="114">
        <f>BC19</f>
        <v/>
      </c>
      <c r="BE19" s="724">
        <f>SUM(AS19:BD19)</f>
        <v/>
      </c>
      <c r="BF19" s="689" t="n">
        <v>1</v>
      </c>
      <c r="BG19" s="686" t="n">
        <v>4000</v>
      </c>
      <c r="BH19" s="114">
        <f>$BG$20</f>
        <v/>
      </c>
      <c r="BI19" s="114">
        <f>$BG$20</f>
        <v/>
      </c>
      <c r="BJ19" s="114">
        <f>$BG$20</f>
        <v/>
      </c>
      <c r="BK19" s="114">
        <f>$BG$20</f>
        <v/>
      </c>
      <c r="BL19" s="114">
        <f>$BG$20</f>
        <v/>
      </c>
      <c r="BM19" s="114">
        <f>$BG$20</f>
        <v/>
      </c>
      <c r="BN19" s="114">
        <f>$BG$20</f>
        <v/>
      </c>
      <c r="BO19" s="114">
        <f>$BG$20</f>
        <v/>
      </c>
      <c r="BP19" s="114">
        <f>$BG$20</f>
        <v/>
      </c>
      <c r="BQ19" s="114">
        <f>$BG$20</f>
        <v/>
      </c>
      <c r="BR19" s="114">
        <f>$BG$20</f>
        <v/>
      </c>
      <c r="BS19" s="724">
        <f>SUM(BG19:BR19)</f>
        <v/>
      </c>
      <c r="BT19" s="689" t="n">
        <v>1</v>
      </c>
      <c r="BU19" s="686" t="n">
        <v>4000</v>
      </c>
      <c r="BV19" s="114">
        <f>$BG$20</f>
        <v/>
      </c>
      <c r="BW19" s="114">
        <f>$BG$20</f>
        <v/>
      </c>
      <c r="BX19" s="114">
        <f>$BG$20</f>
        <v/>
      </c>
      <c r="BY19" s="114">
        <f>$BG$20</f>
        <v/>
      </c>
      <c r="BZ19" s="114">
        <f>$BG$20</f>
        <v/>
      </c>
      <c r="CA19" s="114">
        <f>$BG$20</f>
        <v/>
      </c>
      <c r="CB19" s="114">
        <f>$BG$20</f>
        <v/>
      </c>
      <c r="CC19" s="114">
        <f>$BG$20</f>
        <v/>
      </c>
      <c r="CD19" s="114">
        <f>$BG$20</f>
        <v/>
      </c>
      <c r="CE19" s="114">
        <f>$BG$20</f>
        <v/>
      </c>
      <c r="CF19" s="114">
        <f>$BG$20</f>
        <v/>
      </c>
      <c r="CG19" s="724">
        <f>SUM(BU19:CF19)</f>
        <v/>
      </c>
      <c r="CH19" s="689" t="n">
        <v>1</v>
      </c>
    </row>
    <row r="20" ht="24" customHeight="1">
      <c r="A20" s="1328" t="inlineStr">
        <is>
          <t>Sales- Vertical Specialist- Small Firms</t>
        </is>
      </c>
      <c r="B20" s="46" t="inlineStr">
        <is>
          <t xml:space="preserve"> </t>
        </is>
      </c>
      <c r="C20" s="686" t="n">
        <v>0</v>
      </c>
      <c r="D20" s="46" t="n">
        <v>0</v>
      </c>
      <c r="E20" s="46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46" t="n">
        <v>0</v>
      </c>
      <c r="K20" s="46" t="n">
        <v>0</v>
      </c>
      <c r="L20" s="46" t="n">
        <v>0</v>
      </c>
      <c r="M20" s="46" t="n">
        <v>0</v>
      </c>
      <c r="N20" s="215" t="n">
        <v>0</v>
      </c>
      <c r="O20" s="724" t="n">
        <v>0</v>
      </c>
      <c r="P20" s="689" t="n"/>
      <c r="Q20" s="686" t="n">
        <v>0</v>
      </c>
      <c r="R20" s="114">
        <f>$Q$20</f>
        <v/>
      </c>
      <c r="S20" s="114">
        <f>$Q$20</f>
        <v/>
      </c>
      <c r="T20" s="114">
        <f>$Q$20</f>
        <v/>
      </c>
      <c r="U20" s="114">
        <f>$Q$20</f>
        <v/>
      </c>
      <c r="V20" s="114">
        <f>$Q$20</f>
        <v/>
      </c>
      <c r="W20" s="114">
        <f>$Q$20</f>
        <v/>
      </c>
      <c r="X20" s="114">
        <f>$Q$20</f>
        <v/>
      </c>
      <c r="Y20" s="114">
        <f>$Q$20</f>
        <v/>
      </c>
      <c r="Z20" s="114">
        <f>$Q$20</f>
        <v/>
      </c>
      <c r="AA20" s="114">
        <f>$Q$20</f>
        <v/>
      </c>
      <c r="AB20" s="114">
        <f>$Q$20</f>
        <v/>
      </c>
      <c r="AC20" s="724">
        <f>SUM(Q20:AB20)</f>
        <v/>
      </c>
      <c r="AD20" s="689" t="n"/>
      <c r="AE20" s="686" t="n">
        <v>0</v>
      </c>
      <c r="AF20" s="114">
        <f>$AE$20</f>
        <v/>
      </c>
      <c r="AG20" s="114">
        <f>$AE$20</f>
        <v/>
      </c>
      <c r="AH20" s="114">
        <f>$AE$20</f>
        <v/>
      </c>
      <c r="AI20" s="114">
        <f>$AE$20</f>
        <v/>
      </c>
      <c r="AJ20" s="114">
        <f>$AE$20</f>
        <v/>
      </c>
      <c r="AK20" s="114">
        <f>$AE$20</f>
        <v/>
      </c>
      <c r="AL20" s="114">
        <f>$AE$20</f>
        <v/>
      </c>
      <c r="AM20" s="114">
        <f>$AE$20</f>
        <v/>
      </c>
      <c r="AN20" s="114">
        <f>$AE$20</f>
        <v/>
      </c>
      <c r="AO20" s="114">
        <f>$AE$20</f>
        <v/>
      </c>
      <c r="AP20" s="114">
        <f>$AE$20</f>
        <v/>
      </c>
      <c r="AQ20" s="724">
        <f>SUM(AE20:AP20)</f>
        <v/>
      </c>
      <c r="AR20" s="689" t="n"/>
      <c r="AS20" s="686" t="n">
        <v>0</v>
      </c>
      <c r="AT20" s="114">
        <f>AS20</f>
        <v/>
      </c>
      <c r="AU20" s="114">
        <f>AT20</f>
        <v/>
      </c>
      <c r="AV20" s="114">
        <f>AU20</f>
        <v/>
      </c>
      <c r="AW20" s="114">
        <f>AV20</f>
        <v/>
      </c>
      <c r="AX20" s="114">
        <f>AW20</f>
        <v/>
      </c>
      <c r="AY20" s="114">
        <f>AX20</f>
        <v/>
      </c>
      <c r="AZ20" s="114">
        <f>AY20</f>
        <v/>
      </c>
      <c r="BA20" s="114">
        <f>AZ20</f>
        <v/>
      </c>
      <c r="BB20" s="114">
        <f>BA20</f>
        <v/>
      </c>
      <c r="BC20" s="114">
        <f>BB20</f>
        <v/>
      </c>
      <c r="BD20" s="114">
        <f>BC20</f>
        <v/>
      </c>
      <c r="BE20" s="724">
        <f>SUM(AS20:BD20)</f>
        <v/>
      </c>
      <c r="BF20" s="689" t="n">
        <v>0</v>
      </c>
      <c r="BG20" s="686" t="n">
        <v>4000</v>
      </c>
      <c r="BH20" s="114">
        <f>BG20</f>
        <v/>
      </c>
      <c r="BI20" s="114">
        <f>BH20</f>
        <v/>
      </c>
      <c r="BJ20" s="114">
        <f>BI20</f>
        <v/>
      </c>
      <c r="BK20" s="114">
        <f>BJ20</f>
        <v/>
      </c>
      <c r="BL20" s="114">
        <f>BK20</f>
        <v/>
      </c>
      <c r="BM20" s="114">
        <f>BL20</f>
        <v/>
      </c>
      <c r="BN20" s="114">
        <f>BM20</f>
        <v/>
      </c>
      <c r="BO20" s="114">
        <f>BN20</f>
        <v/>
      </c>
      <c r="BP20" s="114">
        <f>BO20</f>
        <v/>
      </c>
      <c r="BQ20" s="114">
        <f>BP20</f>
        <v/>
      </c>
      <c r="BR20" s="114">
        <f>BQ20</f>
        <v/>
      </c>
      <c r="BS20" s="724">
        <f>SUM(BG20:BR20)</f>
        <v/>
      </c>
      <c r="BT20" s="689" t="n">
        <v>1</v>
      </c>
      <c r="BU20" s="686" t="n">
        <v>4000</v>
      </c>
      <c r="BV20" s="114">
        <f>$BU$20</f>
        <v/>
      </c>
      <c r="BW20" s="114">
        <f>$BU$20</f>
        <v/>
      </c>
      <c r="BX20" s="114">
        <f>$BU$20</f>
        <v/>
      </c>
      <c r="BY20" s="114">
        <f>$BU$20</f>
        <v/>
      </c>
      <c r="BZ20" s="114">
        <f>$BU$20</f>
        <v/>
      </c>
      <c r="CA20" s="114">
        <f>$BU$20</f>
        <v/>
      </c>
      <c r="CB20" s="114">
        <f>$BU$20</f>
        <v/>
      </c>
      <c r="CC20" s="114">
        <f>$BU$20</f>
        <v/>
      </c>
      <c r="CD20" s="114">
        <f>$BU$20</f>
        <v/>
      </c>
      <c r="CE20" s="114">
        <f>$BU$20</f>
        <v/>
      </c>
      <c r="CF20" s="114">
        <f>$BU$20</f>
        <v/>
      </c>
      <c r="CG20" s="724">
        <f>SUM(BU20:CF20)</f>
        <v/>
      </c>
      <c r="CH20" s="689" t="n">
        <v>1</v>
      </c>
    </row>
    <row r="21" ht="24" customHeight="1">
      <c r="A21" s="1328" t="inlineStr">
        <is>
          <t>Sales- Vertical Specialist- Pharma</t>
        </is>
      </c>
      <c r="B21" s="46" t="n"/>
      <c r="C21" s="887" t="n">
        <v>0</v>
      </c>
      <c r="D21" s="883" t="n">
        <v>0</v>
      </c>
      <c r="E21" s="883" t="n">
        <v>0</v>
      </c>
      <c r="F21" s="883" t="n">
        <v>0</v>
      </c>
      <c r="G21" s="883" t="n">
        <v>0</v>
      </c>
      <c r="H21" s="883" t="n">
        <v>0</v>
      </c>
      <c r="I21" s="883" t="n">
        <v>0</v>
      </c>
      <c r="J21" s="883" t="n">
        <v>0</v>
      </c>
      <c r="K21" s="883" t="n">
        <v>0</v>
      </c>
      <c r="L21" s="883" t="n">
        <v>0</v>
      </c>
      <c r="M21" s="883" t="n">
        <v>0</v>
      </c>
      <c r="N21" s="884" t="n">
        <v>0</v>
      </c>
      <c r="O21" s="724">
        <f>SUM(C21:N21)</f>
        <v/>
      </c>
      <c r="P21" s="689" t="n"/>
      <c r="Q21" s="686" t="n">
        <v>0</v>
      </c>
      <c r="R21" s="114">
        <f>$Q$22</f>
        <v/>
      </c>
      <c r="S21" s="114">
        <f>$Q$22</f>
        <v/>
      </c>
      <c r="T21" s="114">
        <f>$Q$22</f>
        <v/>
      </c>
      <c r="U21" s="114">
        <f>$Q$22</f>
        <v/>
      </c>
      <c r="V21" s="114">
        <f>$Q$22</f>
        <v/>
      </c>
      <c r="W21" s="114">
        <f>$Q$22</f>
        <v/>
      </c>
      <c r="X21" s="114">
        <f>$Q$22</f>
        <v/>
      </c>
      <c r="Y21" s="114">
        <f>$Q$22</f>
        <v/>
      </c>
      <c r="Z21" s="114">
        <f>$Q$22</f>
        <v/>
      </c>
      <c r="AA21" s="114">
        <f>$Q$22</f>
        <v/>
      </c>
      <c r="AB21" s="114">
        <f>$Q$22</f>
        <v/>
      </c>
      <c r="AC21" s="724">
        <f>SUM(Q21:AB21)</f>
        <v/>
      </c>
      <c r="AD21" s="689" t="n"/>
      <c r="AE21" s="686" t="n">
        <v>0</v>
      </c>
      <c r="AF21" s="114">
        <f>$AE$21</f>
        <v/>
      </c>
      <c r="AG21" s="114">
        <f>$AE$21</f>
        <v/>
      </c>
      <c r="AH21" s="114">
        <f>$AE$21</f>
        <v/>
      </c>
      <c r="AI21" s="114">
        <f>$AE$21</f>
        <v/>
      </c>
      <c r="AJ21" s="114">
        <f>$AE$21</f>
        <v/>
      </c>
      <c r="AK21" s="114">
        <f>$AE$21</f>
        <v/>
      </c>
      <c r="AL21" s="114">
        <f>$AE$21</f>
        <v/>
      </c>
      <c r="AM21" s="114">
        <f>$AE$21</f>
        <v/>
      </c>
      <c r="AN21" s="114">
        <f>$AE$21</f>
        <v/>
      </c>
      <c r="AO21" s="114">
        <f>$AE$21</f>
        <v/>
      </c>
      <c r="AP21" s="114">
        <f>$AE$21</f>
        <v/>
      </c>
      <c r="AQ21" s="724">
        <f>SUM(AE21:AP21)</f>
        <v/>
      </c>
      <c r="AR21" s="689" t="n"/>
      <c r="AS21" s="686" t="n">
        <v>4000</v>
      </c>
      <c r="AT21" s="114">
        <f>$AS$21</f>
        <v/>
      </c>
      <c r="AU21" s="114">
        <f>AT21</f>
        <v/>
      </c>
      <c r="AV21" s="114">
        <f>AU21</f>
        <v/>
      </c>
      <c r="AW21" s="114">
        <f>AV21</f>
        <v/>
      </c>
      <c r="AX21" s="114">
        <f>AW21</f>
        <v/>
      </c>
      <c r="AY21" s="114">
        <f>AX21</f>
        <v/>
      </c>
      <c r="AZ21" s="114">
        <f>AY21</f>
        <v/>
      </c>
      <c r="BA21" s="114">
        <f>AZ21</f>
        <v/>
      </c>
      <c r="BB21" s="114">
        <f>BA21</f>
        <v/>
      </c>
      <c r="BC21" s="114">
        <f>BB21</f>
        <v/>
      </c>
      <c r="BD21" s="114">
        <f>BC21</f>
        <v/>
      </c>
      <c r="BE21" s="724">
        <f>SUM(AS21:BD21)</f>
        <v/>
      </c>
      <c r="BF21" s="689" t="n">
        <v>1</v>
      </c>
      <c r="BG21" s="686" t="n">
        <v>4000</v>
      </c>
      <c r="BH21" s="114">
        <f>$BG$21</f>
        <v/>
      </c>
      <c r="BI21" s="114">
        <f>BH21</f>
        <v/>
      </c>
      <c r="BJ21" s="114">
        <f>BI21</f>
        <v/>
      </c>
      <c r="BK21" s="114">
        <f>BJ21</f>
        <v/>
      </c>
      <c r="BL21" s="114">
        <f>BK21</f>
        <v/>
      </c>
      <c r="BM21" s="114">
        <f>BL21</f>
        <v/>
      </c>
      <c r="BN21" s="114">
        <f>BM21</f>
        <v/>
      </c>
      <c r="BO21" s="114">
        <f>BN21</f>
        <v/>
      </c>
      <c r="BP21" s="114">
        <f>BO21</f>
        <v/>
      </c>
      <c r="BQ21" s="114">
        <f>BP21</f>
        <v/>
      </c>
      <c r="BR21" s="114">
        <f>BQ21</f>
        <v/>
      </c>
      <c r="BS21" s="724">
        <f>SUM(BG21:BR21)</f>
        <v/>
      </c>
      <c r="BT21" s="689" t="n">
        <v>1</v>
      </c>
      <c r="BU21" s="686" t="n">
        <v>4000</v>
      </c>
      <c r="BV21" s="114">
        <f>$BU$21</f>
        <v/>
      </c>
      <c r="BW21" s="114">
        <f>$BU$21</f>
        <v/>
      </c>
      <c r="BX21" s="114">
        <f>$BU$21</f>
        <v/>
      </c>
      <c r="BY21" s="114">
        <f>$BU$21</f>
        <v/>
      </c>
      <c r="BZ21" s="114">
        <f>$BU$21</f>
        <v/>
      </c>
      <c r="CA21" s="114">
        <f>$BU$21</f>
        <v/>
      </c>
      <c r="CB21" s="114">
        <f>$BU$21</f>
        <v/>
      </c>
      <c r="CC21" s="114">
        <f>$BU$21</f>
        <v/>
      </c>
      <c r="CD21" s="114">
        <f>$BU$21</f>
        <v/>
      </c>
      <c r="CE21" s="114">
        <f>$BU$21</f>
        <v/>
      </c>
      <c r="CF21" s="114">
        <f>$BU$21</f>
        <v/>
      </c>
      <c r="CG21" s="724">
        <f>SUM(BU21:CF21)</f>
        <v/>
      </c>
      <c r="CH21" s="689" t="n">
        <v>1</v>
      </c>
    </row>
    <row r="22" ht="24" customHeight="1">
      <c r="A22" s="1328" t="inlineStr">
        <is>
          <t>Trainer</t>
        </is>
      </c>
      <c r="B22" s="46" t="n"/>
      <c r="C22" s="686" t="n">
        <v>0</v>
      </c>
      <c r="D22" s="46" t="n">
        <v>0</v>
      </c>
      <c r="E22" s="46" t="n">
        <v>0</v>
      </c>
      <c r="F22" s="46" t="n">
        <v>0</v>
      </c>
      <c r="G22" s="46" t="n">
        <v>0</v>
      </c>
      <c r="H22" s="46" t="n">
        <v>0</v>
      </c>
      <c r="I22" s="46" t="n">
        <v>0</v>
      </c>
      <c r="J22" s="46" t="n">
        <v>0</v>
      </c>
      <c r="K22" s="46" t="n">
        <v>0</v>
      </c>
      <c r="L22" s="46" t="n">
        <v>0</v>
      </c>
      <c r="M22" s="46" t="n">
        <v>0</v>
      </c>
      <c r="N22" s="46" t="n">
        <v>0</v>
      </c>
      <c r="O22" s="724">
        <f>SUM(C22:N22)</f>
        <v/>
      </c>
      <c r="P22" s="689" t="n"/>
      <c r="Q22" s="686" t="n">
        <v>0</v>
      </c>
      <c r="R22" s="114">
        <f>$Q$22</f>
        <v/>
      </c>
      <c r="S22" s="114">
        <f>$Q$22</f>
        <v/>
      </c>
      <c r="T22" s="114">
        <f>$Q$22</f>
        <v/>
      </c>
      <c r="U22" s="114">
        <f>$Q$22</f>
        <v/>
      </c>
      <c r="V22" s="114">
        <f>$Q$22</f>
        <v/>
      </c>
      <c r="W22" s="114">
        <f>$Q$22</f>
        <v/>
      </c>
      <c r="X22" s="114">
        <f>$Q$22</f>
        <v/>
      </c>
      <c r="Y22" s="114">
        <f>$Q$22</f>
        <v/>
      </c>
      <c r="Z22" s="114">
        <f>$Q$22</f>
        <v/>
      </c>
      <c r="AA22" s="114">
        <f>$Q$22</f>
        <v/>
      </c>
      <c r="AB22" s="114">
        <f>$Q$22</f>
        <v/>
      </c>
      <c r="AC22" s="724">
        <f>SUM(Q22:AB22)</f>
        <v/>
      </c>
      <c r="AD22" s="689" t="n"/>
      <c r="AE22" s="686" t="n">
        <v>4000</v>
      </c>
      <c r="AF22" s="114">
        <f>$AE$22</f>
        <v/>
      </c>
      <c r="AG22" s="114">
        <f>$AE$22</f>
        <v/>
      </c>
      <c r="AH22" s="114">
        <f>$AE$22</f>
        <v/>
      </c>
      <c r="AI22" s="114">
        <f>$AE$22</f>
        <v/>
      </c>
      <c r="AJ22" s="114">
        <f>$AE$22</f>
        <v/>
      </c>
      <c r="AK22" s="114">
        <f>$AE$22</f>
        <v/>
      </c>
      <c r="AL22" s="114">
        <f>$AE$22</f>
        <v/>
      </c>
      <c r="AM22" s="114">
        <f>$AE$22</f>
        <v/>
      </c>
      <c r="AN22" s="114">
        <f>$AE$22</f>
        <v/>
      </c>
      <c r="AO22" s="114">
        <f>$AE$22</f>
        <v/>
      </c>
      <c r="AP22" s="114">
        <f>$AE$22</f>
        <v/>
      </c>
      <c r="AQ22" s="724">
        <f>SUM(AE22:AP22)</f>
        <v/>
      </c>
      <c r="AR22" s="689" t="n"/>
      <c r="AS22" s="686" t="n">
        <v>4000</v>
      </c>
      <c r="AT22" s="114">
        <f>$AS$22</f>
        <v/>
      </c>
      <c r="AU22" s="114">
        <f>$AS$22</f>
        <v/>
      </c>
      <c r="AV22" s="114">
        <f>$AS$22</f>
        <v/>
      </c>
      <c r="AW22" s="114">
        <f>$AS$22</f>
        <v/>
      </c>
      <c r="AX22" s="114">
        <f>$AS$22</f>
        <v/>
      </c>
      <c r="AY22" s="114">
        <f>$AS$22</f>
        <v/>
      </c>
      <c r="AZ22" s="114">
        <f>$AS$22</f>
        <v/>
      </c>
      <c r="BA22" s="114">
        <f>$AS$22</f>
        <v/>
      </c>
      <c r="BB22" s="114">
        <f>$AS$22</f>
        <v/>
      </c>
      <c r="BC22" s="114">
        <f>$AS$22</f>
        <v/>
      </c>
      <c r="BD22" s="114">
        <f>$AS$22</f>
        <v/>
      </c>
      <c r="BE22" s="724">
        <f>SUM(AS22:BD22)</f>
        <v/>
      </c>
      <c r="BF22" s="689" t="n">
        <v>1</v>
      </c>
      <c r="BG22" s="686" t="n">
        <v>4000</v>
      </c>
      <c r="BH22" s="114">
        <f>$BG$22</f>
        <v/>
      </c>
      <c r="BI22" s="114">
        <f>$BG$22</f>
        <v/>
      </c>
      <c r="BJ22" s="114">
        <f>$BG$22</f>
        <v/>
      </c>
      <c r="BK22" s="114">
        <f>$BG$22</f>
        <v/>
      </c>
      <c r="BL22" s="114">
        <f>$BG$22</f>
        <v/>
      </c>
      <c r="BM22" s="114">
        <f>$BG$22</f>
        <v/>
      </c>
      <c r="BN22" s="114">
        <f>$BG$22</f>
        <v/>
      </c>
      <c r="BO22" s="114">
        <f>$BG$22</f>
        <v/>
      </c>
      <c r="BP22" s="114">
        <f>$BG$22</f>
        <v/>
      </c>
      <c r="BQ22" s="114">
        <f>$BG$22</f>
        <v/>
      </c>
      <c r="BR22" s="114">
        <f>$BG$22</f>
        <v/>
      </c>
      <c r="BS22" s="724">
        <f>SUM(BG22:BR22)</f>
        <v/>
      </c>
      <c r="BT22" s="689" t="n">
        <v>1</v>
      </c>
      <c r="BU22" s="686" t="n">
        <v>4000</v>
      </c>
      <c r="BV22" s="114">
        <f>$BG$22</f>
        <v/>
      </c>
      <c r="BW22" s="114">
        <f>$BG$22</f>
        <v/>
      </c>
      <c r="BX22" s="114">
        <f>$BG$22</f>
        <v/>
      </c>
      <c r="BY22" s="114">
        <f>$BG$22</f>
        <v/>
      </c>
      <c r="BZ22" s="114">
        <f>$BG$22</f>
        <v/>
      </c>
      <c r="CA22" s="114">
        <f>$BG$22</f>
        <v/>
      </c>
      <c r="CB22" s="114">
        <f>$BG$22</f>
        <v/>
      </c>
      <c r="CC22" s="114">
        <f>$BG$22</f>
        <v/>
      </c>
      <c r="CD22" s="114">
        <f>$BG$22</f>
        <v/>
      </c>
      <c r="CE22" s="114">
        <f>$BG$22</f>
        <v/>
      </c>
      <c r="CF22" s="114">
        <f>$BG$22</f>
        <v/>
      </c>
      <c r="CG22" s="724">
        <f>SUM(BU22:CF22)</f>
        <v/>
      </c>
      <c r="CH22" s="689" t="n">
        <v>1</v>
      </c>
    </row>
    <row r="23" ht="24" customHeight="1">
      <c r="A23" s="1325" t="inlineStr">
        <is>
          <t>Accting / Bookkeeping</t>
        </is>
      </c>
      <c r="B23" s="46" t="inlineStr">
        <is>
          <t xml:space="preserve"> </t>
        </is>
      </c>
      <c r="C23" s="686" t="n">
        <v>3000</v>
      </c>
      <c r="D23" s="46">
        <f>$C$23</f>
        <v/>
      </c>
      <c r="E23" s="46">
        <f>$C$23</f>
        <v/>
      </c>
      <c r="F23" s="46">
        <f>$C$23</f>
        <v/>
      </c>
      <c r="G23" s="46">
        <f>$C$23</f>
        <v/>
      </c>
      <c r="H23" s="46">
        <f>$C$23</f>
        <v/>
      </c>
      <c r="I23" s="46">
        <f>$C$23</f>
        <v/>
      </c>
      <c r="J23" s="46">
        <f>$C$23</f>
        <v/>
      </c>
      <c r="K23" s="46">
        <f>$C$23</f>
        <v/>
      </c>
      <c r="L23" s="46">
        <f>$C$23</f>
        <v/>
      </c>
      <c r="M23" s="46">
        <f>$C$23</f>
        <v/>
      </c>
      <c r="N23" s="46">
        <f>$C$23</f>
        <v/>
      </c>
      <c r="O23" s="724">
        <f>SUM(C23:N23)</f>
        <v/>
      </c>
      <c r="P23" s="1326" t="n">
        <v>0.5</v>
      </c>
      <c r="Q23" s="686" t="n">
        <v>2500</v>
      </c>
      <c r="R23" s="114">
        <f>$Q$23</f>
        <v/>
      </c>
      <c r="S23" s="114">
        <f>$Q$23</f>
        <v/>
      </c>
      <c r="T23" s="114">
        <f>$Q$23</f>
        <v/>
      </c>
      <c r="U23" s="114">
        <f>$Q$23</f>
        <v/>
      </c>
      <c r="V23" s="114">
        <f>$Q$23</f>
        <v/>
      </c>
      <c r="W23" s="114">
        <f>$Q$23</f>
        <v/>
      </c>
      <c r="X23" s="114">
        <f>$Q$23</f>
        <v/>
      </c>
      <c r="Y23" s="114">
        <f>$Q$23</f>
        <v/>
      </c>
      <c r="Z23" s="114">
        <f>$Q$23</f>
        <v/>
      </c>
      <c r="AA23" s="114">
        <f>$Q$23</f>
        <v/>
      </c>
      <c r="AB23" s="114">
        <f>$Q$23</f>
        <v/>
      </c>
      <c r="AC23" s="724">
        <f>SUM(Q23:AB23)</f>
        <v/>
      </c>
      <c r="AD23" s="1326" t="n">
        <v>0.5</v>
      </c>
      <c r="AE23" s="686" t="n">
        <v>2500</v>
      </c>
      <c r="AF23" s="114">
        <f>$AE$23</f>
        <v/>
      </c>
      <c r="AG23" s="114">
        <f>$AE$23</f>
        <v/>
      </c>
      <c r="AH23" s="114">
        <f>$AE$23</f>
        <v/>
      </c>
      <c r="AI23" s="114">
        <f>$AE$23</f>
        <v/>
      </c>
      <c r="AJ23" s="114">
        <f>$AE$23</f>
        <v/>
      </c>
      <c r="AK23" s="114">
        <f>$AE$23</f>
        <v/>
      </c>
      <c r="AL23" s="114">
        <f>$AE$23</f>
        <v/>
      </c>
      <c r="AM23" s="114">
        <f>$AE$23</f>
        <v/>
      </c>
      <c r="AN23" s="114">
        <f>$AE$23</f>
        <v/>
      </c>
      <c r="AO23" s="114">
        <f>$AE$23</f>
        <v/>
      </c>
      <c r="AP23" s="114">
        <f>$AE$23</f>
        <v/>
      </c>
      <c r="AQ23" s="724">
        <f>SUM(AE23:AP23)</f>
        <v/>
      </c>
      <c r="AR23" s="1326" t="n">
        <v>0.5</v>
      </c>
      <c r="AS23" s="686" t="n">
        <v>2500</v>
      </c>
      <c r="AT23" s="114">
        <f>$AS$23</f>
        <v/>
      </c>
      <c r="AU23" s="114">
        <f>$AS$23</f>
        <v/>
      </c>
      <c r="AV23" s="114">
        <f>$AS$23</f>
        <v/>
      </c>
      <c r="AW23" s="114">
        <f>$AS$23</f>
        <v/>
      </c>
      <c r="AX23" s="114">
        <f>$AS$23</f>
        <v/>
      </c>
      <c r="AY23" s="114">
        <f>$AS$23</f>
        <v/>
      </c>
      <c r="AZ23" s="114">
        <f>$AS$23</f>
        <v/>
      </c>
      <c r="BA23" s="114">
        <f>$AS$23</f>
        <v/>
      </c>
      <c r="BB23" s="114">
        <f>$AS$23</f>
        <v/>
      </c>
      <c r="BC23" s="114">
        <f>$AS$23</f>
        <v/>
      </c>
      <c r="BD23" s="114">
        <f>$AS$23</f>
        <v/>
      </c>
      <c r="BE23" s="724">
        <f>SUM(AS23:BD23)</f>
        <v/>
      </c>
      <c r="BF23" s="689" t="n">
        <v>1</v>
      </c>
      <c r="BG23" s="686" t="n">
        <v>2500</v>
      </c>
      <c r="BH23" s="114">
        <f>$BG$23</f>
        <v/>
      </c>
      <c r="BI23" s="114">
        <f>$BG$23</f>
        <v/>
      </c>
      <c r="BJ23" s="114">
        <f>$BG$23</f>
        <v/>
      </c>
      <c r="BK23" s="114">
        <f>$BG$23</f>
        <v/>
      </c>
      <c r="BL23" s="114">
        <f>$BG$23</f>
        <v/>
      </c>
      <c r="BM23" s="114">
        <f>$BG$23</f>
        <v/>
      </c>
      <c r="BN23" s="114">
        <f>$BG$23</f>
        <v/>
      </c>
      <c r="BO23" s="114">
        <f>$BG$23</f>
        <v/>
      </c>
      <c r="BP23" s="114">
        <f>$BG$23</f>
        <v/>
      </c>
      <c r="BQ23" s="114">
        <f>$BG$23</f>
        <v/>
      </c>
      <c r="BR23" s="114">
        <f>$BG$23</f>
        <v/>
      </c>
      <c r="BS23" s="724">
        <f>SUM(BG23:BR23)</f>
        <v/>
      </c>
      <c r="BT23" s="689" t="n">
        <v>1</v>
      </c>
      <c r="BU23" s="686" t="n">
        <v>2500</v>
      </c>
      <c r="BV23" s="114">
        <f>$BG$23</f>
        <v/>
      </c>
      <c r="BW23" s="114">
        <f>$BG$23</f>
        <v/>
      </c>
      <c r="BX23" s="114">
        <f>$BG$23</f>
        <v/>
      </c>
      <c r="BY23" s="114">
        <f>$BG$23</f>
        <v/>
      </c>
      <c r="BZ23" s="114">
        <f>$BG$23</f>
        <v/>
      </c>
      <c r="CA23" s="114">
        <f>$BG$23</f>
        <v/>
      </c>
      <c r="CB23" s="114">
        <f>$BG$23</f>
        <v/>
      </c>
      <c r="CC23" s="114">
        <f>$BG$23</f>
        <v/>
      </c>
      <c r="CD23" s="114">
        <f>$BG$23</f>
        <v/>
      </c>
      <c r="CE23" s="114">
        <f>$BG$23</f>
        <v/>
      </c>
      <c r="CF23" s="114">
        <f>$BG$23</f>
        <v/>
      </c>
      <c r="CG23" s="724">
        <f>SUM(BU23:CF23)</f>
        <v/>
      </c>
      <c r="CH23" s="1326" t="n">
        <v>1</v>
      </c>
    </row>
    <row r="24" ht="24" customHeight="1">
      <c r="A24" s="1325" t="inlineStr">
        <is>
          <t>Business Analyst</t>
        </is>
      </c>
      <c r="B24" s="46" t="inlineStr">
        <is>
          <t xml:space="preserve"> </t>
        </is>
      </c>
      <c r="C24" s="686" t="n">
        <v>0</v>
      </c>
      <c r="D24" s="46">
        <f>$C$24</f>
        <v/>
      </c>
      <c r="E24" s="46">
        <f>$C$24</f>
        <v/>
      </c>
      <c r="F24" s="46">
        <f>$C$24</f>
        <v/>
      </c>
      <c r="G24" s="46">
        <f>$C$24</f>
        <v/>
      </c>
      <c r="H24" s="46">
        <f>$C$24</f>
        <v/>
      </c>
      <c r="I24" s="46">
        <f>$C$24</f>
        <v/>
      </c>
      <c r="J24" s="46">
        <f>$C$24</f>
        <v/>
      </c>
      <c r="K24" s="46">
        <f>$C$24</f>
        <v/>
      </c>
      <c r="L24" s="46">
        <f>$C$24</f>
        <v/>
      </c>
      <c r="M24" s="46">
        <f>$C$24</f>
        <v/>
      </c>
      <c r="N24" s="46">
        <f>$C$24</f>
        <v/>
      </c>
      <c r="O24" s="724">
        <f>SUM(C24:N24)</f>
        <v/>
      </c>
      <c r="P24" s="1326" t="inlineStr">
        <is>
          <t xml:space="preserve"> </t>
        </is>
      </c>
      <c r="Q24" s="686" t="n">
        <v>1000</v>
      </c>
      <c r="R24" s="114">
        <f>$Q$24</f>
        <v/>
      </c>
      <c r="S24" s="114">
        <f>$Q$24</f>
        <v/>
      </c>
      <c r="T24" s="114">
        <f>$Q$24</f>
        <v/>
      </c>
      <c r="U24" s="114">
        <f>$Q$24</f>
        <v/>
      </c>
      <c r="V24" s="114">
        <f>$Q$24</f>
        <v/>
      </c>
      <c r="W24" s="114">
        <f>$Q$24</f>
        <v/>
      </c>
      <c r="X24" s="114">
        <f>$Q$24</f>
        <v/>
      </c>
      <c r="Y24" s="114">
        <f>$Q$24</f>
        <v/>
      </c>
      <c r="Z24" s="114">
        <f>$Q$24</f>
        <v/>
      </c>
      <c r="AA24" s="114">
        <f>$Q$24</f>
        <v/>
      </c>
      <c r="AB24" s="114">
        <f>$Q$24</f>
        <v/>
      </c>
      <c r="AC24" s="724">
        <f>SUM(Q24:AB24)</f>
        <v/>
      </c>
      <c r="AD24" s="1326" t="n">
        <v>1</v>
      </c>
      <c r="AE24" s="686" t="n">
        <v>2500</v>
      </c>
      <c r="AF24" s="114">
        <f>$AE$24</f>
        <v/>
      </c>
      <c r="AG24" s="114">
        <f>$AE$24</f>
        <v/>
      </c>
      <c r="AH24" s="114">
        <f>$AE$24</f>
        <v/>
      </c>
      <c r="AI24" s="114">
        <f>$AE$24</f>
        <v/>
      </c>
      <c r="AJ24" s="114">
        <f>$AE$24</f>
        <v/>
      </c>
      <c r="AK24" s="114">
        <f>$AE$24</f>
        <v/>
      </c>
      <c r="AL24" s="114">
        <f>$AE$24</f>
        <v/>
      </c>
      <c r="AM24" s="114">
        <f>$AE$24</f>
        <v/>
      </c>
      <c r="AN24" s="114">
        <f>$AE$24</f>
        <v/>
      </c>
      <c r="AO24" s="114">
        <f>$AE$24</f>
        <v/>
      </c>
      <c r="AP24" s="114">
        <f>$AE$24</f>
        <v/>
      </c>
      <c r="AQ24" s="724" t="n">
        <v>2500</v>
      </c>
      <c r="AR24" s="1326" t="n">
        <v>1</v>
      </c>
      <c r="AS24" s="686" t="n">
        <v>2500</v>
      </c>
      <c r="AT24" s="114">
        <f>$AS$24</f>
        <v/>
      </c>
      <c r="AU24" s="114">
        <f>$AS$24</f>
        <v/>
      </c>
      <c r="AV24" s="114">
        <f>$AS$24</f>
        <v/>
      </c>
      <c r="AW24" s="114">
        <f>$AS$24</f>
        <v/>
      </c>
      <c r="AX24" s="114">
        <f>$AS$24</f>
        <v/>
      </c>
      <c r="AY24" s="114">
        <f>$AS$24</f>
        <v/>
      </c>
      <c r="AZ24" s="114">
        <f>$AS$24</f>
        <v/>
      </c>
      <c r="BA24" s="114">
        <f>$AS$24</f>
        <v/>
      </c>
      <c r="BB24" s="114">
        <f>$AS$24</f>
        <v/>
      </c>
      <c r="BC24" s="114">
        <f>$AS$24</f>
        <v/>
      </c>
      <c r="BD24" s="114">
        <f>$AS$24</f>
        <v/>
      </c>
      <c r="BE24" s="724" t="n">
        <v>2500</v>
      </c>
      <c r="BF24" s="689" t="n">
        <v>1</v>
      </c>
      <c r="BG24" s="686" t="n">
        <v>2500</v>
      </c>
      <c r="BH24" s="114">
        <f>$BG$24</f>
        <v/>
      </c>
      <c r="BI24" s="114">
        <f>$BG$24</f>
        <v/>
      </c>
      <c r="BJ24" s="114">
        <f>$BG$24</f>
        <v/>
      </c>
      <c r="BK24" s="114">
        <f>$BG$24</f>
        <v/>
      </c>
      <c r="BL24" s="114">
        <f>$BG$24</f>
        <v/>
      </c>
      <c r="BM24" s="114">
        <f>$BG$24</f>
        <v/>
      </c>
      <c r="BN24" s="114">
        <f>$BG$24</f>
        <v/>
      </c>
      <c r="BO24" s="114">
        <f>$BG$24</f>
        <v/>
      </c>
      <c r="BP24" s="114">
        <f>$BG$24</f>
        <v/>
      </c>
      <c r="BQ24" s="114">
        <f>$BG$24</f>
        <v/>
      </c>
      <c r="BR24" s="114">
        <f>$BG$24</f>
        <v/>
      </c>
      <c r="BS24" s="724" t="n">
        <v>2500</v>
      </c>
      <c r="BT24" s="689" t="n">
        <v>1</v>
      </c>
      <c r="BU24" s="686" t="n">
        <v>2500</v>
      </c>
      <c r="BV24" s="114">
        <f>$BG$24</f>
        <v/>
      </c>
      <c r="BW24" s="114">
        <f>$BG$24</f>
        <v/>
      </c>
      <c r="BX24" s="114">
        <f>$BG$24</f>
        <v/>
      </c>
      <c r="BY24" s="114">
        <f>$BG$24</f>
        <v/>
      </c>
      <c r="BZ24" s="114">
        <f>$BG$24</f>
        <v/>
      </c>
      <c r="CA24" s="114">
        <f>$BG$24</f>
        <v/>
      </c>
      <c r="CB24" s="114">
        <f>$BG$24</f>
        <v/>
      </c>
      <c r="CC24" s="114">
        <f>$BG$24</f>
        <v/>
      </c>
      <c r="CD24" s="114">
        <f>$BG$24</f>
        <v/>
      </c>
      <c r="CE24" s="114">
        <f>$BG$24</f>
        <v/>
      </c>
      <c r="CF24" s="114">
        <f>$BG$24</f>
        <v/>
      </c>
      <c r="CG24" s="724" t="n">
        <v>2500</v>
      </c>
      <c r="CH24" s="1326" t="n">
        <v>0.5</v>
      </c>
    </row>
    <row r="25" ht="24" customHeight="1">
      <c r="A25" s="1325" t="inlineStr">
        <is>
          <t>Other- Virtual Assistant</t>
        </is>
      </c>
      <c r="B25" s="46" t="inlineStr">
        <is>
          <t xml:space="preserve"> </t>
        </is>
      </c>
      <c r="C25" s="692" t="n">
        <v>500</v>
      </c>
      <c r="D25" s="225">
        <f>$C$25</f>
        <v/>
      </c>
      <c r="E25" s="225">
        <f>$C$25</f>
        <v/>
      </c>
      <c r="F25" s="225">
        <f>$C$25</f>
        <v/>
      </c>
      <c r="G25" s="225">
        <f>$C$25</f>
        <v/>
      </c>
      <c r="H25" s="225">
        <f>$C$25</f>
        <v/>
      </c>
      <c r="I25" s="225">
        <f>$C$25</f>
        <v/>
      </c>
      <c r="J25" s="225">
        <f>$C$25</f>
        <v/>
      </c>
      <c r="K25" s="225">
        <f>$C$25</f>
        <v/>
      </c>
      <c r="L25" s="225">
        <f>$C$25</f>
        <v/>
      </c>
      <c r="M25" s="225">
        <f>$C$25</f>
        <v/>
      </c>
      <c r="N25" s="225">
        <f>$C$25</f>
        <v/>
      </c>
      <c r="O25" s="725">
        <f>SUM(C25:N25)</f>
        <v/>
      </c>
      <c r="P25" s="1329" t="n">
        <v>0.5</v>
      </c>
      <c r="Q25" s="692" t="n">
        <v>500</v>
      </c>
      <c r="R25" s="230">
        <f>$Q$25</f>
        <v/>
      </c>
      <c r="S25" s="230">
        <f>$Q$25</f>
        <v/>
      </c>
      <c r="T25" s="230">
        <f>$Q$25</f>
        <v/>
      </c>
      <c r="U25" s="230">
        <f>$Q$25</f>
        <v/>
      </c>
      <c r="V25" s="230">
        <f>$Q$25</f>
        <v/>
      </c>
      <c r="W25" s="230">
        <f>$Q$25</f>
        <v/>
      </c>
      <c r="X25" s="230">
        <f>$Q$25</f>
        <v/>
      </c>
      <c r="Y25" s="230">
        <f>$Q$25</f>
        <v/>
      </c>
      <c r="Z25" s="230">
        <f>$Q$25</f>
        <v/>
      </c>
      <c r="AA25" s="230">
        <f>$Q$25</f>
        <v/>
      </c>
      <c r="AB25" s="230">
        <f>$Q$25</f>
        <v/>
      </c>
      <c r="AC25" s="725">
        <f>SUM(Q25:AB25)</f>
        <v/>
      </c>
      <c r="AD25" s="1329" t="n">
        <v>0.5</v>
      </c>
      <c r="AE25" s="692" t="n">
        <v>500</v>
      </c>
      <c r="AF25" s="230">
        <f>$AE$25</f>
        <v/>
      </c>
      <c r="AG25" s="230">
        <f>$AE$25</f>
        <v/>
      </c>
      <c r="AH25" s="230">
        <f>$AE$25</f>
        <v/>
      </c>
      <c r="AI25" s="230">
        <f>$AE$25</f>
        <v/>
      </c>
      <c r="AJ25" s="230">
        <f>$AE$25</f>
        <v/>
      </c>
      <c r="AK25" s="230">
        <f>$AE$25</f>
        <v/>
      </c>
      <c r="AL25" s="230">
        <f>$AE$25</f>
        <v/>
      </c>
      <c r="AM25" s="230">
        <f>$AE$25</f>
        <v/>
      </c>
      <c r="AN25" s="230">
        <f>$AE$25</f>
        <v/>
      </c>
      <c r="AO25" s="230">
        <f>$AE$25</f>
        <v/>
      </c>
      <c r="AP25" s="230">
        <f>$AE$25</f>
        <v/>
      </c>
      <c r="AQ25" s="725">
        <f>SUM(AE25:AP25)</f>
        <v/>
      </c>
      <c r="AR25" s="1329" t="n">
        <v>0.5</v>
      </c>
      <c r="AS25" s="692" t="n">
        <v>500</v>
      </c>
      <c r="AT25" s="230">
        <f>$AS$25</f>
        <v/>
      </c>
      <c r="AU25" s="230">
        <f>$AS$25</f>
        <v/>
      </c>
      <c r="AV25" s="230">
        <f>$AS$25</f>
        <v/>
      </c>
      <c r="AW25" s="230">
        <f>$AS$25</f>
        <v/>
      </c>
      <c r="AX25" s="230">
        <f>$AS$25</f>
        <v/>
      </c>
      <c r="AY25" s="230">
        <f>$AS$25</f>
        <v/>
      </c>
      <c r="AZ25" s="230">
        <f>$AS$25</f>
        <v/>
      </c>
      <c r="BA25" s="230">
        <f>$AS$25</f>
        <v/>
      </c>
      <c r="BB25" s="230">
        <f>$AS$25</f>
        <v/>
      </c>
      <c r="BC25" s="230">
        <f>$AS$25</f>
        <v/>
      </c>
      <c r="BD25" s="230">
        <f>$AS$25</f>
        <v/>
      </c>
      <c r="BE25" s="725">
        <f>SUM(AS25:BD25)</f>
        <v/>
      </c>
      <c r="BF25" s="1329" t="n">
        <v>0.5</v>
      </c>
      <c r="BG25" s="692" t="n">
        <v>1000</v>
      </c>
      <c r="BH25" s="230">
        <f>$BG$25</f>
        <v/>
      </c>
      <c r="BI25" s="230">
        <f>$BG$25</f>
        <v/>
      </c>
      <c r="BJ25" s="230">
        <f>$BG$25</f>
        <v/>
      </c>
      <c r="BK25" s="230">
        <f>$BG$25</f>
        <v/>
      </c>
      <c r="BL25" s="230">
        <f>$BG$25</f>
        <v/>
      </c>
      <c r="BM25" s="230">
        <f>$BG$25</f>
        <v/>
      </c>
      <c r="BN25" s="230">
        <f>$BG$25</f>
        <v/>
      </c>
      <c r="BO25" s="230">
        <f>$BG$25</f>
        <v/>
      </c>
      <c r="BP25" s="230">
        <f>$BG$25</f>
        <v/>
      </c>
      <c r="BQ25" s="230">
        <f>$BG$25</f>
        <v/>
      </c>
      <c r="BR25" s="230">
        <f>$BG$25</f>
        <v/>
      </c>
      <c r="BS25" s="725">
        <f>SUM(BG25:BR25)</f>
        <v/>
      </c>
      <c r="BT25" s="1329" t="n">
        <v>0.5</v>
      </c>
      <c r="BU25" s="692" t="n">
        <v>100</v>
      </c>
      <c r="BV25" s="230">
        <f>$BG$25</f>
        <v/>
      </c>
      <c r="BW25" s="230">
        <f>$BG$25</f>
        <v/>
      </c>
      <c r="BX25" s="230">
        <f>$BG$25</f>
        <v/>
      </c>
      <c r="BY25" s="230">
        <f>$BG$25</f>
        <v/>
      </c>
      <c r="BZ25" s="230">
        <f>$BG$25</f>
        <v/>
      </c>
      <c r="CA25" s="230">
        <f>$BG$25</f>
        <v/>
      </c>
      <c r="CB25" s="230">
        <f>$BG$25</f>
        <v/>
      </c>
      <c r="CC25" s="230">
        <f>$BG$25</f>
        <v/>
      </c>
      <c r="CD25" s="230">
        <f>$BG$25</f>
        <v/>
      </c>
      <c r="CE25" s="230">
        <f>$BG$25</f>
        <v/>
      </c>
      <c r="CF25" s="230">
        <f>$BG$25</f>
        <v/>
      </c>
      <c r="CG25" s="725">
        <f>SUM(BU25:CF25)</f>
        <v/>
      </c>
      <c r="CH25" s="714" t="n">
        <v>1</v>
      </c>
    </row>
    <row r="26" ht="24" customHeight="1">
      <c r="A26" s="1325" t="inlineStr">
        <is>
          <t xml:space="preserve"> </t>
        </is>
      </c>
      <c r="B26" s="33" t="n"/>
      <c r="C26" s="688">
        <f>SUM(C8:C25)</f>
        <v/>
      </c>
      <c r="D26" s="114">
        <f>SUM(D8:D24)</f>
        <v/>
      </c>
      <c r="E26" s="114">
        <f>SUM(E8:E24)</f>
        <v/>
      </c>
      <c r="F26" s="114">
        <f>SUM(F8:F24)</f>
        <v/>
      </c>
      <c r="G26" s="114">
        <f>SUM(G8:G24)</f>
        <v/>
      </c>
      <c r="H26" s="114">
        <f>SUM(H8:H24)</f>
        <v/>
      </c>
      <c r="I26" s="114">
        <f>SUM(I8:I24)</f>
        <v/>
      </c>
      <c r="J26" s="114">
        <f>SUM(J8:J24)</f>
        <v/>
      </c>
      <c r="K26" s="114">
        <f>SUM(K8:K24)</f>
        <v/>
      </c>
      <c r="L26" s="114">
        <f>SUM(L8:L24)</f>
        <v/>
      </c>
      <c r="M26" s="114">
        <f>SUM(M8:M24)</f>
        <v/>
      </c>
      <c r="N26" s="114">
        <f>SUM(N8:N24)</f>
        <v/>
      </c>
      <c r="O26" s="723">
        <f>SUM(O8:O24)</f>
        <v/>
      </c>
      <c r="P26" s="694" t="inlineStr">
        <is>
          <t xml:space="preserve"> </t>
        </is>
      </c>
      <c r="Q26" s="688">
        <f>SUM(Q8:Q25)</f>
        <v/>
      </c>
      <c r="R26" s="114">
        <f>SUM(R8:R24)</f>
        <v/>
      </c>
      <c r="S26" s="114">
        <f>SUM(S8:S24)</f>
        <v/>
      </c>
      <c r="T26" s="114">
        <f>SUM(T8:T24)</f>
        <v/>
      </c>
      <c r="U26" s="114">
        <f>SUM(U8:U24)</f>
        <v/>
      </c>
      <c r="V26" s="114">
        <f>SUM(V8:V24)</f>
        <v/>
      </c>
      <c r="W26" s="114">
        <f>SUM(W8:W24)</f>
        <v/>
      </c>
      <c r="X26" s="114">
        <f>SUM(X8:X24)</f>
        <v/>
      </c>
      <c r="Y26" s="114">
        <f>SUM(Y8:Y24)</f>
        <v/>
      </c>
      <c r="Z26" s="114">
        <f>SUM(Z8:Z24)</f>
        <v/>
      </c>
      <c r="AA26" s="114">
        <f>SUM(AA8:AA24)</f>
        <v/>
      </c>
      <c r="AB26" s="114">
        <f>SUM(AB8:AB24)</f>
        <v/>
      </c>
      <c r="AC26" s="723">
        <f>SUM(AC8:AC24)</f>
        <v/>
      </c>
      <c r="AD26" s="694" t="inlineStr">
        <is>
          <t xml:space="preserve"> </t>
        </is>
      </c>
      <c r="AE26" s="688">
        <f>SUM(AE8:AE25)</f>
        <v/>
      </c>
      <c r="AF26" s="114">
        <f>SUM(AF8:AF25)</f>
        <v/>
      </c>
      <c r="AG26" s="114">
        <f>SUM(AG8:AG25)</f>
        <v/>
      </c>
      <c r="AH26" s="114">
        <f>SUM(AH8:AH25)</f>
        <v/>
      </c>
      <c r="AI26" s="114">
        <f>SUM(AI8:AI25)</f>
        <v/>
      </c>
      <c r="AJ26" s="114">
        <f>SUM(AJ8:AJ25)</f>
        <v/>
      </c>
      <c r="AK26" s="114">
        <f>SUM(AK8:AK25)</f>
        <v/>
      </c>
      <c r="AL26" s="114">
        <f>SUM(AL8:AL25)</f>
        <v/>
      </c>
      <c r="AM26" s="114">
        <f>SUM(AM8:AM25)</f>
        <v/>
      </c>
      <c r="AN26" s="114">
        <f>SUM(AN8:AN25)</f>
        <v/>
      </c>
      <c r="AO26" s="114">
        <f>SUM(AO8:AO25)</f>
        <v/>
      </c>
      <c r="AP26" s="114">
        <f>SUM(AP8:AP25)</f>
        <v/>
      </c>
      <c r="AQ26" s="723">
        <f>SUM(AQ8:AQ24)</f>
        <v/>
      </c>
      <c r="AR26" s="694" t="inlineStr">
        <is>
          <t xml:space="preserve"> </t>
        </is>
      </c>
      <c r="AS26" s="688">
        <f>SUM(AS8:AS25)</f>
        <v/>
      </c>
      <c r="AT26" s="114">
        <f>SUM(AT8:AT24)</f>
        <v/>
      </c>
      <c r="AU26" s="114">
        <f>SUM(AU8:AU24)</f>
        <v/>
      </c>
      <c r="AV26" s="114">
        <f>SUM(AV8:AV24)</f>
        <v/>
      </c>
      <c r="AW26" s="114">
        <f>SUM(AW8:AW24)</f>
        <v/>
      </c>
      <c r="AX26" s="114">
        <f>SUM(AX8:AX24)</f>
        <v/>
      </c>
      <c r="AY26" s="114">
        <f>SUM(AY8:AY24)</f>
        <v/>
      </c>
      <c r="AZ26" s="114">
        <f>SUM(AZ8:AZ24)</f>
        <v/>
      </c>
      <c r="BA26" s="114">
        <f>SUM(BA8:BA24)</f>
        <v/>
      </c>
      <c r="BB26" s="114">
        <f>SUM(BB8:BB24)</f>
        <v/>
      </c>
      <c r="BC26" s="114">
        <f>SUM(BC8:BC24)</f>
        <v/>
      </c>
      <c r="BD26" s="114">
        <f>SUM(BD8:BD24)</f>
        <v/>
      </c>
      <c r="BE26" s="723">
        <f>SUM(BE8:BE24)</f>
        <v/>
      </c>
      <c r="BF26" s="694" t="inlineStr">
        <is>
          <t xml:space="preserve"> </t>
        </is>
      </c>
      <c r="BG26" s="688">
        <f>SUM(BG8:BG25)</f>
        <v/>
      </c>
      <c r="BH26" s="114">
        <f>SUM(BH8:BH24)</f>
        <v/>
      </c>
      <c r="BI26" s="114">
        <f>SUM(BI8:BI24)</f>
        <v/>
      </c>
      <c r="BJ26" s="114">
        <f>SUM(BJ8:BJ24)</f>
        <v/>
      </c>
      <c r="BK26" s="114">
        <f>SUM(BK8:BK24)</f>
        <v/>
      </c>
      <c r="BL26" s="114">
        <f>SUM(BL8:BL24)</f>
        <v/>
      </c>
      <c r="BM26" s="114">
        <f>SUM(BM8:BM24)</f>
        <v/>
      </c>
      <c r="BN26" s="114">
        <f>SUM(BN8:BN24)</f>
        <v/>
      </c>
      <c r="BO26" s="114">
        <f>SUM(BO8:BO24)</f>
        <v/>
      </c>
      <c r="BP26" s="114">
        <f>SUM(BP8:BP24)</f>
        <v/>
      </c>
      <c r="BQ26" s="114">
        <f>SUM(BQ8:BQ24)</f>
        <v/>
      </c>
      <c r="BR26" s="114">
        <f>SUM(BR8:BR24)</f>
        <v/>
      </c>
      <c r="BS26" s="723">
        <f>SUM(BS8:BS24)</f>
        <v/>
      </c>
      <c r="BT26" s="694" t="inlineStr">
        <is>
          <t xml:space="preserve"> </t>
        </is>
      </c>
      <c r="BU26" s="688">
        <f>SUM(BU8:BU25)</f>
        <v/>
      </c>
      <c r="BV26" s="114">
        <f>SUM(BV8:BV24)</f>
        <v/>
      </c>
      <c r="BW26" s="114">
        <f>SUM(BW8:BW24)</f>
        <v/>
      </c>
      <c r="BX26" s="114">
        <f>SUM(BX8:BX24)</f>
        <v/>
      </c>
      <c r="BY26" s="114">
        <f>SUM(BY8:BY24)</f>
        <v/>
      </c>
      <c r="BZ26" s="114">
        <f>SUM(BZ8:BZ24)</f>
        <v/>
      </c>
      <c r="CA26" s="114">
        <f>SUM(CA8:CA24)</f>
        <v/>
      </c>
      <c r="CB26" s="114">
        <f>SUM(CB8:CB24)</f>
        <v/>
      </c>
      <c r="CC26" s="114">
        <f>SUM(CC8:CC24)</f>
        <v/>
      </c>
      <c r="CD26" s="114">
        <f>SUM(CD8:CD24)</f>
        <v/>
      </c>
      <c r="CE26" s="114">
        <f>SUM(CE8:CE24)</f>
        <v/>
      </c>
      <c r="CF26" s="114">
        <f>SUM(CF8:CF24)</f>
        <v/>
      </c>
      <c r="CG26" s="723">
        <f>SUM(CG8:CG24)</f>
        <v/>
      </c>
      <c r="CH26" s="694" t="inlineStr">
        <is>
          <t xml:space="preserve"> </t>
        </is>
      </c>
    </row>
    <row r="27" ht="24" customHeight="1" thickBot="1">
      <c r="A27" s="1330" t="inlineStr">
        <is>
          <t>FTE</t>
        </is>
      </c>
      <c r="B27" s="33" t="inlineStr">
        <is>
          <t xml:space="preserve"> </t>
        </is>
      </c>
      <c r="C27" s="695" t="n"/>
      <c r="D27" s="696" t="n"/>
      <c r="E27" s="696" t="n"/>
      <c r="F27" s="696" t="n"/>
      <c r="G27" s="696" t="n"/>
      <c r="H27" s="696" t="n"/>
      <c r="I27" s="696" t="n"/>
      <c r="J27" s="696" t="n"/>
      <c r="K27" s="696" t="n"/>
      <c r="L27" s="696" t="n"/>
      <c r="M27" s="696" t="n"/>
      <c r="N27" s="696" t="n"/>
      <c r="O27" s="726" t="inlineStr">
        <is>
          <t xml:space="preserve"> </t>
        </is>
      </c>
      <c r="P27" s="697">
        <f>SUM(P8:P26)</f>
        <v/>
      </c>
      <c r="Q27" s="695" t="n"/>
      <c r="R27" s="711" t="n"/>
      <c r="S27" s="711" t="n"/>
      <c r="T27" s="711" t="n"/>
      <c r="U27" s="711" t="n"/>
      <c r="V27" s="711" t="n"/>
      <c r="W27" s="711" t="n"/>
      <c r="X27" s="711" t="n"/>
      <c r="Y27" s="711" t="n"/>
      <c r="Z27" s="711" t="n"/>
      <c r="AA27" s="711" t="n"/>
      <c r="AB27" s="711" t="n"/>
      <c r="AC27" s="711" t="n"/>
      <c r="AD27" s="697">
        <f>SUM(AD8:AD26)</f>
        <v/>
      </c>
      <c r="AE27" s="712" t="n"/>
      <c r="AF27" s="711" t="n"/>
      <c r="AG27" s="711" t="n"/>
      <c r="AH27" s="711" t="n"/>
      <c r="AI27" s="711" t="n"/>
      <c r="AJ27" s="711" t="n"/>
      <c r="AK27" s="711" t="n"/>
      <c r="AL27" s="711" t="n"/>
      <c r="AM27" s="711" t="n"/>
      <c r="AN27" s="711" t="n"/>
      <c r="AO27" s="711" t="n"/>
      <c r="AP27" s="711" t="n"/>
      <c r="AQ27" s="711" t="n"/>
      <c r="AR27" s="697">
        <f>SUM(AR8:AR26)</f>
        <v/>
      </c>
      <c r="AS27" s="712" t="n"/>
      <c r="AT27" s="711" t="n"/>
      <c r="AU27" s="711" t="n"/>
      <c r="AV27" s="711" t="n"/>
      <c r="AW27" s="711" t="n"/>
      <c r="AX27" s="711" t="n"/>
      <c r="AY27" s="711" t="n"/>
      <c r="AZ27" s="711" t="n"/>
      <c r="BA27" s="711" t="n"/>
      <c r="BB27" s="711" t="n"/>
      <c r="BC27" s="711" t="n"/>
      <c r="BD27" s="711" t="n"/>
      <c r="BE27" s="711" t="n"/>
      <c r="BF27" s="1331">
        <f>SUM(BF8:BF25)</f>
        <v/>
      </c>
      <c r="BG27" s="712" t="n"/>
      <c r="BH27" s="711" t="n"/>
      <c r="BI27" s="711" t="n"/>
      <c r="BJ27" s="711" t="n"/>
      <c r="BK27" s="711" t="n"/>
      <c r="BL27" s="711" t="n"/>
      <c r="BM27" s="711" t="n"/>
      <c r="BN27" s="711" t="n"/>
      <c r="BO27" s="711" t="n"/>
      <c r="BP27" s="711" t="n"/>
      <c r="BQ27" s="711" t="n"/>
      <c r="BR27" s="711" t="n"/>
      <c r="BS27" s="711" t="n"/>
      <c r="BT27" s="1332">
        <f>SUM(BT8:BT25)</f>
        <v/>
      </c>
      <c r="BU27" s="712" t="n"/>
      <c r="BV27" s="711" t="n"/>
      <c r="BW27" s="711" t="n"/>
      <c r="BX27" s="711" t="n"/>
      <c r="BY27" s="711" t="n"/>
      <c r="BZ27" s="711" t="n"/>
      <c r="CA27" s="711" t="n"/>
      <c r="CB27" s="711" t="n"/>
      <c r="CC27" s="711" t="n"/>
      <c r="CD27" s="711" t="n"/>
      <c r="CE27" s="711" t="n"/>
      <c r="CF27" s="711" t="n"/>
      <c r="CG27" s="711" t="n"/>
      <c r="CH27" s="1332">
        <f>SUM(CH8:CH25)</f>
        <v/>
      </c>
    </row>
    <row r="28" ht="24" customHeight="1">
      <c r="A28" s="1330" t="inlineStr">
        <is>
          <t xml:space="preserve"> </t>
        </is>
      </c>
      <c r="N28" t="inlineStr">
        <is>
          <t xml:space="preserve"> </t>
        </is>
      </c>
      <c r="P28" s="507" t="n"/>
      <c r="AD28" s="507" t="n"/>
      <c r="AR28" s="507" t="n"/>
      <c r="BT28" s="507" t="n"/>
      <c r="CH28" s="507" t="n"/>
    </row>
    <row r="29" ht="24" customHeight="1">
      <c r="A29" s="1330" t="inlineStr">
        <is>
          <t xml:space="preserve"> </t>
        </is>
      </c>
      <c r="C29" s="1088" t="inlineStr">
        <is>
          <t xml:space="preserve"> </t>
        </is>
      </c>
      <c r="Q29" s="1088" t="inlineStr">
        <is>
          <t xml:space="preserve"> </t>
        </is>
      </c>
      <c r="AD29" s="507" t="n"/>
      <c r="AE29" s="1088" t="n"/>
      <c r="AR29" s="507" t="n"/>
      <c r="AS29" s="1088" t="n"/>
      <c r="BG29" s="1088" t="n"/>
      <c r="BT29" s="507" t="n"/>
      <c r="BU29" s="1088" t="n"/>
    </row>
    <row r="30" ht="24" customHeight="1">
      <c r="A30" s="1330" t="inlineStr">
        <is>
          <t xml:space="preserve"> </t>
        </is>
      </c>
      <c r="AD30" s="507" t="n"/>
      <c r="AR30" s="507" t="n"/>
      <c r="BT30" s="507" t="n"/>
    </row>
    <row r="31" ht="24" customHeight="1">
      <c r="A31" s="1330" t="inlineStr">
        <is>
          <t xml:space="preserve"> </t>
        </is>
      </c>
      <c r="AD31" s="507" t="n"/>
      <c r="AR31" s="507" t="n"/>
      <c r="BT31" s="507" t="n"/>
    </row>
    <row r="32" ht="12.75" customHeight="1">
      <c r="A32" s="1330" t="inlineStr">
        <is>
          <t xml:space="preserve"> </t>
        </is>
      </c>
      <c r="AD32" s="507" t="n"/>
      <c r="BT32" s="507" t="n"/>
    </row>
    <row r="33" ht="12.75" customHeight="1">
      <c r="AD33" s="507" t="n"/>
      <c r="BT33" s="507" t="n"/>
    </row>
    <row r="34" ht="12.75" customHeight="1">
      <c r="AD34" s="507" t="n"/>
      <c r="BT34" s="507" t="n"/>
    </row>
    <row r="35" ht="12.75" customHeight="1">
      <c r="AD35" s="507" t="n"/>
      <c r="BT35" s="507" t="n"/>
    </row>
    <row r="36" ht="12.75" customHeight="1">
      <c r="AD36" s="507" t="n"/>
      <c r="BT36" s="507" t="n"/>
    </row>
    <row r="37" ht="12.75" customHeight="1">
      <c r="AD37" s="507" t="n"/>
      <c r="BT37" s="507" t="n"/>
    </row>
    <row r="38" ht="12.75" customHeight="1">
      <c r="AD38" s="507" t="n"/>
      <c r="BT38" s="507" t="n"/>
    </row>
    <row r="39" ht="12.75" customHeight="1">
      <c r="AD39" s="507" t="n"/>
      <c r="BT39" s="507" t="n"/>
    </row>
    <row r="40" ht="12.75" customHeight="1">
      <c r="AD40" s="507" t="n"/>
      <c r="BT40" s="507" t="n"/>
    </row>
    <row r="41" ht="12.75" customHeight="1">
      <c r="AD41" s="507" t="n"/>
    </row>
    <row r="42" ht="12.75" customHeight="1">
      <c r="AD42" s="507" t="n"/>
    </row>
    <row r="43" ht="12.75" customHeight="1">
      <c r="AD43" s="507" t="n"/>
    </row>
    <row r="44" ht="12.75" customHeight="1">
      <c r="AD44" s="507" t="n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2.25" customHeight="1"/>
    <row r="79" ht="12.75" customHeight="1"/>
    <row r="80" ht="12.75" customHeight="1"/>
    <row r="81" ht="12.75" customHeight="1"/>
    <row r="82" ht="2.2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idden="1" ht="12.75" customHeight="1"/>
    <row r="99" hidden="1" ht="12.75" customHeight="1"/>
    <row r="100" hidden="1" ht="12.75" customHeight="1"/>
    <row r="101" hidden="1" ht="12.75" customHeight="1"/>
    <row r="102" hidden="1" ht="12.75" customHeight="1"/>
    <row r="103" hidden="1" ht="12.75" customHeight="1"/>
    <row r="104" hidden="1" ht="12.75" customHeight="1"/>
    <row r="105" hidden="1" ht="12.75" customHeight="1"/>
    <row r="106" hidden="1" ht="12.75" customHeight="1"/>
    <row r="107" hidden="1" ht="12.75" customHeight="1"/>
    <row r="108" ht="12.75" customHeight="1"/>
    <row r="109" hidden="1" ht="12.75" customHeight="1"/>
    <row r="110" hidden="1" ht="12.75" customHeight="1"/>
    <row r="111" ht="12.75" customHeight="1"/>
    <row r="112" hidden="1" ht="12.75" customHeight="1"/>
    <row r="113" ht="12.75" customHeight="1"/>
    <row r="114" ht="12.75" customHeight="1"/>
    <row r="115" hidden="1" ht="12.75" customHeight="1"/>
    <row r="116" hidden="1" ht="12.75" customHeight="1"/>
    <row r="117" hidden="1" ht="12.75" customHeight="1"/>
    <row r="118" ht="12.75" customHeight="1"/>
    <row r="119" hidden="1" ht="12.75" customHeight="1"/>
    <row r="120" hidden="1" ht="12.75" customHeight="1"/>
    <row r="121" hidden="1" ht="12.75" customHeight="1"/>
    <row r="122" ht="12.75" customHeight="1"/>
    <row r="123" hidden="1" ht="12.75" customHeight="1"/>
    <row r="124" ht="12.75" customHeight="1"/>
    <row r="125" ht="12.75" customHeight="1"/>
    <row r="126" hidden="1" ht="12.75" customHeight="1"/>
    <row r="127" hidden="1" ht="12.75" customHeight="1"/>
    <row r="128" hidden="1" ht="12.75" customHeight="1"/>
    <row r="129" hidden="1" ht="12.75" customHeight="1"/>
    <row r="130" hidden="1" ht="12.75" customHeight="1"/>
    <row r="131" ht="12.75" customHeight="1"/>
    <row r="132" hidden="1" ht="12.75" customHeight="1"/>
    <row r="133" hidden="1" ht="12.75" customHeight="1"/>
    <row r="134" hidden="1" ht="12.75" customHeight="1"/>
    <row r="135" ht="12.75" customHeight="1"/>
    <row r="136" hidden="1" ht="12.75" customHeight="1"/>
    <row r="137" ht="12.75" customHeight="1"/>
    <row r="138" ht="12.75" customHeight="1"/>
    <row r="139" hidden="1" ht="12.75" customHeight="1"/>
    <row r="140" hidden="1" ht="12.75" customHeight="1"/>
    <row r="141" hidden="1" ht="12.75" customHeight="1"/>
    <row r="142" ht="12.75" customHeight="1"/>
    <row r="143" ht="12.75" customHeight="1"/>
    <row r="144" ht="12.75" customHeight="1"/>
    <row r="145" hidden="1" ht="12.75" customHeight="1"/>
    <row r="146" hidden="1" ht="12.75" customHeight="1"/>
    <row r="147" ht="12.75" customHeight="1"/>
    <row r="148" ht="12.75" customHeight="1"/>
    <row r="149" ht="12.75" customHeight="1"/>
    <row r="150" hidden="1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idden="1" ht="12.75" customHeight="1"/>
    <row r="158" ht="12.75" customHeight="1"/>
    <row r="159" ht="12.75" customHeight="1"/>
    <row r="160" hidden="1" ht="12.75" customHeight="1"/>
    <row r="161" hidden="1" ht="12.75" customHeight="1"/>
    <row r="162" hidden="1" ht="12.75" customHeight="1"/>
    <row r="163" hidden="1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idden="1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4.5" customHeight="1"/>
    <row r="177" ht="12.75" customHeight="1"/>
    <row r="178" ht="12.75" customHeight="1"/>
    <row r="179" ht="12.75" customHeight="1"/>
    <row r="180" hidden="1" ht="12.75" customHeight="1"/>
    <row r="181" hidden="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idden="1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idden="1" ht="12.75" customHeight="1"/>
    <row r="207" ht="12.75" customHeight="1"/>
    <row r="208" hidden="1" ht="12.75" customHeight="1"/>
    <row r="209" ht="12.75" customHeight="1"/>
    <row r="210" hidden="1" ht="12.75" customHeight="1"/>
    <row r="211" hidden="1" ht="12.75" customHeight="1"/>
    <row r="212" ht="12.75" customHeight="1"/>
    <row r="213" hidden="1" ht="12.75" customHeight="1"/>
    <row r="214" hidden="1" ht="12.75" customHeight="1"/>
    <row r="215" hidden="1" ht="12.75" customHeight="1"/>
    <row r="216" hidden="1" ht="12.75" customHeight="1"/>
    <row r="217" hidden="1" ht="12.75" customHeight="1"/>
    <row r="218" hidden="1" ht="12.75" customHeight="1"/>
    <row r="219" hidden="1" ht="12.75" customHeight="1"/>
    <row r="220" hidden="1" ht="12.75" customHeight="1"/>
    <row r="221" hidden="1" ht="12.75" customHeight="1"/>
    <row r="222" hidden="1" ht="12.75" customHeight="1"/>
    <row r="223" hidden="1" ht="12.75" customHeight="1"/>
    <row r="224" hidden="1" ht="12.75" customHeight="1"/>
    <row r="225" ht="12.75" customHeight="1"/>
    <row r="226" hidden="1" ht="12.75" customHeight="1"/>
    <row r="227" ht="12.75" customHeight="1"/>
    <row r="228" hidden="1" ht="12.75" customHeight="1"/>
    <row r="229" hidden="1" ht="12.75" customHeight="1"/>
    <row r="230" hidden="1" ht="12.75" customHeight="1"/>
    <row r="231" hidden="1" ht="12.75" customHeight="1"/>
    <row r="232" ht="12.75" customHeight="1"/>
    <row r="233" ht="12.75" customHeight="1"/>
    <row r="234" ht="12.75" customHeight="1"/>
    <row r="235" hidden="1" ht="12.75" customHeight="1"/>
    <row r="236" hidden="1" ht="12.75" customHeight="1"/>
    <row r="237" hidden="1" ht="12.75" customHeight="1"/>
    <row r="238" hidden="1" ht="12.75" customHeight="1"/>
    <row r="239" hidden="1" ht="12.75" customHeight="1"/>
    <row r="240" hidden="1" ht="12.75" customHeight="1"/>
    <row r="241" ht="12.75" customHeight="1"/>
    <row r="242" hidden="1" ht="12.75" customHeight="1"/>
    <row r="243" hidden="1" ht="12.75" customHeight="1"/>
    <row r="244" ht="12.75" customHeight="1"/>
    <row r="245" hidden="1" ht="12.75" customHeight="1"/>
    <row r="246" hidden="1" ht="12.75" customHeight="1"/>
    <row r="247" ht="12.75" customHeight="1"/>
    <row r="248" hidden="1" ht="12.75" customHeight="1"/>
    <row r="249" hidden="1" ht="12.75" customHeight="1"/>
    <row r="250" hidden="1" ht="12.75" customHeight="1"/>
    <row r="251" hidden="1" ht="12.75" customHeight="1"/>
    <row r="252" ht="2.25" customHeight="1"/>
    <row r="253" ht="12.75" customHeight="1"/>
    <row r="254" ht="12.75" customHeight="1"/>
    <row r="255" ht="12.75" customHeight="1"/>
    <row r="256" ht="12.75" customHeight="1"/>
    <row r="257" ht="12.75" customHeight="1"/>
    <row r="258" hidden="1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idden="1" ht="12.75" customHeight="1"/>
    <row r="268" hidden="1" ht="12.75" customHeight="1"/>
    <row r="269" hidden="1" ht="12.75" customHeight="1"/>
    <row r="270" hidden="1" ht="12.75" customHeight="1"/>
    <row r="271" hidden="1" ht="12.75" customHeight="1"/>
    <row r="272" hidden="1" ht="12.75" customHeight="1"/>
    <row r="273" hidden="1" ht="12.75" customHeight="1"/>
    <row r="274" hidden="1" ht="12.75" customHeight="1"/>
    <row r="275" hidden="1" ht="12.75" customHeight="1"/>
    <row r="276" hidden="1" ht="12.75" customHeight="1"/>
    <row r="277" hidden="1" ht="12.75" customHeight="1"/>
    <row r="278" hidden="1" ht="12.75" customHeight="1"/>
    <row r="279" hidden="1" ht="12.75" customHeight="1"/>
    <row r="280" hidden="1" ht="12.75" customHeight="1"/>
    <row r="281" ht="12.75" customHeight="1"/>
    <row r="282" ht="12.75" customHeight="1"/>
    <row r="283" ht="12.75" customHeight="1"/>
    <row r="284" ht="12.75" customHeight="1"/>
    <row r="285" ht="2.2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idden="1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idden="1" ht="12.75" customHeight="1"/>
    <row r="311" hidden="1" ht="12.75" customHeight="1"/>
    <row r="312" ht="12.75" customHeight="1"/>
    <row r="313" ht="12.75" customHeight="1"/>
    <row r="314" ht="12.75" customHeight="1"/>
    <row r="315" ht="12.75" customHeight="1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O315" s="1088" t="n">
        <v>1</v>
      </c>
    </row>
    <row r="316" ht="12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O316" s="1088" t="n">
        <v>1</v>
      </c>
    </row>
    <row r="317" ht="12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O317" s="1088" t="n">
        <v>1</v>
      </c>
    </row>
    <row r="318" ht="12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O318" s="1088" t="n">
        <v>1</v>
      </c>
    </row>
    <row r="319" ht="12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O319" s="1088" t="n">
        <v>1</v>
      </c>
    </row>
    <row r="320" ht="12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O320" s="1088" t="n">
        <v>1</v>
      </c>
    </row>
    <row r="321" ht="12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O321" s="1088" t="n">
        <v>1</v>
      </c>
    </row>
    <row r="322" ht="12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O322" s="1088" t="n">
        <v>1</v>
      </c>
    </row>
    <row r="323" ht="12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O323" s="1088" t="n">
        <v>1</v>
      </c>
    </row>
    <row r="324" ht="12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O324" s="1088" t="n">
        <v>1</v>
      </c>
    </row>
    <row r="325">
      <c r="A325" s="2" t="n"/>
    </row>
    <row r="406">
      <c r="H406" s="33" t="n"/>
      <c r="I406" s="33" t="n">
        <v>12</v>
      </c>
    </row>
    <row r="407" ht="16" customHeight="1">
      <c r="I407" s="440">
        <f>O25/I406</f>
        <v/>
      </c>
    </row>
    <row r="408">
      <c r="H408" t="n">
        <v>70000</v>
      </c>
    </row>
    <row r="409">
      <c r="H409" t="n">
        <v>12</v>
      </c>
    </row>
    <row r="410">
      <c r="H410">
        <f>H408/H409</f>
        <v/>
      </c>
    </row>
  </sheetData>
  <mergeCells count="6">
    <mergeCell ref="BU29:CG58"/>
    <mergeCell ref="BG29:BR55"/>
    <mergeCell ref="AS29:BE52"/>
    <mergeCell ref="Q29:AC52"/>
    <mergeCell ref="C29:O52"/>
    <mergeCell ref="AE29:AQ52"/>
  </mergeCells>
  <conditionalFormatting sqref="B6">
    <cfRule type="cellIs" priority="1" operator="equal" dxfId="2" stopIfTrue="1">
      <formula>"actual"</formula>
    </cfRule>
    <cfRule type="cellIs" priority="2" operator="equal" dxfId="1" stopIfTrue="1">
      <formula>"act/fcst"</formula>
    </cfRule>
    <cfRule type="cellIs" priority="3" operator="equal" dxfId="0" stopIfTrue="1">
      <formula>"budget"</formula>
    </cfRule>
  </conditionalFormatting>
  <dataValidations disablePrompts="1" count="1">
    <dataValidation sqref="B6" showDropDown="0" showInputMessage="1" showErrorMessage="1" allowBlank="1" type="list">
      <formula1>data_type</formula1>
    </dataValidation>
  </dataValidation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>
  <sheetPr codeName="Sheet4">
    <outlinePr summaryBelow="1" summaryRight="1"/>
    <pageSetUpPr/>
  </sheetPr>
  <dimension ref="A1:CG316"/>
  <sheetViews>
    <sheetView zoomScaleNormal="100"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A81" sqref="A81"/>
    </sheetView>
  </sheetViews>
  <sheetFormatPr baseColWidth="10" defaultColWidth="11.1640625" defaultRowHeight="15"/>
  <cols>
    <col collapsed="1" width="52.6640625" bestFit="1" customWidth="1" min="1" max="1"/>
    <col hidden="1" outlineLevel="1" width="12.83203125" customWidth="1" min="2" max="2"/>
    <col collapsed="1" width="5.1640625" customWidth="1" min="3" max="3"/>
    <col width="11.33203125" bestFit="1" customWidth="1" min="4" max="11"/>
    <col width="10.6640625" bestFit="1" customWidth="1" min="12" max="12"/>
    <col width="14" bestFit="1" customWidth="1" min="13" max="13"/>
    <col width="11.33203125" bestFit="1" customWidth="1" min="14" max="16"/>
    <col width="11.33203125" bestFit="1" customWidth="1" min="18" max="30"/>
    <col width="11.33203125" bestFit="1" customWidth="1" min="32" max="42"/>
  </cols>
  <sheetData>
    <row r="1" ht="12.75" customHeight="1">
      <c r="A1" s="931" t="n"/>
      <c r="B1" s="15" t="n"/>
      <c r="C1" s="12" t="n"/>
    </row>
    <row r="2" ht="23.25" customHeight="1">
      <c r="A2" s="77" t="n"/>
      <c r="B2" s="75" t="n"/>
      <c r="C2" s="76" t="n"/>
      <c r="D2" s="683" t="inlineStr">
        <is>
          <t>2025</t>
        </is>
      </c>
      <c r="E2" s="1333" t="n"/>
      <c r="F2" s="1333" t="n"/>
      <c r="G2" s="1333" t="n"/>
      <c r="H2" s="1333" t="n"/>
      <c r="I2" s="1333" t="n"/>
      <c r="J2" s="1333" t="n"/>
      <c r="K2" s="1333" t="n"/>
      <c r="L2" s="1333" t="n"/>
      <c r="M2" s="1333" t="n"/>
      <c r="N2" s="1333" t="n"/>
      <c r="O2" s="1333" t="n"/>
      <c r="P2" s="46" t="n"/>
      <c r="Q2" s="46" t="n"/>
      <c r="R2" s="683" t="inlineStr">
        <is>
          <t>2026</t>
        </is>
      </c>
      <c r="S2" s="1333" t="n"/>
      <c r="T2" s="1333" t="n"/>
      <c r="U2" s="1333" t="n"/>
      <c r="V2" s="1333" t="n"/>
      <c r="W2" s="1333" t="n"/>
      <c r="X2" s="1333" t="n"/>
      <c r="Y2" s="1333" t="n"/>
      <c r="Z2" s="1333" t="n"/>
      <c r="AA2" s="1333" t="n"/>
      <c r="AB2" s="1333" t="n"/>
      <c r="AC2" s="1333" t="n"/>
      <c r="AD2" s="46" t="n"/>
      <c r="AE2" s="46" t="n"/>
      <c r="AF2" s="78" t="n">
        <v>2027</v>
      </c>
      <c r="AG2" s="1333" t="n"/>
      <c r="AH2" s="1333" t="n"/>
      <c r="AI2" s="1333" t="n"/>
      <c r="AJ2" s="1333" t="n"/>
      <c r="AK2" s="1333" t="n"/>
      <c r="AL2" s="1333" t="n"/>
      <c r="AM2" s="1333" t="n"/>
      <c r="AN2" s="1333" t="n"/>
      <c r="AO2" s="1333" t="n"/>
      <c r="AP2" s="1333" t="n"/>
      <c r="AQ2" s="1333" t="n"/>
      <c r="AR2" s="46" t="n"/>
      <c r="AT2" s="78" t="n">
        <v>2028</v>
      </c>
      <c r="AU2" s="1333" t="n"/>
      <c r="AV2" s="1333" t="n"/>
      <c r="AW2" s="1333" t="n"/>
      <c r="AX2" s="1333" t="n"/>
      <c r="AY2" s="1333" t="n"/>
      <c r="AZ2" s="1333" t="n"/>
      <c r="BA2" s="1333" t="n"/>
      <c r="BB2" s="1333" t="n"/>
      <c r="BC2" s="1333" t="n"/>
      <c r="BD2" s="1333" t="n"/>
      <c r="BE2" s="1333" t="n"/>
      <c r="BF2" s="46" t="n"/>
    </row>
    <row r="3" ht="26" customHeight="1" thickBot="1">
      <c r="A3" s="80" t="n"/>
      <c r="B3" s="247" t="inlineStr">
        <is>
          <t xml:space="preserve"> </t>
        </is>
      </c>
      <c r="C3" s="76" t="n"/>
      <c r="D3" s="81" t="n">
        <v>45658</v>
      </c>
      <c r="E3" s="82" t="n">
        <v>45689</v>
      </c>
      <c r="F3" s="82" t="n">
        <v>45717</v>
      </c>
      <c r="G3" s="82" t="n">
        <v>45748</v>
      </c>
      <c r="H3" s="82" t="n">
        <v>45778</v>
      </c>
      <c r="I3" s="82" t="n">
        <v>45809</v>
      </c>
      <c r="J3" s="82" t="n">
        <v>45839</v>
      </c>
      <c r="K3" s="82" t="n">
        <v>45870</v>
      </c>
      <c r="L3" s="82" t="n">
        <v>45901</v>
      </c>
      <c r="M3" s="82" t="n">
        <v>45931</v>
      </c>
      <c r="N3" s="82" t="n">
        <v>45962</v>
      </c>
      <c r="O3" s="82" t="n">
        <v>45992</v>
      </c>
      <c r="P3" s="376" t="inlineStr">
        <is>
          <t>Total</t>
        </is>
      </c>
      <c r="Q3" s="46" t="n"/>
      <c r="R3" s="81" t="n">
        <v>46023</v>
      </c>
      <c r="S3" s="82" t="n">
        <v>46083</v>
      </c>
      <c r="T3" s="82" t="n">
        <v>46082</v>
      </c>
      <c r="U3" s="82" t="n">
        <v>46113</v>
      </c>
      <c r="V3" s="82" t="n">
        <v>46143</v>
      </c>
      <c r="W3" s="82" t="n">
        <v>46174</v>
      </c>
      <c r="X3" s="82" t="n">
        <v>46204</v>
      </c>
      <c r="Y3" s="82" t="n">
        <v>46235</v>
      </c>
      <c r="Z3" s="82" t="n">
        <v>13394</v>
      </c>
      <c r="AA3" s="82" t="n">
        <v>46296</v>
      </c>
      <c r="AB3" s="82" t="n">
        <v>46327</v>
      </c>
      <c r="AC3" s="82" t="n">
        <v>46357</v>
      </c>
      <c r="AD3" s="376" t="inlineStr">
        <is>
          <t>Total</t>
        </is>
      </c>
      <c r="AE3" s="46" t="n"/>
      <c r="AF3" s="81" t="n">
        <v>46388</v>
      </c>
      <c r="AG3" s="82" t="n">
        <v>46419</v>
      </c>
      <c r="AH3" s="82" t="n">
        <v>46447</v>
      </c>
      <c r="AI3" s="82" t="n">
        <v>46478</v>
      </c>
      <c r="AJ3" s="82" t="n">
        <v>46508</v>
      </c>
      <c r="AK3" s="82" t="n">
        <v>46539</v>
      </c>
      <c r="AL3" s="82" t="n">
        <v>46569</v>
      </c>
      <c r="AM3" s="82" t="n">
        <v>46600</v>
      </c>
      <c r="AN3" s="82" t="n">
        <v>46631</v>
      </c>
      <c r="AO3" s="82" t="n">
        <v>46661</v>
      </c>
      <c r="AP3" s="82" t="n">
        <v>46692</v>
      </c>
      <c r="AQ3" s="82" t="n">
        <v>46722</v>
      </c>
      <c r="AR3" s="376" t="inlineStr">
        <is>
          <t>Total</t>
        </is>
      </c>
      <c r="AT3" s="81" t="n">
        <v>46753</v>
      </c>
      <c r="AU3" s="82" t="inlineStr">
        <is>
          <t>2/1/202</t>
        </is>
      </c>
      <c r="AV3" s="82" t="n">
        <v>46813</v>
      </c>
      <c r="AW3" s="82" t="n">
        <v>46844</v>
      </c>
      <c r="AX3" s="82" t="n">
        <v>46874</v>
      </c>
      <c r="AY3" s="82" t="n">
        <v>46905</v>
      </c>
      <c r="AZ3" s="82" t="n">
        <v>46935</v>
      </c>
      <c r="BA3" s="82" t="n">
        <v>46966</v>
      </c>
      <c r="BB3" s="82" t="n">
        <v>46997</v>
      </c>
      <c r="BC3" s="82" t="n">
        <v>47027</v>
      </c>
      <c r="BD3" s="82" t="n">
        <v>47058</v>
      </c>
      <c r="BE3" s="82" t="n">
        <v>46722</v>
      </c>
      <c r="BF3" s="376" t="inlineStr">
        <is>
          <t>Total</t>
        </is>
      </c>
    </row>
    <row r="4" ht="12.75" customHeight="1">
      <c r="A4" s="84" t="n"/>
      <c r="B4" s="75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</row>
    <row r="5" ht="23" customHeight="1">
      <c r="A5" s="375" t="inlineStr">
        <is>
          <t>Sales and Marketing</t>
        </is>
      </c>
      <c r="B5" s="75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T5" s="46" t="n"/>
      <c r="AU5" s="46" t="n"/>
      <c r="AV5" s="46" t="n"/>
      <c r="AW5" s="46" t="n"/>
      <c r="AX5" s="46" t="n"/>
      <c r="AY5" s="46" t="n"/>
      <c r="AZ5" s="46" t="n"/>
      <c r="BA5" s="46" t="n"/>
      <c r="BB5" s="46" t="n"/>
      <c r="BC5" s="46" t="n"/>
      <c r="BD5" s="46" t="n"/>
    </row>
    <row r="6" ht="23" customHeight="1">
      <c r="A6" s="1334" t="inlineStr">
        <is>
          <t xml:space="preserve">Branding </t>
        </is>
      </c>
      <c r="B6" s="1335" t="n"/>
      <c r="C6" s="1336" t="n"/>
      <c r="D6" s="1336" t="n">
        <v>0</v>
      </c>
      <c r="E6" s="1337">
        <f>$D$6</f>
        <v/>
      </c>
      <c r="F6" s="1337">
        <f>$D$6</f>
        <v/>
      </c>
      <c r="G6" s="1337">
        <f>$D$6</f>
        <v/>
      </c>
      <c r="H6" s="1337">
        <f>$D$6</f>
        <v/>
      </c>
      <c r="I6" s="1337">
        <f>$D$6</f>
        <v/>
      </c>
      <c r="J6" s="1337">
        <f>$D$6</f>
        <v/>
      </c>
      <c r="K6" s="1337">
        <f>$D$6</f>
        <v/>
      </c>
      <c r="L6" s="1337">
        <f>$D$6</f>
        <v/>
      </c>
      <c r="M6" s="1337">
        <f>$D$6</f>
        <v/>
      </c>
      <c r="N6" s="1337">
        <f>$D$6</f>
        <v/>
      </c>
      <c r="O6" s="1337">
        <f>$D$6</f>
        <v/>
      </c>
      <c r="P6" s="1338">
        <f>SUM(D6:O6)</f>
        <v/>
      </c>
      <c r="Q6" s="248" t="n"/>
      <c r="R6" s="1336" t="n">
        <v>0</v>
      </c>
      <c r="S6" s="1336">
        <f>$R$6</f>
        <v/>
      </c>
      <c r="T6" s="1336">
        <f>$R$6</f>
        <v/>
      </c>
      <c r="U6" s="1336">
        <f>$R$6</f>
        <v/>
      </c>
      <c r="V6" s="1336">
        <f>$R$6</f>
        <v/>
      </c>
      <c r="W6" s="1336">
        <f>$R$6</f>
        <v/>
      </c>
      <c r="X6" s="1336">
        <f>$R$6</f>
        <v/>
      </c>
      <c r="Y6" s="1336">
        <f>$R$6</f>
        <v/>
      </c>
      <c r="Z6" s="1336">
        <f>$R$6</f>
        <v/>
      </c>
      <c r="AA6" s="1336">
        <f>$R$6</f>
        <v/>
      </c>
      <c r="AB6" s="1336">
        <f>$R$6</f>
        <v/>
      </c>
      <c r="AC6" s="1336">
        <f>$R$6</f>
        <v/>
      </c>
      <c r="AD6" s="1338">
        <f>SUM(R6:AC6)</f>
        <v/>
      </c>
      <c r="AE6" s="248" t="n"/>
      <c r="AF6" s="1336" t="n">
        <v>0</v>
      </c>
      <c r="AG6" s="1336">
        <f>$AF$6</f>
        <v/>
      </c>
      <c r="AH6" s="1336">
        <f>$AF$6</f>
        <v/>
      </c>
      <c r="AI6" s="1336">
        <f>$AF$6</f>
        <v/>
      </c>
      <c r="AJ6" s="1336">
        <f>$AF$6</f>
        <v/>
      </c>
      <c r="AK6" s="1336">
        <f>$AF$6</f>
        <v/>
      </c>
      <c r="AL6" s="1336">
        <f>$AF$6</f>
        <v/>
      </c>
      <c r="AM6" s="1336">
        <f>$AF$6</f>
        <v/>
      </c>
      <c r="AN6" s="1336">
        <f>$AF$6</f>
        <v/>
      </c>
      <c r="AO6" s="1336">
        <f>$AF$6</f>
        <v/>
      </c>
      <c r="AP6" s="1336">
        <f>$AF$6</f>
        <v/>
      </c>
      <c r="AQ6" s="1336">
        <f>$AF$6</f>
        <v/>
      </c>
      <c r="AR6" s="1338">
        <f>SUM(AF6:AQ6)</f>
        <v/>
      </c>
      <c r="AS6" s="236" t="n"/>
      <c r="AT6" s="1336" t="n">
        <v>0</v>
      </c>
      <c r="AU6" s="1336">
        <f>$AT$6</f>
        <v/>
      </c>
      <c r="AV6" s="1336">
        <f>$AT$6</f>
        <v/>
      </c>
      <c r="AW6" s="1336">
        <f>$AT$6</f>
        <v/>
      </c>
      <c r="AX6" s="1336">
        <f>$AT$6</f>
        <v/>
      </c>
      <c r="AY6" s="1336">
        <f>$AT$6</f>
        <v/>
      </c>
      <c r="AZ6" s="1336">
        <f>$AT$6</f>
        <v/>
      </c>
      <c r="BA6" s="1336">
        <f>$AT$6</f>
        <v/>
      </c>
      <c r="BB6" s="1336">
        <f>$AT$6</f>
        <v/>
      </c>
      <c r="BC6" s="1336">
        <f>$AT$6</f>
        <v/>
      </c>
      <c r="BD6" s="1336">
        <f>$AT$6</f>
        <v/>
      </c>
      <c r="BE6" s="1336">
        <f>$AT$6</f>
        <v/>
      </c>
      <c r="BF6" s="1338">
        <f>SUM(AT6:BE6)</f>
        <v/>
      </c>
    </row>
    <row r="7" ht="23" customHeight="1">
      <c r="A7" s="1339" t="inlineStr">
        <is>
          <t xml:space="preserve">Messaging, Persona, </t>
        </is>
      </c>
      <c r="B7" s="1335" t="n"/>
      <c r="C7" s="1336" t="n"/>
      <c r="D7" s="1336" t="n">
        <v>0</v>
      </c>
      <c r="E7" s="1337">
        <f>$D$7</f>
        <v/>
      </c>
      <c r="F7" s="1337">
        <f>$D$7</f>
        <v/>
      </c>
      <c r="G7" s="1337">
        <f>$D$7</f>
        <v/>
      </c>
      <c r="H7" s="1337">
        <f>$D$7</f>
        <v/>
      </c>
      <c r="I7" s="1337">
        <f>$D$7</f>
        <v/>
      </c>
      <c r="J7" s="1337">
        <f>$D$7</f>
        <v/>
      </c>
      <c r="K7" s="1337">
        <f>$D$7</f>
        <v/>
      </c>
      <c r="L7" s="1337">
        <f>$D$7</f>
        <v/>
      </c>
      <c r="M7" s="1337">
        <f>$D$7</f>
        <v/>
      </c>
      <c r="N7" s="1337">
        <f>$D$7</f>
        <v/>
      </c>
      <c r="O7" s="1337">
        <f>$D$7</f>
        <v/>
      </c>
      <c r="P7" s="1338">
        <f>SUM(D7:O7)</f>
        <v/>
      </c>
      <c r="Q7" s="248" t="n"/>
      <c r="R7" s="1336" t="n">
        <v>0</v>
      </c>
      <c r="S7" s="1336">
        <f>$R$7</f>
        <v/>
      </c>
      <c r="T7" s="1336">
        <f>$R$7</f>
        <v/>
      </c>
      <c r="U7" s="1336">
        <f>$R$7</f>
        <v/>
      </c>
      <c r="V7" s="1336">
        <f>$R$7</f>
        <v/>
      </c>
      <c r="W7" s="1336">
        <f>$R$7</f>
        <v/>
      </c>
      <c r="X7" s="1336">
        <f>$R$7</f>
        <v/>
      </c>
      <c r="Y7" s="1336">
        <f>$R$7</f>
        <v/>
      </c>
      <c r="Z7" s="1336">
        <f>$R$7</f>
        <v/>
      </c>
      <c r="AA7" s="1336">
        <f>$R$7</f>
        <v/>
      </c>
      <c r="AB7" s="1336">
        <f>$R$7</f>
        <v/>
      </c>
      <c r="AC7" s="1336">
        <f>$R$7</f>
        <v/>
      </c>
      <c r="AD7" s="1338">
        <f>SUM(R7:AC7)</f>
        <v/>
      </c>
      <c r="AE7" s="248" t="n"/>
      <c r="AF7" s="1336" t="n">
        <v>0</v>
      </c>
      <c r="AG7" s="1336">
        <f>$AF$7</f>
        <v/>
      </c>
      <c r="AH7" s="1336">
        <f>$AF$7</f>
        <v/>
      </c>
      <c r="AI7" s="1336">
        <f>$AF$7</f>
        <v/>
      </c>
      <c r="AJ7" s="1336">
        <f>$AF$7</f>
        <v/>
      </c>
      <c r="AK7" s="1336">
        <f>$AF$7</f>
        <v/>
      </c>
      <c r="AL7" s="1336">
        <f>$AF$7</f>
        <v/>
      </c>
      <c r="AM7" s="1336">
        <f>$AF$7</f>
        <v/>
      </c>
      <c r="AN7" s="1336">
        <f>$AF$7</f>
        <v/>
      </c>
      <c r="AO7" s="1336">
        <f>$AF$7</f>
        <v/>
      </c>
      <c r="AP7" s="1336">
        <f>$AF$7</f>
        <v/>
      </c>
      <c r="AQ7" s="1336">
        <f>$AF$7</f>
        <v/>
      </c>
      <c r="AR7" s="1338">
        <f>SUM(AF7:AQ7)</f>
        <v/>
      </c>
      <c r="AS7" s="236" t="n"/>
      <c r="AT7" s="1336" t="n">
        <v>0</v>
      </c>
      <c r="AU7" s="1336">
        <f>$AT$7</f>
        <v/>
      </c>
      <c r="AV7" s="1336">
        <f>$AT$7</f>
        <v/>
      </c>
      <c r="AW7" s="1336">
        <f>$AT$7</f>
        <v/>
      </c>
      <c r="AX7" s="1336">
        <f>$AT$7</f>
        <v/>
      </c>
      <c r="AY7" s="1336">
        <f>$AT$7</f>
        <v/>
      </c>
      <c r="AZ7" s="1336">
        <f>$AT$7</f>
        <v/>
      </c>
      <c r="BA7" s="1336">
        <f>$AT$7</f>
        <v/>
      </c>
      <c r="BB7" s="1336">
        <f>$AT$7</f>
        <v/>
      </c>
      <c r="BC7" s="1336">
        <f>$AT$7</f>
        <v/>
      </c>
      <c r="BD7" s="1336">
        <f>$AT$7</f>
        <v/>
      </c>
      <c r="BE7" s="1336">
        <f>$AT$7</f>
        <v/>
      </c>
      <c r="BF7" s="1338">
        <f>SUM(AT7:BE7)</f>
        <v/>
      </c>
    </row>
    <row r="8" ht="34" customHeight="1">
      <c r="A8" s="1340" t="inlineStr">
        <is>
          <t>Website Development. (SEO, E Commerce Enablement)</t>
        </is>
      </c>
      <c r="B8" s="1335" t="n"/>
      <c r="C8" s="1336" t="n"/>
      <c r="D8" s="1336" t="n">
        <v>0</v>
      </c>
      <c r="E8" s="1337">
        <f>$D$8</f>
        <v/>
      </c>
      <c r="F8" s="1337">
        <f>$D$8</f>
        <v/>
      </c>
      <c r="G8" s="1337">
        <f>$D$8</f>
        <v/>
      </c>
      <c r="H8" s="1337">
        <f>$D$8</f>
        <v/>
      </c>
      <c r="I8" s="1337">
        <f>$D$8</f>
        <v/>
      </c>
      <c r="J8" s="1337">
        <f>$D$8</f>
        <v/>
      </c>
      <c r="K8" s="1337">
        <f>$D$8</f>
        <v/>
      </c>
      <c r="L8" s="1337">
        <f>$D$8</f>
        <v/>
      </c>
      <c r="M8" s="1337">
        <f>$D$8</f>
        <v/>
      </c>
      <c r="N8" s="1337">
        <f>$D$8</f>
        <v/>
      </c>
      <c r="O8" s="1337">
        <f>$D$8</f>
        <v/>
      </c>
      <c r="P8" s="1338">
        <f>SUM(D8:O8)</f>
        <v/>
      </c>
      <c r="Q8" s="248" t="n"/>
      <c r="R8" s="1336" t="n">
        <v>0</v>
      </c>
      <c r="S8" s="1336">
        <f>$R$8</f>
        <v/>
      </c>
      <c r="T8" s="1336">
        <f>$R$8</f>
        <v/>
      </c>
      <c r="U8" s="1336">
        <f>$R$8</f>
        <v/>
      </c>
      <c r="V8" s="1336">
        <f>$R$8</f>
        <v/>
      </c>
      <c r="W8" s="1336">
        <f>$R$8</f>
        <v/>
      </c>
      <c r="X8" s="1336">
        <f>$R$8</f>
        <v/>
      </c>
      <c r="Y8" s="1336">
        <f>$R$8</f>
        <v/>
      </c>
      <c r="Z8" s="1336">
        <f>$R$8</f>
        <v/>
      </c>
      <c r="AA8" s="1336">
        <f>$R$8</f>
        <v/>
      </c>
      <c r="AB8" s="1336">
        <f>$R$8</f>
        <v/>
      </c>
      <c r="AC8" s="1336">
        <f>$R$8</f>
        <v/>
      </c>
      <c r="AD8" s="1338">
        <f>SUM(R8:AC8)</f>
        <v/>
      </c>
      <c r="AE8" s="248" t="n"/>
      <c r="AF8" s="1336" t="n">
        <v>0</v>
      </c>
      <c r="AG8" s="1336">
        <f>$AF$8</f>
        <v/>
      </c>
      <c r="AH8" s="1336">
        <f>$AF$8</f>
        <v/>
      </c>
      <c r="AI8" s="1336">
        <f>$AF$8</f>
        <v/>
      </c>
      <c r="AJ8" s="1336">
        <f>$AF$8</f>
        <v/>
      </c>
      <c r="AK8" s="1336">
        <f>$AF$8</f>
        <v/>
      </c>
      <c r="AL8" s="1336">
        <f>$AF$8</f>
        <v/>
      </c>
      <c r="AM8" s="1336">
        <f>$AF$8</f>
        <v/>
      </c>
      <c r="AN8" s="1336">
        <f>$AF$8</f>
        <v/>
      </c>
      <c r="AO8" s="1336">
        <f>$AF$8</f>
        <v/>
      </c>
      <c r="AP8" s="1336">
        <f>$AF$8</f>
        <v/>
      </c>
      <c r="AQ8" s="1336">
        <f>$AF$8</f>
        <v/>
      </c>
      <c r="AR8" s="1338">
        <f>SUM(AF8:AQ8)</f>
        <v/>
      </c>
      <c r="AS8" s="236" t="n"/>
      <c r="AT8" s="1336" t="n">
        <v>0</v>
      </c>
      <c r="AU8" s="1336">
        <f>$AT$8</f>
        <v/>
      </c>
      <c r="AV8" s="1336">
        <f>$AT$8</f>
        <v/>
      </c>
      <c r="AW8" s="1336">
        <f>$AT$8</f>
        <v/>
      </c>
      <c r="AX8" s="1336">
        <f>$AT$8</f>
        <v/>
      </c>
      <c r="AY8" s="1336">
        <f>$AT$8</f>
        <v/>
      </c>
      <c r="AZ8" s="1336">
        <f>$AT$8</f>
        <v/>
      </c>
      <c r="BA8" s="1336">
        <f>$AT$8</f>
        <v/>
      </c>
      <c r="BB8" s="1336">
        <f>$AT$8</f>
        <v/>
      </c>
      <c r="BC8" s="1336">
        <f>$AT$8</f>
        <v/>
      </c>
      <c r="BD8" s="1336">
        <f>$AT$8</f>
        <v/>
      </c>
      <c r="BE8" s="1336">
        <f>$AT$8</f>
        <v/>
      </c>
      <c r="BF8" s="1338">
        <f>SUM(AT8:BE8)</f>
        <v/>
      </c>
    </row>
    <row r="9" ht="23" customHeight="1">
      <c r="A9" s="1339" t="inlineStr">
        <is>
          <t xml:space="preserve">Collateral by persona (3), Pitch, Digital One Page </t>
        </is>
      </c>
      <c r="B9" s="1335" t="n"/>
      <c r="C9" s="1336" t="n"/>
      <c r="D9" s="1336" t="n">
        <v>0</v>
      </c>
      <c r="E9" s="1337">
        <f>$D$9</f>
        <v/>
      </c>
      <c r="F9" s="1337">
        <f>$D$9</f>
        <v/>
      </c>
      <c r="G9" s="1337">
        <f>$D$9</f>
        <v/>
      </c>
      <c r="H9" s="1337">
        <f>$D$9</f>
        <v/>
      </c>
      <c r="I9" s="1337">
        <f>$D$9</f>
        <v/>
      </c>
      <c r="J9" s="1337">
        <f>$D$9</f>
        <v/>
      </c>
      <c r="K9" s="1337">
        <f>$D$9</f>
        <v/>
      </c>
      <c r="L9" s="1337">
        <f>$D$9</f>
        <v/>
      </c>
      <c r="M9" s="1337">
        <f>$D$9</f>
        <v/>
      </c>
      <c r="N9" s="1337">
        <f>$D$9</f>
        <v/>
      </c>
      <c r="O9" s="1337">
        <f>$D$9</f>
        <v/>
      </c>
      <c r="P9" s="1338">
        <f>SUM(D9:O9)</f>
        <v/>
      </c>
      <c r="Q9" s="248" t="n"/>
      <c r="R9" s="1336" t="n">
        <v>0</v>
      </c>
      <c r="S9" s="1336">
        <f>$R$9</f>
        <v/>
      </c>
      <c r="T9" s="1336">
        <f>$R$9</f>
        <v/>
      </c>
      <c r="U9" s="1336">
        <f>$R$9</f>
        <v/>
      </c>
      <c r="V9" s="1336">
        <f>$R$9</f>
        <v/>
      </c>
      <c r="W9" s="1336">
        <f>$R$9</f>
        <v/>
      </c>
      <c r="X9" s="1336">
        <f>$R$9</f>
        <v/>
      </c>
      <c r="Y9" s="1336">
        <f>$R$9</f>
        <v/>
      </c>
      <c r="Z9" s="1336">
        <f>$R$9</f>
        <v/>
      </c>
      <c r="AA9" s="1336">
        <f>$R$9</f>
        <v/>
      </c>
      <c r="AB9" s="1336">
        <f>$R$9</f>
        <v/>
      </c>
      <c r="AC9" s="1336">
        <f>$R$9</f>
        <v/>
      </c>
      <c r="AD9" s="1338">
        <f>SUM(R9:AC9)</f>
        <v/>
      </c>
      <c r="AE9" s="248" t="n"/>
      <c r="AF9" s="1336" t="n">
        <v>0</v>
      </c>
      <c r="AG9" s="1336">
        <f>$AF$9</f>
        <v/>
      </c>
      <c r="AH9" s="1336">
        <f>$AF$9</f>
        <v/>
      </c>
      <c r="AI9" s="1336">
        <f>$AF$9</f>
        <v/>
      </c>
      <c r="AJ9" s="1336">
        <f>$AF$9</f>
        <v/>
      </c>
      <c r="AK9" s="1336">
        <f>$AF$9</f>
        <v/>
      </c>
      <c r="AL9" s="1336">
        <f>$AF$9</f>
        <v/>
      </c>
      <c r="AM9" s="1336">
        <f>$AF$9</f>
        <v/>
      </c>
      <c r="AN9" s="1336">
        <f>$AF$9</f>
        <v/>
      </c>
      <c r="AO9" s="1336">
        <f>$AF$9</f>
        <v/>
      </c>
      <c r="AP9" s="1336">
        <f>$AF$9</f>
        <v/>
      </c>
      <c r="AQ9" s="1336">
        <f>$AF$9</f>
        <v/>
      </c>
      <c r="AR9" s="1338">
        <f>SUM(AF9:AQ9)</f>
        <v/>
      </c>
      <c r="AS9" s="236" t="n"/>
      <c r="AT9" s="1336" t="n">
        <v>0</v>
      </c>
      <c r="AU9" s="1336">
        <f>$AT$9</f>
        <v/>
      </c>
      <c r="AV9" s="1336">
        <f>$AT$9</f>
        <v/>
      </c>
      <c r="AW9" s="1336">
        <f>$AT$9</f>
        <v/>
      </c>
      <c r="AX9" s="1336">
        <f>$AT$9</f>
        <v/>
      </c>
      <c r="AY9" s="1336">
        <f>$AT$9</f>
        <v/>
      </c>
      <c r="AZ9" s="1336">
        <f>$AT$9</f>
        <v/>
      </c>
      <c r="BA9" s="1336">
        <f>$AT$9</f>
        <v/>
      </c>
      <c r="BB9" s="1336">
        <f>$AT$9</f>
        <v/>
      </c>
      <c r="BC9" s="1336">
        <f>$AT$9</f>
        <v/>
      </c>
      <c r="BD9" s="1336">
        <f>$AT$9</f>
        <v/>
      </c>
      <c r="BE9" s="1336">
        <f>$AT$9</f>
        <v/>
      </c>
      <c r="BF9" s="1338">
        <f>SUM(AT9:BE9)</f>
        <v/>
      </c>
    </row>
    <row r="10" ht="23" customHeight="1">
      <c r="A10" s="1334" t="inlineStr">
        <is>
          <t xml:space="preserve">Digital Marketing </t>
        </is>
      </c>
      <c r="B10" s="1335" t="n"/>
      <c r="C10" s="1336" t="n"/>
      <c r="D10" s="1336" t="n">
        <v>0</v>
      </c>
      <c r="E10" s="1337">
        <f>$D$10</f>
        <v/>
      </c>
      <c r="F10" s="1337">
        <f>$D$10</f>
        <v/>
      </c>
      <c r="G10" s="1337">
        <f>$D$10</f>
        <v/>
      </c>
      <c r="H10" s="1337">
        <f>$D$10</f>
        <v/>
      </c>
      <c r="I10" s="1337">
        <f>$D$10</f>
        <v/>
      </c>
      <c r="J10" s="1337">
        <f>$D$10</f>
        <v/>
      </c>
      <c r="K10" s="1337">
        <f>$D$10</f>
        <v/>
      </c>
      <c r="L10" s="1337">
        <f>$D$10</f>
        <v/>
      </c>
      <c r="M10" s="1337">
        <f>$D$10</f>
        <v/>
      </c>
      <c r="N10" s="1337">
        <f>$D$10</f>
        <v/>
      </c>
      <c r="O10" s="1337">
        <f>$D$10</f>
        <v/>
      </c>
      <c r="P10" s="1338">
        <f>SUM(D10:O10)</f>
        <v/>
      </c>
      <c r="Q10" s="248" t="n"/>
      <c r="R10" s="1336" t="n">
        <v>0</v>
      </c>
      <c r="S10" s="1336">
        <f>$R$10</f>
        <v/>
      </c>
      <c r="T10" s="1336">
        <f>$R$10</f>
        <v/>
      </c>
      <c r="U10" s="1336">
        <f>$R$10</f>
        <v/>
      </c>
      <c r="V10" s="1336">
        <f>$R$10</f>
        <v/>
      </c>
      <c r="W10" s="1336">
        <f>$R$10</f>
        <v/>
      </c>
      <c r="X10" s="1336">
        <f>$R$10</f>
        <v/>
      </c>
      <c r="Y10" s="1336">
        <f>$R$10</f>
        <v/>
      </c>
      <c r="Z10" s="1336">
        <f>$R$10</f>
        <v/>
      </c>
      <c r="AA10" s="1336">
        <f>$R$10</f>
        <v/>
      </c>
      <c r="AB10" s="1336">
        <f>$R$10</f>
        <v/>
      </c>
      <c r="AC10" s="1336">
        <f>$R$10</f>
        <v/>
      </c>
      <c r="AD10" s="1338">
        <f>SUM(R10:AC10)</f>
        <v/>
      </c>
      <c r="AE10" s="248" t="n"/>
      <c r="AF10" s="1336" t="n">
        <v>0</v>
      </c>
      <c r="AG10" s="1336">
        <f>$AF$10</f>
        <v/>
      </c>
      <c r="AH10" s="1336">
        <f>$AF$10</f>
        <v/>
      </c>
      <c r="AI10" s="1336">
        <f>$AF$10</f>
        <v/>
      </c>
      <c r="AJ10" s="1336">
        <f>$AF$10</f>
        <v/>
      </c>
      <c r="AK10" s="1336">
        <f>$AF$10</f>
        <v/>
      </c>
      <c r="AL10" s="1336">
        <f>$AF$10</f>
        <v/>
      </c>
      <c r="AM10" s="1336">
        <f>$AF$10</f>
        <v/>
      </c>
      <c r="AN10" s="1336">
        <f>$AF$10</f>
        <v/>
      </c>
      <c r="AO10" s="1336">
        <f>$AF$10</f>
        <v/>
      </c>
      <c r="AP10" s="1336">
        <f>$AF$10</f>
        <v/>
      </c>
      <c r="AQ10" s="1336">
        <f>$AF$10</f>
        <v/>
      </c>
      <c r="AR10" s="1338">
        <f>SUM(AF10:AQ10)</f>
        <v/>
      </c>
      <c r="AS10" s="236" t="n"/>
      <c r="AT10" s="1336" t="n">
        <v>0</v>
      </c>
      <c r="AU10" s="1336">
        <f>$AT$10</f>
        <v/>
      </c>
      <c r="AV10" s="1336">
        <f>$AT$10</f>
        <v/>
      </c>
      <c r="AW10" s="1336">
        <f>$AT$10</f>
        <v/>
      </c>
      <c r="AX10" s="1336">
        <f>$AT$10</f>
        <v/>
      </c>
      <c r="AY10" s="1336">
        <f>$AT$10</f>
        <v/>
      </c>
      <c r="AZ10" s="1336">
        <f>$AT$10</f>
        <v/>
      </c>
      <c r="BA10" s="1336">
        <f>$AT$10</f>
        <v/>
      </c>
      <c r="BB10" s="1336">
        <f>$AT$10</f>
        <v/>
      </c>
      <c r="BC10" s="1336">
        <f>$AT$10</f>
        <v/>
      </c>
      <c r="BD10" s="1336">
        <f>$AT$10</f>
        <v/>
      </c>
      <c r="BE10" s="1336">
        <f>$AT$10</f>
        <v/>
      </c>
      <c r="BF10" s="1338">
        <f>SUM(AT10:BE10)</f>
        <v/>
      </c>
    </row>
    <row r="11" ht="23" customHeight="1">
      <c r="A11" s="1339" t="inlineStr">
        <is>
          <t>Social Media Strategy</t>
        </is>
      </c>
      <c r="B11" s="1335" t="n"/>
      <c r="C11" s="1336" t="n"/>
      <c r="D11" s="1336" t="n">
        <v>0</v>
      </c>
      <c r="E11" s="1337">
        <f>$D$11</f>
        <v/>
      </c>
      <c r="F11" s="1337">
        <f>$D$11</f>
        <v/>
      </c>
      <c r="G11" s="1337">
        <f>$D$11</f>
        <v/>
      </c>
      <c r="H11" s="1337">
        <f>$D$11</f>
        <v/>
      </c>
      <c r="I11" s="1337">
        <f>$D$11</f>
        <v/>
      </c>
      <c r="J11" s="1337">
        <f>$D$11</f>
        <v/>
      </c>
      <c r="K11" s="1337">
        <f>$D$11</f>
        <v/>
      </c>
      <c r="L11" s="1337">
        <f>$D$11</f>
        <v/>
      </c>
      <c r="M11" s="1337">
        <f>$D$11</f>
        <v/>
      </c>
      <c r="N11" s="1337">
        <f>$D$11</f>
        <v/>
      </c>
      <c r="O11" s="1337">
        <f>$D$11</f>
        <v/>
      </c>
      <c r="P11" s="1338">
        <f>SUM(D11:O11)</f>
        <v/>
      </c>
      <c r="Q11" s="248" t="n"/>
      <c r="R11" s="1336" t="n">
        <v>0</v>
      </c>
      <c r="S11" s="1336">
        <f>$R$11</f>
        <v/>
      </c>
      <c r="T11" s="1336">
        <f>$R$11</f>
        <v/>
      </c>
      <c r="U11" s="1336">
        <f>$R$11</f>
        <v/>
      </c>
      <c r="V11" s="1336">
        <f>$R$11</f>
        <v/>
      </c>
      <c r="W11" s="1336">
        <f>$R$11</f>
        <v/>
      </c>
      <c r="X11" s="1336">
        <f>$R$11</f>
        <v/>
      </c>
      <c r="Y11" s="1336">
        <f>$R$11</f>
        <v/>
      </c>
      <c r="Z11" s="1336">
        <f>$R$11</f>
        <v/>
      </c>
      <c r="AA11" s="1336">
        <f>$R$11</f>
        <v/>
      </c>
      <c r="AB11" s="1336">
        <f>$R$11</f>
        <v/>
      </c>
      <c r="AC11" s="1336">
        <f>$R$11</f>
        <v/>
      </c>
      <c r="AD11" s="1338">
        <f>SUM(R11:AC11)</f>
        <v/>
      </c>
      <c r="AE11" s="248" t="n"/>
      <c r="AF11" s="1336" t="n">
        <v>0</v>
      </c>
      <c r="AG11" s="1336">
        <f>$AF$11</f>
        <v/>
      </c>
      <c r="AH11" s="1336">
        <f>$AF$11</f>
        <v/>
      </c>
      <c r="AI11" s="1336">
        <f>$AF$11</f>
        <v/>
      </c>
      <c r="AJ11" s="1336">
        <f>$AF$11</f>
        <v/>
      </c>
      <c r="AK11" s="1336">
        <f>$AF$11</f>
        <v/>
      </c>
      <c r="AL11" s="1336">
        <f>$AF$11</f>
        <v/>
      </c>
      <c r="AM11" s="1336">
        <f>$AF$11</f>
        <v/>
      </c>
      <c r="AN11" s="1336">
        <f>$AF$11</f>
        <v/>
      </c>
      <c r="AO11" s="1336">
        <f>$AF$11</f>
        <v/>
      </c>
      <c r="AP11" s="1336">
        <f>$AF$11</f>
        <v/>
      </c>
      <c r="AQ11" s="1336">
        <f>$AF$11</f>
        <v/>
      </c>
      <c r="AR11" s="1338">
        <f>SUM(AF11:AQ11)</f>
        <v/>
      </c>
      <c r="AS11" s="236" t="n"/>
      <c r="AT11" s="1336" t="n">
        <v>3575</v>
      </c>
      <c r="AU11" s="1336">
        <f>$AT$11</f>
        <v/>
      </c>
      <c r="AV11" s="1336">
        <f>$AT$11</f>
        <v/>
      </c>
      <c r="AW11" s="1336">
        <f>$AT$11</f>
        <v/>
      </c>
      <c r="AX11" s="1336">
        <f>$AT$11</f>
        <v/>
      </c>
      <c r="AY11" s="1336">
        <f>$AT$11</f>
        <v/>
      </c>
      <c r="AZ11" s="1336">
        <f>$AT$11</f>
        <v/>
      </c>
      <c r="BA11" s="1336">
        <f>$AT$11</f>
        <v/>
      </c>
      <c r="BB11" s="1336">
        <f>$AT$11</f>
        <v/>
      </c>
      <c r="BC11" s="1336">
        <f>$AT$11</f>
        <v/>
      </c>
      <c r="BD11" s="1336">
        <f>$AT$11</f>
        <v/>
      </c>
      <c r="BE11" s="1336">
        <f>$AT$11</f>
        <v/>
      </c>
      <c r="BF11" s="1338">
        <f>SUM(AT11:BE11)</f>
        <v/>
      </c>
    </row>
    <row r="12" ht="23" customHeight="1">
      <c r="A12" s="1339" t="inlineStr">
        <is>
          <t>Market fullfillment (SEM, e-mail, social, etc)</t>
        </is>
      </c>
      <c r="B12" s="1335" t="n"/>
      <c r="C12" s="1336" t="n"/>
      <c r="D12" s="1336" t="n">
        <v>2175</v>
      </c>
      <c r="E12" s="1337">
        <f>$D$12</f>
        <v/>
      </c>
      <c r="F12" s="1337">
        <f>$D$12</f>
        <v/>
      </c>
      <c r="G12" s="1337">
        <f>$D$12</f>
        <v/>
      </c>
      <c r="H12" s="1337">
        <f>$D$12</f>
        <v/>
      </c>
      <c r="I12" s="1337">
        <f>$D$12</f>
        <v/>
      </c>
      <c r="J12" s="1337">
        <f>$D$12</f>
        <v/>
      </c>
      <c r="K12" s="1337">
        <f>$D$12</f>
        <v/>
      </c>
      <c r="L12" s="1337">
        <f>$D$12</f>
        <v/>
      </c>
      <c r="M12" s="1337">
        <f>$D$12</f>
        <v/>
      </c>
      <c r="N12" s="1337">
        <f>$D$12</f>
        <v/>
      </c>
      <c r="O12" s="1337">
        <f>$D$12</f>
        <v/>
      </c>
      <c r="P12" s="1338">
        <f>SUM(D12:O12)</f>
        <v/>
      </c>
      <c r="Q12" s="248" t="n"/>
      <c r="R12" s="1336" t="n">
        <v>2175</v>
      </c>
      <c r="S12" s="1336">
        <f>$R$12</f>
        <v/>
      </c>
      <c r="T12" s="1336">
        <f>$R$12</f>
        <v/>
      </c>
      <c r="U12" s="1336">
        <f>$R$12</f>
        <v/>
      </c>
      <c r="V12" s="1336">
        <f>$R$12</f>
        <v/>
      </c>
      <c r="W12" s="1336">
        <f>$R$12</f>
        <v/>
      </c>
      <c r="X12" s="1336">
        <f>$R$12</f>
        <v/>
      </c>
      <c r="Y12" s="1336">
        <f>$R$12</f>
        <v/>
      </c>
      <c r="Z12" s="1336">
        <f>$R$12</f>
        <v/>
      </c>
      <c r="AA12" s="1336">
        <f>$R$12</f>
        <v/>
      </c>
      <c r="AB12" s="1336">
        <f>$R$12</f>
        <v/>
      </c>
      <c r="AC12" s="1336">
        <f>$R$12</f>
        <v/>
      </c>
      <c r="AD12" s="1338">
        <f>SUM(R12:AC12)</f>
        <v/>
      </c>
      <c r="AE12" s="248" t="n"/>
      <c r="AF12" s="1336" t="n">
        <v>2175</v>
      </c>
      <c r="AG12" s="1336">
        <f>$AF$12</f>
        <v/>
      </c>
      <c r="AH12" s="1336">
        <f>$AF$12</f>
        <v/>
      </c>
      <c r="AI12" s="1336">
        <f>$AF$12</f>
        <v/>
      </c>
      <c r="AJ12" s="1336">
        <f>$AF$12</f>
        <v/>
      </c>
      <c r="AK12" s="1336">
        <f>$AF$12</f>
        <v/>
      </c>
      <c r="AL12" s="1336">
        <f>$AF$12</f>
        <v/>
      </c>
      <c r="AM12" s="1336">
        <f>$AF$12</f>
        <v/>
      </c>
      <c r="AN12" s="1336">
        <f>$AF$12</f>
        <v/>
      </c>
      <c r="AO12" s="1336">
        <f>$AF$12</f>
        <v/>
      </c>
      <c r="AP12" s="1336">
        <f>$AF$12</f>
        <v/>
      </c>
      <c r="AQ12" s="1336">
        <f>$AF$12</f>
        <v/>
      </c>
      <c r="AR12" s="1338">
        <f>SUM(AF12:AQ12)</f>
        <v/>
      </c>
      <c r="AS12" s="236" t="n"/>
      <c r="AT12" s="1336" t="n">
        <v>750</v>
      </c>
      <c r="AU12" s="1336">
        <f>$AT$12</f>
        <v/>
      </c>
      <c r="AV12" s="1336">
        <f>$AT$12</f>
        <v/>
      </c>
      <c r="AW12" s="1336">
        <f>$AT$12</f>
        <v/>
      </c>
      <c r="AX12" s="1336">
        <f>$AT$12</f>
        <v/>
      </c>
      <c r="AY12" s="1336">
        <f>$AT$12</f>
        <v/>
      </c>
      <c r="AZ12" s="1336">
        <f>$AT$12</f>
        <v/>
      </c>
      <c r="BA12" s="1336">
        <f>$AT$12</f>
        <v/>
      </c>
      <c r="BB12" s="1336">
        <f>$AT$12</f>
        <v/>
      </c>
      <c r="BC12" s="1336">
        <f>$AT$12</f>
        <v/>
      </c>
      <c r="BD12" s="1336">
        <f>$AT$12</f>
        <v/>
      </c>
      <c r="BE12" s="1336">
        <f>$AT$12</f>
        <v/>
      </c>
      <c r="BF12" s="1338">
        <f>SUM(AT12:BE12)</f>
        <v/>
      </c>
      <c r="BG12" s="236" t="n"/>
      <c r="BH12" s="236" t="n"/>
      <c r="BI12" s="236" t="n"/>
      <c r="BJ12" s="236" t="n"/>
      <c r="BK12" s="236" t="n"/>
      <c r="BL12" s="236" t="n"/>
      <c r="BM12" s="236" t="n"/>
      <c r="BN12" s="236" t="n"/>
      <c r="BO12" s="236" t="n"/>
      <c r="BP12" s="236" t="n"/>
      <c r="BQ12" s="236" t="n"/>
      <c r="BR12" s="236" t="n"/>
      <c r="BS12" s="236" t="n"/>
      <c r="BT12" s="236" t="n"/>
      <c r="BU12" s="236" t="n"/>
      <c r="BV12" s="236" t="n"/>
      <c r="BW12" s="236" t="n"/>
      <c r="BX12" s="236" t="n"/>
      <c r="BY12" s="236" t="n"/>
      <c r="BZ12" s="236" t="n"/>
      <c r="CA12" s="236" t="n"/>
      <c r="CB12" s="236" t="n"/>
      <c r="CC12" s="236" t="n"/>
      <c r="CD12" s="236" t="n"/>
      <c r="CE12" s="236" t="n"/>
      <c r="CF12" s="236" t="n"/>
      <c r="CG12" s="236" t="n"/>
    </row>
    <row r="13" ht="23" customHeight="1">
      <c r="A13" s="1339" t="inlineStr">
        <is>
          <t>Blog</t>
        </is>
      </c>
      <c r="B13" s="1335" t="n"/>
      <c r="C13" s="1336" t="n"/>
      <c r="D13" s="1336" t="n">
        <v>500</v>
      </c>
      <c r="E13" s="1337">
        <f>$D$13</f>
        <v/>
      </c>
      <c r="F13" s="1337">
        <f>$D$13</f>
        <v/>
      </c>
      <c r="G13" s="1337">
        <f>$D$13</f>
        <v/>
      </c>
      <c r="H13" s="1337">
        <f>$D$13</f>
        <v/>
      </c>
      <c r="I13" s="1337">
        <f>$D$13</f>
        <v/>
      </c>
      <c r="J13" s="1337">
        <f>$D$13</f>
        <v/>
      </c>
      <c r="K13" s="1337">
        <f>$D$13</f>
        <v/>
      </c>
      <c r="L13" s="1337">
        <f>$D$13</f>
        <v/>
      </c>
      <c r="M13" s="1337">
        <f>$D$13</f>
        <v/>
      </c>
      <c r="N13" s="1337">
        <f>$D$13</f>
        <v/>
      </c>
      <c r="O13" s="1337">
        <f>$D$13</f>
        <v/>
      </c>
      <c r="P13" s="1338">
        <f>SUM(D13:O13)</f>
        <v/>
      </c>
      <c r="Q13" s="248" t="n"/>
      <c r="R13" s="1336" t="n">
        <v>500</v>
      </c>
      <c r="S13" s="1336">
        <f>$R$13</f>
        <v/>
      </c>
      <c r="T13" s="1336">
        <f>$R$13</f>
        <v/>
      </c>
      <c r="U13" s="1336">
        <f>$R$13</f>
        <v/>
      </c>
      <c r="V13" s="1336">
        <f>$R$13</f>
        <v/>
      </c>
      <c r="W13" s="1336">
        <f>$R$13</f>
        <v/>
      </c>
      <c r="X13" s="1336">
        <f>$R$13</f>
        <v/>
      </c>
      <c r="Y13" s="1336">
        <f>$R$13</f>
        <v/>
      </c>
      <c r="Z13" s="1336">
        <f>$R$13</f>
        <v/>
      </c>
      <c r="AA13" s="1336">
        <f>$R$13</f>
        <v/>
      </c>
      <c r="AB13" s="1336">
        <f>$R$13</f>
        <v/>
      </c>
      <c r="AC13" s="1336">
        <f>$R$13</f>
        <v/>
      </c>
      <c r="AD13" s="1338">
        <f>SUM(R13:AC13)</f>
        <v/>
      </c>
      <c r="AE13" s="248" t="n"/>
      <c r="AF13" s="1336" t="n">
        <v>500</v>
      </c>
      <c r="AG13" s="1336">
        <f>$AF$13</f>
        <v/>
      </c>
      <c r="AH13" s="1336">
        <f>$AF$13</f>
        <v/>
      </c>
      <c r="AI13" s="1336">
        <f>$AF$13</f>
        <v/>
      </c>
      <c r="AJ13" s="1336">
        <f>$AF$13</f>
        <v/>
      </c>
      <c r="AK13" s="1336">
        <f>$AF$13</f>
        <v/>
      </c>
      <c r="AL13" s="1336">
        <f>$AF$13</f>
        <v/>
      </c>
      <c r="AM13" s="1336">
        <f>$AF$13</f>
        <v/>
      </c>
      <c r="AN13" s="1336">
        <f>$AF$13</f>
        <v/>
      </c>
      <c r="AO13" s="1336">
        <f>$AF$13</f>
        <v/>
      </c>
      <c r="AP13" s="1336">
        <f>$AF$13</f>
        <v/>
      </c>
      <c r="AQ13" s="1336">
        <f>$AF$13</f>
        <v/>
      </c>
      <c r="AR13" s="1338">
        <f>SUM(AF13:AQ13)</f>
        <v/>
      </c>
      <c r="AS13" s="236" t="n"/>
      <c r="AT13" s="1336" t="n">
        <v>2000</v>
      </c>
      <c r="AU13" s="1336">
        <f>$AT$13</f>
        <v/>
      </c>
      <c r="AV13" s="1336">
        <f>$AT$13</f>
        <v/>
      </c>
      <c r="AW13" s="1336">
        <f>$AT$13</f>
        <v/>
      </c>
      <c r="AX13" s="1336">
        <f>$AT$13</f>
        <v/>
      </c>
      <c r="AY13" s="1336">
        <f>$AT$13</f>
        <v/>
      </c>
      <c r="AZ13" s="1336">
        <f>$AT$13</f>
        <v/>
      </c>
      <c r="BA13" s="1336">
        <f>$AT$13</f>
        <v/>
      </c>
      <c r="BB13" s="1336">
        <f>$AT$13</f>
        <v/>
      </c>
      <c r="BC13" s="1336">
        <f>$AT$13</f>
        <v/>
      </c>
      <c r="BD13" s="1336">
        <f>$AT$13</f>
        <v/>
      </c>
      <c r="BE13" s="1336">
        <f>$AT$13</f>
        <v/>
      </c>
      <c r="BF13" s="1338">
        <f>SUM(AT13:BE13)</f>
        <v/>
      </c>
      <c r="BG13" s="236" t="n"/>
      <c r="BH13" s="236" t="n"/>
      <c r="BI13" s="236" t="n"/>
      <c r="BJ13" s="236" t="n"/>
      <c r="BK13" s="236" t="n"/>
      <c r="BL13" s="236" t="n"/>
      <c r="BM13" s="236" t="n"/>
      <c r="BN13" s="236" t="n"/>
      <c r="BO13" s="236" t="n"/>
      <c r="BP13" s="236" t="n"/>
      <c r="BQ13" s="236" t="n"/>
      <c r="BR13" s="236" t="n"/>
      <c r="BS13" s="236" t="n"/>
      <c r="BT13" s="236" t="n"/>
      <c r="BU13" s="236" t="n"/>
      <c r="BV13" s="236" t="n"/>
      <c r="BW13" s="236" t="n"/>
      <c r="BX13" s="236" t="n"/>
      <c r="BY13" s="236" t="n"/>
      <c r="BZ13" s="236" t="n"/>
      <c r="CA13" s="236" t="n"/>
      <c r="CB13" s="236" t="n"/>
      <c r="CC13" s="236" t="n"/>
      <c r="CD13" s="236" t="n"/>
      <c r="CE13" s="236" t="n"/>
      <c r="CF13" s="236" t="n"/>
      <c r="CG13" s="236" t="n"/>
    </row>
    <row r="14" ht="23" customHeight="1">
      <c r="A14" s="1339" t="inlineStr">
        <is>
          <t>Account Based Marketing programming by customer</t>
        </is>
      </c>
      <c r="B14" s="1335" t="n"/>
      <c r="C14" s="1336" t="n"/>
      <c r="D14" s="1336" t="n">
        <v>2000</v>
      </c>
      <c r="E14" s="1337">
        <f>$D$14</f>
        <v/>
      </c>
      <c r="F14" s="1337">
        <f>$D$14</f>
        <v/>
      </c>
      <c r="G14" s="1337">
        <f>$D$14</f>
        <v/>
      </c>
      <c r="H14" s="1337">
        <f>$D$14</f>
        <v/>
      </c>
      <c r="I14" s="1337">
        <f>$D$14</f>
        <v/>
      </c>
      <c r="J14" s="1337">
        <f>$D$14</f>
        <v/>
      </c>
      <c r="K14" s="1337">
        <f>$D$14</f>
        <v/>
      </c>
      <c r="L14" s="1337">
        <f>$D$14</f>
        <v/>
      </c>
      <c r="M14" s="1337">
        <f>$D$14</f>
        <v/>
      </c>
      <c r="N14" s="1337">
        <f>$D$14</f>
        <v/>
      </c>
      <c r="O14" s="1337">
        <f>$D$14</f>
        <v/>
      </c>
      <c r="P14" s="1338">
        <f>SUM(D14:O14)</f>
        <v/>
      </c>
      <c r="Q14" s="248" t="n"/>
      <c r="R14" s="1336" t="n">
        <v>2000</v>
      </c>
      <c r="S14" s="1336">
        <f>$R$14</f>
        <v/>
      </c>
      <c r="T14" s="1336">
        <f>$R$14</f>
        <v/>
      </c>
      <c r="U14" s="1336">
        <f>$R$14</f>
        <v/>
      </c>
      <c r="V14" s="1336">
        <f>$R$14</f>
        <v/>
      </c>
      <c r="W14" s="1336">
        <f>$R$14</f>
        <v/>
      </c>
      <c r="X14" s="1336">
        <f>$R$14</f>
        <v/>
      </c>
      <c r="Y14" s="1336">
        <f>$R$14</f>
        <v/>
      </c>
      <c r="Z14" s="1336">
        <f>$R$14</f>
        <v/>
      </c>
      <c r="AA14" s="1336">
        <f>$R$14</f>
        <v/>
      </c>
      <c r="AB14" s="1336">
        <f>$R$14</f>
        <v/>
      </c>
      <c r="AC14" s="1336">
        <f>$R$14</f>
        <v/>
      </c>
      <c r="AD14" s="1338">
        <f>SUM(R14:AC14)</f>
        <v/>
      </c>
      <c r="AE14" s="248" t="n"/>
      <c r="AF14" s="1336" t="n">
        <v>2000</v>
      </c>
      <c r="AG14" s="1336">
        <f>$AF$14</f>
        <v/>
      </c>
      <c r="AH14" s="1336">
        <f>$AF$14</f>
        <v/>
      </c>
      <c r="AI14" s="1336">
        <f>$AF$14</f>
        <v/>
      </c>
      <c r="AJ14" s="1336">
        <f>$AF$14</f>
        <v/>
      </c>
      <c r="AK14" s="1336">
        <f>$AF$14</f>
        <v/>
      </c>
      <c r="AL14" s="1336">
        <f>$AF$14</f>
        <v/>
      </c>
      <c r="AM14" s="1336">
        <f>$AF$14</f>
        <v/>
      </c>
      <c r="AN14" s="1336">
        <f>$AF$14</f>
        <v/>
      </c>
      <c r="AO14" s="1336">
        <f>$AF$14</f>
        <v/>
      </c>
      <c r="AP14" s="1336">
        <f>$AF$14</f>
        <v/>
      </c>
      <c r="AQ14" s="1336">
        <f>$AF$14</f>
        <v/>
      </c>
      <c r="AR14" s="1338">
        <f>SUM(AF14:AQ14)</f>
        <v/>
      </c>
      <c r="AS14" s="236" t="n"/>
      <c r="AT14" s="1336" t="n">
        <v>2000</v>
      </c>
      <c r="AU14" s="1336">
        <f>$AT$14</f>
        <v/>
      </c>
      <c r="AV14" s="1336">
        <f>$AT$14</f>
        <v/>
      </c>
      <c r="AW14" s="1336">
        <f>$AT$14</f>
        <v/>
      </c>
      <c r="AX14" s="1336">
        <f>$AT$14</f>
        <v/>
      </c>
      <c r="AY14" s="1336">
        <f>$AT$14</f>
        <v/>
      </c>
      <c r="AZ14" s="1336">
        <f>$AT$14</f>
        <v/>
      </c>
      <c r="BA14" s="1336">
        <f>$AT$14</f>
        <v/>
      </c>
      <c r="BB14" s="1336">
        <f>$AT$14</f>
        <v/>
      </c>
      <c r="BC14" s="1336">
        <f>$AT$14</f>
        <v/>
      </c>
      <c r="BD14" s="1336">
        <f>$AT$14</f>
        <v/>
      </c>
      <c r="BE14" s="1336">
        <f>$AT$14</f>
        <v/>
      </c>
      <c r="BF14" s="1338">
        <f>SUM(AT14:BE14)</f>
        <v/>
      </c>
      <c r="BG14" s="236" t="n"/>
      <c r="BH14" s="236" t="n"/>
      <c r="BI14" s="236" t="n"/>
      <c r="BJ14" s="236" t="n"/>
      <c r="BK14" s="236" t="n"/>
      <c r="BL14" s="236" t="n"/>
      <c r="BM14" s="236" t="n"/>
      <c r="BN14" s="236" t="n"/>
      <c r="BO14" s="236" t="n"/>
      <c r="BP14" s="236" t="n"/>
      <c r="BQ14" s="236" t="n"/>
      <c r="BR14" s="236" t="n"/>
      <c r="BS14" s="236" t="n"/>
      <c r="BT14" s="236" t="n"/>
      <c r="BU14" s="236" t="n"/>
      <c r="BV14" s="236" t="n"/>
      <c r="BW14" s="236" t="n"/>
      <c r="BX14" s="236" t="n"/>
      <c r="BY14" s="236" t="n"/>
      <c r="BZ14" s="236" t="n"/>
      <c r="CA14" s="236" t="n"/>
      <c r="CB14" s="236" t="n"/>
      <c r="CC14" s="236" t="n"/>
      <c r="CD14" s="236" t="n"/>
      <c r="CE14" s="236" t="n"/>
      <c r="CF14" s="236" t="n"/>
      <c r="CG14" s="236" t="n"/>
    </row>
    <row r="15" ht="23" customHeight="1">
      <c r="A15" s="1334" t="inlineStr">
        <is>
          <t>PR Firm</t>
        </is>
      </c>
      <c r="B15" s="1335" t="n"/>
      <c r="C15" s="1336" t="n"/>
      <c r="D15" s="1336" t="n">
        <v>3000</v>
      </c>
      <c r="E15" s="1337">
        <f>$D$15</f>
        <v/>
      </c>
      <c r="F15" s="1337">
        <f>$D$15</f>
        <v/>
      </c>
      <c r="G15" s="1337">
        <f>$D$15</f>
        <v/>
      </c>
      <c r="H15" s="1337">
        <f>$D$15</f>
        <v/>
      </c>
      <c r="I15" s="1337">
        <f>$D$15</f>
        <v/>
      </c>
      <c r="J15" s="1337">
        <f>$D$15</f>
        <v/>
      </c>
      <c r="K15" s="1337">
        <f>$D$15</f>
        <v/>
      </c>
      <c r="L15" s="1337">
        <f>$D$15</f>
        <v/>
      </c>
      <c r="M15" s="1337">
        <f>$D$15</f>
        <v/>
      </c>
      <c r="N15" s="1337">
        <f>$D$15</f>
        <v/>
      </c>
      <c r="O15" s="1337">
        <f>$D$15</f>
        <v/>
      </c>
      <c r="P15" s="1338">
        <f>SUM(D15:O15)</f>
        <v/>
      </c>
      <c r="Q15" s="248" t="n"/>
      <c r="R15" s="1336" t="n">
        <v>2000</v>
      </c>
      <c r="S15" s="1336">
        <f>$R$15</f>
        <v/>
      </c>
      <c r="T15" s="1336">
        <f>$R$15</f>
        <v/>
      </c>
      <c r="U15" s="1336">
        <f>$R$15</f>
        <v/>
      </c>
      <c r="V15" s="1336">
        <f>$R$15</f>
        <v/>
      </c>
      <c r="W15" s="1336">
        <f>$R$15</f>
        <v/>
      </c>
      <c r="X15" s="1336">
        <f>$R$15</f>
        <v/>
      </c>
      <c r="Y15" s="1336">
        <f>$R$15</f>
        <v/>
      </c>
      <c r="Z15" s="1336">
        <f>$R$15</f>
        <v/>
      </c>
      <c r="AA15" s="1336">
        <f>$R$15</f>
        <v/>
      </c>
      <c r="AB15" s="1336">
        <f>$R$15</f>
        <v/>
      </c>
      <c r="AC15" s="1336">
        <f>$R$15</f>
        <v/>
      </c>
      <c r="AD15" s="1338">
        <f>SUM(R15:AC15)</f>
        <v/>
      </c>
      <c r="AE15" s="248" t="n"/>
      <c r="AF15" s="1336" t="n">
        <v>2000</v>
      </c>
      <c r="AG15" s="1336">
        <f>$AF$15</f>
        <v/>
      </c>
      <c r="AH15" s="1336">
        <f>$AF$15</f>
        <v/>
      </c>
      <c r="AI15" s="1336">
        <f>$AF$15</f>
        <v/>
      </c>
      <c r="AJ15" s="1336">
        <f>$AF$15</f>
        <v/>
      </c>
      <c r="AK15" s="1336">
        <f>$AF$15</f>
        <v/>
      </c>
      <c r="AL15" s="1336">
        <f>$AF$15</f>
        <v/>
      </c>
      <c r="AM15" s="1336">
        <f>$AF$15</f>
        <v/>
      </c>
      <c r="AN15" s="1336">
        <f>$AF$15</f>
        <v/>
      </c>
      <c r="AO15" s="1336">
        <f>$AF$15</f>
        <v/>
      </c>
      <c r="AP15" s="1336">
        <f>$AF$15</f>
        <v/>
      </c>
      <c r="AQ15" s="1336">
        <f>$AF$15</f>
        <v/>
      </c>
      <c r="AR15" s="1338">
        <f>SUM(AF15:AQ15)</f>
        <v/>
      </c>
      <c r="AS15" s="236" t="n"/>
      <c r="AT15" s="1336" t="n">
        <v>2000</v>
      </c>
      <c r="AU15" s="1336">
        <f>$AT$15</f>
        <v/>
      </c>
      <c r="AV15" s="1336">
        <f>$AT$15</f>
        <v/>
      </c>
      <c r="AW15" s="1336">
        <f>$AT$15</f>
        <v/>
      </c>
      <c r="AX15" s="1336">
        <f>$AT$15</f>
        <v/>
      </c>
      <c r="AY15" s="1336">
        <f>$AT$15</f>
        <v/>
      </c>
      <c r="AZ15" s="1336">
        <f>$AT$15</f>
        <v/>
      </c>
      <c r="BA15" s="1336">
        <f>$AT$15</f>
        <v/>
      </c>
      <c r="BB15" s="1336">
        <f>$AT$15</f>
        <v/>
      </c>
      <c r="BC15" s="1336">
        <f>$AT$15</f>
        <v/>
      </c>
      <c r="BD15" s="1336">
        <f>$AT$15</f>
        <v/>
      </c>
      <c r="BE15" s="1336">
        <f>$AT$15</f>
        <v/>
      </c>
      <c r="BF15" s="1338">
        <f>SUM(AT15:BE15)</f>
        <v/>
      </c>
      <c r="BG15" s="236" t="n"/>
      <c r="BH15" s="236" t="n"/>
      <c r="BI15" s="236" t="n"/>
      <c r="BJ15" s="236" t="n"/>
      <c r="BK15" s="236" t="n"/>
      <c r="BL15" s="236" t="n"/>
      <c r="BM15" s="236" t="n"/>
      <c r="BN15" s="236" t="n"/>
      <c r="BO15" s="236" t="n"/>
      <c r="BP15" s="236" t="n"/>
      <c r="BQ15" s="236" t="n"/>
      <c r="BR15" s="236" t="n"/>
      <c r="BS15" s="236" t="n"/>
      <c r="BT15" s="236" t="n"/>
      <c r="BU15" s="236" t="n"/>
      <c r="BV15" s="236" t="n"/>
      <c r="BW15" s="236" t="n"/>
      <c r="BX15" s="236" t="n"/>
      <c r="BY15" s="236" t="n"/>
      <c r="BZ15" s="236" t="n"/>
      <c r="CA15" s="236" t="n"/>
      <c r="CB15" s="236" t="n"/>
      <c r="CC15" s="236" t="n"/>
      <c r="CD15" s="236" t="n"/>
      <c r="CE15" s="236" t="n"/>
      <c r="CF15" s="236" t="n"/>
      <c r="CG15" s="236" t="n"/>
    </row>
    <row r="16" ht="23" customHeight="1">
      <c r="A16" s="1334" t="inlineStr">
        <is>
          <t>Client outreach</t>
        </is>
      </c>
      <c r="B16" s="1335" t="n"/>
      <c r="C16" s="1336" t="n"/>
      <c r="D16" s="1337" t="n">
        <v>2000</v>
      </c>
      <c r="E16" s="1337">
        <f>$D$16</f>
        <v/>
      </c>
      <c r="F16" s="1337">
        <f>$D$16</f>
        <v/>
      </c>
      <c r="G16" s="1337">
        <f>$D$16</f>
        <v/>
      </c>
      <c r="H16" s="1337">
        <f>$D$16</f>
        <v/>
      </c>
      <c r="I16" s="1337">
        <f>$D$16</f>
        <v/>
      </c>
      <c r="J16" s="1337">
        <f>$D$16</f>
        <v/>
      </c>
      <c r="K16" s="1337">
        <f>$D$16</f>
        <v/>
      </c>
      <c r="L16" s="1337">
        <f>$D$16</f>
        <v/>
      </c>
      <c r="M16" s="1337">
        <f>$D$16</f>
        <v/>
      </c>
      <c r="N16" s="1337">
        <f>$D$16</f>
        <v/>
      </c>
      <c r="O16" s="1337">
        <f>$D$16</f>
        <v/>
      </c>
      <c r="P16" s="1338">
        <f>SUM(D16:O16)</f>
        <v/>
      </c>
      <c r="Q16" s="248" t="n"/>
      <c r="R16" s="1337" t="n">
        <v>2000</v>
      </c>
      <c r="S16" s="1337">
        <f>$R$16</f>
        <v/>
      </c>
      <c r="T16" s="1337">
        <f>$R$16</f>
        <v/>
      </c>
      <c r="U16" s="1337">
        <f>$R$16</f>
        <v/>
      </c>
      <c r="V16" s="1337">
        <f>$R$16</f>
        <v/>
      </c>
      <c r="W16" s="1337">
        <f>$R$16</f>
        <v/>
      </c>
      <c r="X16" s="1337">
        <f>$R$16</f>
        <v/>
      </c>
      <c r="Y16" s="1337">
        <f>$R$16</f>
        <v/>
      </c>
      <c r="Z16" s="1337">
        <f>$R$16</f>
        <v/>
      </c>
      <c r="AA16" s="1337">
        <f>$R$16</f>
        <v/>
      </c>
      <c r="AB16" s="1337">
        <f>$R$16</f>
        <v/>
      </c>
      <c r="AC16" s="1337">
        <f>$R$16</f>
        <v/>
      </c>
      <c r="AD16" s="1338">
        <f>SUM(R16:AC16)</f>
        <v/>
      </c>
      <c r="AE16" s="248" t="n"/>
      <c r="AF16" s="1337" t="n">
        <v>2000</v>
      </c>
      <c r="AG16" s="1337">
        <f>$AF$16</f>
        <v/>
      </c>
      <c r="AH16" s="1337">
        <f>$AF$16</f>
        <v/>
      </c>
      <c r="AI16" s="1337">
        <f>$AF$16</f>
        <v/>
      </c>
      <c r="AJ16" s="1337">
        <f>$AF$16</f>
        <v/>
      </c>
      <c r="AK16" s="1337">
        <f>$AF$16</f>
        <v/>
      </c>
      <c r="AL16" s="1337">
        <f>$AF$16</f>
        <v/>
      </c>
      <c r="AM16" s="1337">
        <f>$AF$16</f>
        <v/>
      </c>
      <c r="AN16" s="1337">
        <f>$AF$16</f>
        <v/>
      </c>
      <c r="AO16" s="1337">
        <f>$AF$16</f>
        <v/>
      </c>
      <c r="AP16" s="1337">
        <f>$AF$16</f>
        <v/>
      </c>
      <c r="AQ16" s="1337">
        <f>$AF$16</f>
        <v/>
      </c>
      <c r="AR16" s="1338">
        <f>SUM(AF16:AQ16)</f>
        <v/>
      </c>
      <c r="AS16" s="236" t="n"/>
      <c r="AT16" s="1337" t="n">
        <v>2000</v>
      </c>
      <c r="AU16" s="1337">
        <f>$AT$16</f>
        <v/>
      </c>
      <c r="AV16" s="1337">
        <f>$AT$16</f>
        <v/>
      </c>
      <c r="AW16" s="1337">
        <f>$AT$16</f>
        <v/>
      </c>
      <c r="AX16" s="1337">
        <f>$AT$16</f>
        <v/>
      </c>
      <c r="AY16" s="1337">
        <f>$AT$16</f>
        <v/>
      </c>
      <c r="AZ16" s="1337">
        <f>$AT$16</f>
        <v/>
      </c>
      <c r="BA16" s="1337">
        <f>$AT$16</f>
        <v/>
      </c>
      <c r="BB16" s="1337">
        <f>$AT$16</f>
        <v/>
      </c>
      <c r="BC16" s="1337">
        <f>$AT$16</f>
        <v/>
      </c>
      <c r="BD16" s="1337">
        <f>$AT$16</f>
        <v/>
      </c>
      <c r="BE16" s="1337">
        <f>$AT$16</f>
        <v/>
      </c>
      <c r="BF16" s="1338">
        <f>SUM(AT16:BE16)</f>
        <v/>
      </c>
      <c r="BG16" s="236" t="n"/>
      <c r="BH16" s="236" t="n"/>
      <c r="BI16" s="236" t="n"/>
      <c r="BJ16" s="236" t="n"/>
      <c r="BK16" s="236" t="n"/>
      <c r="BL16" s="236" t="n"/>
      <c r="BM16" s="236" t="n"/>
      <c r="BN16" s="236" t="n"/>
      <c r="BO16" s="236" t="n"/>
      <c r="BP16" s="236" t="n"/>
      <c r="BQ16" s="236" t="n"/>
      <c r="BR16" s="236" t="n"/>
      <c r="BS16" s="236" t="n"/>
      <c r="BT16" s="236" t="n"/>
      <c r="BU16" s="236" t="n"/>
      <c r="BV16" s="236" t="n"/>
      <c r="BW16" s="236" t="n"/>
      <c r="BX16" s="236" t="n"/>
      <c r="BY16" s="236" t="n"/>
      <c r="BZ16" s="236" t="n"/>
      <c r="CA16" s="236" t="n"/>
      <c r="CB16" s="236" t="n"/>
      <c r="CC16" s="236" t="n"/>
      <c r="CD16" s="236" t="n"/>
      <c r="CE16" s="236" t="n"/>
      <c r="CF16" s="236" t="n"/>
      <c r="CG16" s="236" t="n"/>
    </row>
    <row r="17" ht="23" customHeight="1">
      <c r="A17" s="1334" t="inlineStr">
        <is>
          <t>Customer Advisory</t>
        </is>
      </c>
      <c r="B17" s="1335" t="n"/>
      <c r="C17" s="1336" t="n"/>
      <c r="D17" s="1337" t="n">
        <v>0</v>
      </c>
      <c r="E17" s="1337">
        <f>$D$17</f>
        <v/>
      </c>
      <c r="F17" s="1337">
        <f>$D$17</f>
        <v/>
      </c>
      <c r="G17" s="1337">
        <f>$D$17</f>
        <v/>
      </c>
      <c r="H17" s="1337">
        <f>$D$17</f>
        <v/>
      </c>
      <c r="I17" s="1337">
        <f>$D$17</f>
        <v/>
      </c>
      <c r="J17" s="1337">
        <f>$D$17</f>
        <v/>
      </c>
      <c r="K17" s="1337">
        <f>$D$17</f>
        <v/>
      </c>
      <c r="L17" s="1337">
        <f>$D$17</f>
        <v/>
      </c>
      <c r="M17" s="1337">
        <f>$D$17</f>
        <v/>
      </c>
      <c r="N17" s="1337">
        <f>$D$17</f>
        <v/>
      </c>
      <c r="O17" s="1337">
        <f>$D$17</f>
        <v/>
      </c>
      <c r="P17" s="1338">
        <f>SUM(D17:O17)</f>
        <v/>
      </c>
      <c r="Q17" s="248" t="n"/>
      <c r="R17" s="1337" t="n">
        <v>2000</v>
      </c>
      <c r="S17" s="1337">
        <f>$R$17</f>
        <v/>
      </c>
      <c r="T17" s="1337">
        <f>$R$17</f>
        <v/>
      </c>
      <c r="U17" s="1337">
        <f>$R$17</f>
        <v/>
      </c>
      <c r="V17" s="1337">
        <f>$R$17</f>
        <v/>
      </c>
      <c r="W17" s="1337">
        <f>$R$17</f>
        <v/>
      </c>
      <c r="X17" s="1337">
        <f>$R$17</f>
        <v/>
      </c>
      <c r="Y17" s="1337">
        <f>$R$17</f>
        <v/>
      </c>
      <c r="Z17" s="1337">
        <f>$R$17</f>
        <v/>
      </c>
      <c r="AA17" s="1337">
        <f>$R$17</f>
        <v/>
      </c>
      <c r="AB17" s="1337">
        <f>$R$17</f>
        <v/>
      </c>
      <c r="AC17" s="1337">
        <f>$R$17</f>
        <v/>
      </c>
      <c r="AD17" s="1338">
        <f>SUM(R17:AC17)</f>
        <v/>
      </c>
      <c r="AE17" s="248" t="n"/>
      <c r="AF17" s="1337" t="n">
        <v>2000</v>
      </c>
      <c r="AG17" s="1337">
        <f>$AF$17</f>
        <v/>
      </c>
      <c r="AH17" s="1337">
        <f>$AF$17</f>
        <v/>
      </c>
      <c r="AI17" s="1337">
        <f>$AF$17</f>
        <v/>
      </c>
      <c r="AJ17" s="1337">
        <f>$AF$17</f>
        <v/>
      </c>
      <c r="AK17" s="1337">
        <f>$AF$17</f>
        <v/>
      </c>
      <c r="AL17" s="1337">
        <f>$AF$17</f>
        <v/>
      </c>
      <c r="AM17" s="1337">
        <f>$AF$17</f>
        <v/>
      </c>
      <c r="AN17" s="1337">
        <f>$AF$17</f>
        <v/>
      </c>
      <c r="AO17" s="1337">
        <f>$AF$17</f>
        <v/>
      </c>
      <c r="AP17" s="1337">
        <f>$AF$17</f>
        <v/>
      </c>
      <c r="AQ17" s="1337">
        <f>$AF$17</f>
        <v/>
      </c>
      <c r="AR17" s="1338">
        <f>SUM(AF17:AQ17)</f>
        <v/>
      </c>
      <c r="AS17" s="236" t="n"/>
      <c r="AT17" s="1337" t="n">
        <v>2000</v>
      </c>
      <c r="AU17" s="1337">
        <f>$AT$17</f>
        <v/>
      </c>
      <c r="AV17" s="1337">
        <f>$AT$17</f>
        <v/>
      </c>
      <c r="AW17" s="1337">
        <f>$AT$17</f>
        <v/>
      </c>
      <c r="AX17" s="1337">
        <f>$AT$17</f>
        <v/>
      </c>
      <c r="AY17" s="1337">
        <f>$AT$17</f>
        <v/>
      </c>
      <c r="AZ17" s="1337">
        <f>$AT$17</f>
        <v/>
      </c>
      <c r="BA17" s="1337">
        <f>$AT$17</f>
        <v/>
      </c>
      <c r="BB17" s="1337">
        <f>$AT$17</f>
        <v/>
      </c>
      <c r="BC17" s="1337">
        <f>$AT$17</f>
        <v/>
      </c>
      <c r="BD17" s="1337">
        <f>$AT$17</f>
        <v/>
      </c>
      <c r="BE17" s="1337">
        <f>$AT$17</f>
        <v/>
      </c>
      <c r="BF17" s="1338">
        <f>SUM(AT17:BE17)</f>
        <v/>
      </c>
      <c r="BG17" s="236" t="n"/>
      <c r="BH17" s="236" t="n"/>
      <c r="BI17" s="236" t="n"/>
      <c r="BJ17" s="236" t="n"/>
      <c r="BK17" s="236" t="n"/>
      <c r="BL17" s="236" t="n"/>
      <c r="BM17" s="236" t="n"/>
      <c r="BN17" s="236" t="n"/>
      <c r="BO17" s="236" t="n"/>
      <c r="BP17" s="236" t="n"/>
      <c r="BQ17" s="236" t="n"/>
      <c r="BR17" s="236" t="n"/>
      <c r="BS17" s="236" t="n"/>
      <c r="BT17" s="236" t="n"/>
      <c r="BU17" s="236" t="n"/>
      <c r="BV17" s="236" t="n"/>
      <c r="BW17" s="236" t="n"/>
      <c r="BX17" s="236" t="n"/>
      <c r="BY17" s="236" t="n"/>
      <c r="BZ17" s="236" t="n"/>
      <c r="CA17" s="236" t="n"/>
      <c r="CB17" s="236" t="n"/>
      <c r="CC17" s="236" t="n"/>
      <c r="CD17" s="236" t="n"/>
      <c r="CE17" s="236" t="n"/>
      <c r="CF17" s="236" t="n"/>
      <c r="CG17" s="236" t="n"/>
    </row>
    <row r="18" ht="23" customHeight="1">
      <c r="A18" s="1334" t="inlineStr">
        <is>
          <t>Client Advisory</t>
        </is>
      </c>
      <c r="B18" s="1335" t="n"/>
      <c r="C18" s="1336" t="n"/>
      <c r="D18" s="1337" t="inlineStr">
        <is>
          <t xml:space="preserve"> </t>
        </is>
      </c>
      <c r="E18" s="1337" t="n">
        <v>0</v>
      </c>
      <c r="F18" s="1337" t="n">
        <v>0</v>
      </c>
      <c r="G18" s="1337" t="n">
        <v>0</v>
      </c>
      <c r="H18" s="1337" t="n">
        <v>0</v>
      </c>
      <c r="I18" s="1337" t="n">
        <v>0</v>
      </c>
      <c r="J18" s="1337" t="n">
        <v>5000</v>
      </c>
      <c r="K18" s="1337" t="n">
        <v>0</v>
      </c>
      <c r="L18" s="1337" t="n">
        <v>0</v>
      </c>
      <c r="M18" s="1337" t="n">
        <v>0</v>
      </c>
      <c r="N18" s="1337" t="n">
        <v>0</v>
      </c>
      <c r="O18" s="1337" t="n">
        <v>5000</v>
      </c>
      <c r="P18" s="1338">
        <f>SUM(D18:O18)</f>
        <v/>
      </c>
      <c r="Q18" s="248" t="n"/>
      <c r="R18" s="1337" t="n">
        <v>10000</v>
      </c>
      <c r="S18" s="1337" t="n">
        <v>0</v>
      </c>
      <c r="T18" s="1337" t="n">
        <v>0</v>
      </c>
      <c r="U18" s="1337" t="n">
        <v>0</v>
      </c>
      <c r="V18" s="1337" t="n">
        <v>0</v>
      </c>
      <c r="W18" s="1337" t="n">
        <v>0</v>
      </c>
      <c r="X18" s="1337" t="n">
        <v>5000</v>
      </c>
      <c r="Y18" s="1337" t="n">
        <v>0</v>
      </c>
      <c r="Z18" s="1337" t="n">
        <v>0</v>
      </c>
      <c r="AA18" s="1337" t="n">
        <v>0</v>
      </c>
      <c r="AB18" s="1337" t="n">
        <v>0</v>
      </c>
      <c r="AC18" s="1337" t="n">
        <v>5000</v>
      </c>
      <c r="AD18" s="1338">
        <f>SUM(R18:AC18)</f>
        <v/>
      </c>
      <c r="AE18" s="248" t="n"/>
      <c r="AF18" s="1337" t="n">
        <v>10000</v>
      </c>
      <c r="AG18" s="1337" t="n">
        <v>0</v>
      </c>
      <c r="AH18" s="1337" t="n">
        <v>0</v>
      </c>
      <c r="AI18" s="1337" t="n">
        <v>0</v>
      </c>
      <c r="AJ18" s="1337" t="n">
        <v>0</v>
      </c>
      <c r="AK18" s="1337" t="n">
        <v>0</v>
      </c>
      <c r="AL18" s="1337" t="n">
        <v>5000</v>
      </c>
      <c r="AM18" s="1337" t="n">
        <v>0</v>
      </c>
      <c r="AN18" s="1337" t="n">
        <v>0</v>
      </c>
      <c r="AO18" s="1337" t="n">
        <v>0</v>
      </c>
      <c r="AP18" s="1337" t="n">
        <v>0</v>
      </c>
      <c r="AQ18" s="1337" t="n">
        <v>5000</v>
      </c>
      <c r="AR18" s="1338">
        <f>SUM(AF18:AQ18)</f>
        <v/>
      </c>
      <c r="AS18" s="236" t="n"/>
      <c r="AT18" s="1337" t="n">
        <v>10000</v>
      </c>
      <c r="AU18" s="1337" t="n">
        <v>0</v>
      </c>
      <c r="AV18" s="1337" t="n">
        <v>0</v>
      </c>
      <c r="AW18" s="1337" t="n">
        <v>0</v>
      </c>
      <c r="AX18" s="1337" t="n">
        <v>0</v>
      </c>
      <c r="AY18" s="1337" t="n">
        <v>0</v>
      </c>
      <c r="AZ18" s="1337" t="n">
        <v>5000</v>
      </c>
      <c r="BA18" s="1337" t="n">
        <v>0</v>
      </c>
      <c r="BB18" s="1337" t="n">
        <v>0</v>
      </c>
      <c r="BC18" s="1337" t="n">
        <v>0</v>
      </c>
      <c r="BD18" s="1337" t="n">
        <v>0</v>
      </c>
      <c r="BE18" s="1337" t="n">
        <v>5000</v>
      </c>
      <c r="BF18" s="1338">
        <f>SUM(AT18:BE18)</f>
        <v/>
      </c>
      <c r="BG18" s="236" t="n"/>
      <c r="BH18" s="236" t="n"/>
      <c r="BI18" s="236" t="n"/>
      <c r="BJ18" s="236" t="n"/>
      <c r="BK18" s="236" t="n"/>
      <c r="BL18" s="236" t="n"/>
      <c r="BM18" s="236" t="n"/>
      <c r="BN18" s="236" t="n"/>
      <c r="BO18" s="236" t="n"/>
      <c r="BP18" s="236" t="n"/>
      <c r="BQ18" s="236" t="n"/>
      <c r="BR18" s="236" t="n"/>
      <c r="BS18" s="236" t="n"/>
      <c r="BT18" s="236" t="n"/>
      <c r="BU18" s="236" t="n"/>
      <c r="BV18" s="236" t="n"/>
      <c r="BW18" s="236" t="n"/>
      <c r="BX18" s="236" t="n"/>
      <c r="BY18" s="236" t="n"/>
      <c r="BZ18" s="236" t="n"/>
      <c r="CA18" s="236" t="n"/>
      <c r="CB18" s="236" t="n"/>
      <c r="CC18" s="236" t="n"/>
      <c r="CD18" s="236" t="n"/>
      <c r="CE18" s="236" t="n"/>
      <c r="CF18" s="236" t="n"/>
      <c r="CG18" s="236" t="n"/>
    </row>
    <row r="19" ht="23" customHeight="1">
      <c r="A19" s="1334" t="inlineStr">
        <is>
          <t xml:space="preserve"> </t>
        </is>
      </c>
      <c r="B19" s="1335" t="n"/>
      <c r="C19" s="1336" t="n"/>
      <c r="D19" s="1336" t="n">
        <v>0</v>
      </c>
      <c r="E19" s="1337">
        <f>$D$19</f>
        <v/>
      </c>
      <c r="F19" s="1337">
        <f>$D$19</f>
        <v/>
      </c>
      <c r="G19" s="1337">
        <f>$D$19</f>
        <v/>
      </c>
      <c r="H19" s="1337">
        <f>$D$19</f>
        <v/>
      </c>
      <c r="I19" s="1337">
        <f>$D$19</f>
        <v/>
      </c>
      <c r="J19" s="1337">
        <f>$D$19</f>
        <v/>
      </c>
      <c r="K19" s="1337">
        <f>$D$19</f>
        <v/>
      </c>
      <c r="L19" s="1337">
        <f>$D$19</f>
        <v/>
      </c>
      <c r="M19" s="1337">
        <f>$D$19</f>
        <v/>
      </c>
      <c r="N19" s="1337">
        <f>$D$19</f>
        <v/>
      </c>
      <c r="O19" s="1337">
        <f>$D$19</f>
        <v/>
      </c>
      <c r="P19" s="1338">
        <f>SUM(D19:O19)</f>
        <v/>
      </c>
      <c r="Q19" s="248" t="n"/>
      <c r="R19" s="1336" t="n">
        <v>0</v>
      </c>
      <c r="S19" s="1336">
        <f>$R$19</f>
        <v/>
      </c>
      <c r="T19" s="1336">
        <f>$R$19</f>
        <v/>
      </c>
      <c r="U19" s="1336">
        <f>$R$19</f>
        <v/>
      </c>
      <c r="V19" s="1336">
        <f>$R$19</f>
        <v/>
      </c>
      <c r="W19" s="1336">
        <f>$R$19</f>
        <v/>
      </c>
      <c r="X19" s="1336">
        <f>$R$19</f>
        <v/>
      </c>
      <c r="Y19" s="1336">
        <f>$R$19</f>
        <v/>
      </c>
      <c r="Z19" s="1336">
        <f>$R$19</f>
        <v/>
      </c>
      <c r="AA19" s="1336">
        <f>$R$19</f>
        <v/>
      </c>
      <c r="AB19" s="1336">
        <f>$R$19</f>
        <v/>
      </c>
      <c r="AC19" s="1336">
        <f>$R$19</f>
        <v/>
      </c>
      <c r="AD19" s="1338">
        <f>SUM(R19:AC19)</f>
        <v/>
      </c>
      <c r="AE19" s="248" t="n"/>
      <c r="AF19" s="1336" t="n">
        <v>0</v>
      </c>
      <c r="AG19" s="1336">
        <f>$AF$19</f>
        <v/>
      </c>
      <c r="AH19" s="1336">
        <f>$AF$19</f>
        <v/>
      </c>
      <c r="AI19" s="1336">
        <f>$AF$19</f>
        <v/>
      </c>
      <c r="AJ19" s="1336">
        <f>$AF$19</f>
        <v/>
      </c>
      <c r="AK19" s="1336">
        <f>$AF$19</f>
        <v/>
      </c>
      <c r="AL19" s="1336">
        <f>$AF$19</f>
        <v/>
      </c>
      <c r="AM19" s="1336">
        <f>$AF$19</f>
        <v/>
      </c>
      <c r="AN19" s="1336">
        <f>$AF$19</f>
        <v/>
      </c>
      <c r="AO19" s="1336">
        <f>$AF$19</f>
        <v/>
      </c>
      <c r="AP19" s="1336">
        <f>$AF$19</f>
        <v/>
      </c>
      <c r="AQ19" s="1336">
        <f>$AF$19</f>
        <v/>
      </c>
      <c r="AR19" s="1338">
        <f>SUM(AF19:AQ19)</f>
        <v/>
      </c>
      <c r="AS19" s="236" t="n"/>
      <c r="AT19" s="1336" t="n">
        <v>0</v>
      </c>
      <c r="AU19" s="1336">
        <f>$AT$19</f>
        <v/>
      </c>
      <c r="AV19" s="1336">
        <f>$AT$19</f>
        <v/>
      </c>
      <c r="AW19" s="1336">
        <f>$AT$19</f>
        <v/>
      </c>
      <c r="AX19" s="1336">
        <f>$AT$19</f>
        <v/>
      </c>
      <c r="AY19" s="1336">
        <f>$AT$19</f>
        <v/>
      </c>
      <c r="AZ19" s="1336">
        <f>$AT$19</f>
        <v/>
      </c>
      <c r="BA19" s="1336">
        <f>$AT$19</f>
        <v/>
      </c>
      <c r="BB19" s="1336">
        <f>$AT$19</f>
        <v/>
      </c>
      <c r="BC19" s="1336">
        <f>$AT$19</f>
        <v/>
      </c>
      <c r="BD19" s="1336">
        <f>$AT$19</f>
        <v/>
      </c>
      <c r="BE19" s="1336">
        <f>$AT$19</f>
        <v/>
      </c>
      <c r="BF19" s="1338">
        <f>SUM(AT19:BE19)</f>
        <v/>
      </c>
      <c r="BG19" s="236" t="n"/>
      <c r="BH19" s="236" t="n"/>
      <c r="BI19" s="236" t="n"/>
      <c r="BJ19" s="236" t="n"/>
      <c r="BK19" s="236" t="n"/>
      <c r="BL19" s="236" t="n"/>
      <c r="BM19" s="236" t="n"/>
      <c r="BN19" s="236" t="n"/>
      <c r="BO19" s="236" t="n"/>
      <c r="BP19" s="236" t="n"/>
      <c r="BQ19" s="236" t="n"/>
      <c r="BR19" s="236" t="n"/>
      <c r="BS19" s="236" t="n"/>
      <c r="BT19" s="236" t="n"/>
      <c r="BU19" s="236" t="n"/>
      <c r="BV19" s="236" t="n"/>
      <c r="BW19" s="236" t="n"/>
      <c r="BX19" s="236" t="n"/>
      <c r="BY19" s="236" t="n"/>
      <c r="BZ19" s="236" t="n"/>
      <c r="CA19" s="236" t="n"/>
      <c r="CB19" s="236" t="n"/>
      <c r="CC19" s="236" t="n"/>
      <c r="CD19" s="236" t="n"/>
      <c r="CE19" s="236" t="n"/>
      <c r="CF19" s="236" t="n"/>
      <c r="CG19" s="236" t="n"/>
    </row>
    <row r="20" ht="23" customHeight="1">
      <c r="A20" s="1341" t="inlineStr">
        <is>
          <t xml:space="preserve"> Dues &amp; Subscriptions </t>
        </is>
      </c>
      <c r="B20" s="1335" t="n"/>
      <c r="C20" s="1336" t="n"/>
      <c r="D20" s="1336" t="n"/>
      <c r="E20" s="1337" t="n"/>
      <c r="F20" s="1337" t="n"/>
      <c r="G20" s="1337" t="n"/>
      <c r="H20" s="1337" t="n"/>
      <c r="I20" s="1337" t="n"/>
      <c r="J20" s="1337" t="n"/>
      <c r="K20" s="1337" t="n"/>
      <c r="L20" s="1337" t="n"/>
      <c r="M20" s="1337" t="n"/>
      <c r="N20" s="1337" t="n"/>
      <c r="O20" s="1337" t="n"/>
      <c r="P20" s="1338" t="inlineStr">
        <is>
          <t xml:space="preserve">                   -   </t>
        </is>
      </c>
      <c r="Q20" s="248" t="n"/>
      <c r="R20" s="1336" t="n"/>
      <c r="S20" s="1337" t="n"/>
      <c r="T20" s="1337" t="n"/>
      <c r="U20" s="1337" t="n"/>
      <c r="V20" s="1337" t="n"/>
      <c r="W20" s="1337" t="n"/>
      <c r="X20" s="1337" t="n"/>
      <c r="Y20" s="1337" t="n"/>
      <c r="Z20" s="1337" t="n"/>
      <c r="AA20" s="1337" t="n"/>
      <c r="AB20" s="1337" t="n"/>
      <c r="AC20" s="1337" t="n"/>
      <c r="AD20" s="1338" t="inlineStr">
        <is>
          <t xml:space="preserve">                        -   </t>
        </is>
      </c>
      <c r="AE20" s="248" t="n"/>
      <c r="AF20" s="1336" t="n"/>
      <c r="AG20" s="1337" t="n"/>
      <c r="AH20" s="1337" t="n"/>
      <c r="AI20" s="1337" t="n"/>
      <c r="AJ20" s="1337" t="n"/>
      <c r="AK20" s="1337" t="n"/>
      <c r="AL20" s="1337" t="n"/>
      <c r="AM20" s="1337" t="n"/>
      <c r="AN20" s="1337" t="n"/>
      <c r="AO20" s="1337" t="n"/>
      <c r="AP20" s="1337" t="n"/>
      <c r="AQ20" s="1337" t="n"/>
      <c r="AR20" s="1338" t="inlineStr">
        <is>
          <t xml:space="preserve">                   -   </t>
        </is>
      </c>
      <c r="AS20" s="236" t="n"/>
      <c r="AT20" s="1336" t="n"/>
      <c r="AU20" s="1337" t="n"/>
      <c r="AV20" s="1337" t="n"/>
      <c r="AW20" s="1337" t="n"/>
      <c r="AX20" s="1337" t="n"/>
      <c r="AY20" s="1337" t="n"/>
      <c r="AZ20" s="1337" t="n"/>
      <c r="BA20" s="1337" t="n"/>
      <c r="BB20" s="1337" t="n"/>
      <c r="BC20" s="1337" t="n"/>
      <c r="BD20" s="1337" t="n"/>
      <c r="BE20" s="1337" t="n"/>
      <c r="BF20" s="1338">
        <f>SUM(AT20:BE20)</f>
        <v/>
      </c>
      <c r="BG20" s="236" t="n"/>
      <c r="BH20" s="236" t="n"/>
      <c r="BI20" s="236" t="n"/>
      <c r="BJ20" s="236" t="n"/>
      <c r="BK20" s="236" t="n"/>
      <c r="BL20" s="236" t="n"/>
      <c r="BM20" s="236" t="n"/>
      <c r="BN20" s="236" t="n"/>
      <c r="BO20" s="236" t="n"/>
      <c r="BP20" s="236" t="n"/>
      <c r="BQ20" s="236" t="n"/>
      <c r="BR20" s="236" t="n"/>
      <c r="BS20" s="236" t="n"/>
      <c r="BT20" s="236" t="n"/>
      <c r="BU20" s="236" t="n"/>
      <c r="BV20" s="236" t="n"/>
      <c r="BW20" s="236" t="n"/>
      <c r="BX20" s="236" t="n"/>
      <c r="BY20" s="236" t="n"/>
      <c r="BZ20" s="236" t="n"/>
      <c r="CA20" s="236" t="n"/>
      <c r="CB20" s="236" t="n"/>
      <c r="CC20" s="236" t="n"/>
      <c r="CD20" s="236" t="n"/>
      <c r="CE20" s="236" t="n"/>
      <c r="CF20" s="236" t="n"/>
      <c r="CG20" s="236" t="n"/>
    </row>
    <row r="21" ht="23" customHeight="1">
      <c r="A21" s="1334" t="inlineStr">
        <is>
          <t xml:space="preserve"> Adobe DC </t>
        </is>
      </c>
      <c r="B21" s="1335" t="n"/>
      <c r="C21" s="1336" t="n"/>
      <c r="D21" s="1336" t="n"/>
      <c r="E21" s="1337" t="n"/>
      <c r="F21" s="1337" t="n"/>
      <c r="G21" s="1337" t="n"/>
      <c r="H21" s="1337" t="n"/>
      <c r="I21" s="1337" t="n"/>
      <c r="J21" s="1337" t="n"/>
      <c r="K21" s="1337" t="n"/>
      <c r="L21" s="1337" t="n"/>
      <c r="M21" s="1337" t="n"/>
      <c r="N21" s="1337" t="n">
        <v>180</v>
      </c>
      <c r="O21" s="1337" t="n"/>
      <c r="P21" s="1338" t="n">
        <v>180</v>
      </c>
      <c r="Q21" s="248" t="n"/>
      <c r="R21" s="1336" t="n"/>
      <c r="S21" s="1337" t="n"/>
      <c r="T21" s="1337" t="n"/>
      <c r="U21" s="1337" t="n"/>
      <c r="V21" s="1337" t="n"/>
      <c r="W21" s="1337" t="n"/>
      <c r="X21" s="1337" t="n"/>
      <c r="Y21" s="1337" t="n"/>
      <c r="Z21" s="1337" t="n"/>
      <c r="AA21" s="1337" t="n"/>
      <c r="AB21" s="1337" t="n">
        <v>180</v>
      </c>
      <c r="AC21" s="1337" t="n"/>
      <c r="AD21" s="1338" t="n">
        <v>180</v>
      </c>
      <c r="AE21" s="248" t="n"/>
      <c r="AF21" s="1336" t="n"/>
      <c r="AG21" s="1337" t="n"/>
      <c r="AH21" s="1337" t="n"/>
      <c r="AI21" s="1337" t="n"/>
      <c r="AJ21" s="1337" t="n"/>
      <c r="AK21" s="1337" t="n"/>
      <c r="AL21" s="1337" t="n"/>
      <c r="AM21" s="1337" t="n"/>
      <c r="AN21" s="1337" t="n"/>
      <c r="AO21" s="1337" t="n"/>
      <c r="AP21" s="1337" t="n">
        <v>180</v>
      </c>
      <c r="AQ21" s="1337" t="n"/>
      <c r="AR21" s="1338" t="n">
        <v>180</v>
      </c>
      <c r="AS21" s="236" t="n"/>
      <c r="AT21" s="1336" t="n"/>
      <c r="AU21" s="1337" t="n"/>
      <c r="AV21" s="1337" t="n"/>
      <c r="AW21" s="1337" t="n"/>
      <c r="AX21" s="1337" t="n"/>
      <c r="AY21" s="1337" t="n"/>
      <c r="AZ21" s="1337" t="n"/>
      <c r="BA21" s="1337" t="n"/>
      <c r="BB21" s="1337" t="n"/>
      <c r="BC21" s="1337" t="n"/>
      <c r="BD21" s="1337" t="n">
        <v>180</v>
      </c>
      <c r="BE21" s="1337" t="n"/>
      <c r="BF21" s="1338">
        <f>SUM(AT21:BE21)</f>
        <v/>
      </c>
      <c r="BG21" s="236" t="n"/>
      <c r="BH21" s="236" t="n"/>
      <c r="BI21" s="236" t="n"/>
      <c r="BJ21" s="236" t="n"/>
      <c r="BK21" s="236" t="n"/>
      <c r="BL21" s="236" t="n"/>
      <c r="BM21" s="236" t="n"/>
      <c r="BN21" s="236" t="n"/>
      <c r="BO21" s="236" t="n"/>
      <c r="BP21" s="236" t="n"/>
      <c r="BQ21" s="236" t="n"/>
      <c r="BR21" s="236" t="n"/>
      <c r="BS21" s="236" t="n"/>
      <c r="BT21" s="236" t="n"/>
      <c r="BU21" s="236" t="n"/>
      <c r="BV21" s="236" t="n"/>
      <c r="BW21" s="236" t="n"/>
      <c r="BX21" s="236" t="n"/>
      <c r="BY21" s="236" t="n"/>
      <c r="BZ21" s="236" t="n"/>
      <c r="CA21" s="236" t="n"/>
      <c r="CB21" s="236" t="n"/>
      <c r="CC21" s="236" t="n"/>
      <c r="CD21" s="236" t="n"/>
      <c r="CE21" s="236" t="n"/>
      <c r="CF21" s="236" t="n"/>
      <c r="CG21" s="236" t="n"/>
    </row>
    <row r="22" ht="23" customHeight="1">
      <c r="A22" s="1334" t="inlineStr">
        <is>
          <t xml:space="preserve"> Adobe Stock </t>
        </is>
      </c>
      <c r="B22" s="1335" t="n"/>
      <c r="C22" s="1336" t="n"/>
      <c r="D22" s="1342" t="n">
        <v>32</v>
      </c>
      <c r="E22" s="1342" t="n">
        <v>32</v>
      </c>
      <c r="F22" s="1342" t="n">
        <v>32</v>
      </c>
      <c r="G22" s="1342" t="n">
        <v>32</v>
      </c>
      <c r="H22" s="1342" t="n">
        <v>32</v>
      </c>
      <c r="I22" s="1342" t="n">
        <v>32</v>
      </c>
      <c r="J22" s="1342" t="n">
        <v>32</v>
      </c>
      <c r="K22" s="1342" t="n">
        <v>32</v>
      </c>
      <c r="L22" s="1342" t="n">
        <v>32</v>
      </c>
      <c r="M22" s="1342" t="n">
        <v>32</v>
      </c>
      <c r="N22" s="1342" t="n">
        <v>32</v>
      </c>
      <c r="O22" s="1343" t="n">
        <v>32</v>
      </c>
      <c r="P22" s="1338" t="n">
        <v>390</v>
      </c>
      <c r="Q22" s="248" t="n"/>
      <c r="R22" s="1342" t="n">
        <v>32</v>
      </c>
      <c r="S22" s="1342" t="n">
        <v>32</v>
      </c>
      <c r="T22" s="1342" t="n">
        <v>32</v>
      </c>
      <c r="U22" s="1342" t="n">
        <v>32</v>
      </c>
      <c r="V22" s="1342" t="n">
        <v>32</v>
      </c>
      <c r="W22" s="1342" t="n">
        <v>32</v>
      </c>
      <c r="X22" s="1342" t="n">
        <v>32</v>
      </c>
      <c r="Y22" s="1342" t="n">
        <v>32</v>
      </c>
      <c r="Z22" s="1342" t="n">
        <v>32</v>
      </c>
      <c r="AA22" s="1342" t="n">
        <v>32</v>
      </c>
      <c r="AB22" s="1342" t="n">
        <v>32</v>
      </c>
      <c r="AC22" s="1343" t="n">
        <v>32</v>
      </c>
      <c r="AD22" s="1338" t="n">
        <v>390</v>
      </c>
      <c r="AE22" s="248" t="n"/>
      <c r="AF22" s="1342" t="n">
        <v>32</v>
      </c>
      <c r="AG22" s="1342" t="n">
        <v>32</v>
      </c>
      <c r="AH22" s="1342" t="n">
        <v>32</v>
      </c>
      <c r="AI22" s="1342" t="n">
        <v>32</v>
      </c>
      <c r="AJ22" s="1342" t="n">
        <v>32</v>
      </c>
      <c r="AK22" s="1342" t="n">
        <v>32</v>
      </c>
      <c r="AL22" s="1342" t="n">
        <v>32</v>
      </c>
      <c r="AM22" s="1342" t="n">
        <v>32</v>
      </c>
      <c r="AN22" s="1342" t="n">
        <v>32</v>
      </c>
      <c r="AO22" s="1342" t="n">
        <v>32</v>
      </c>
      <c r="AP22" s="1342" t="n">
        <v>32</v>
      </c>
      <c r="AQ22" s="1343" t="n">
        <v>32</v>
      </c>
      <c r="AR22" s="1338" t="n">
        <v>390</v>
      </c>
      <c r="AS22" s="236" t="n"/>
      <c r="AT22" s="1342" t="n">
        <v>32</v>
      </c>
      <c r="AU22" s="1342" t="n">
        <v>32</v>
      </c>
      <c r="AV22" s="1342" t="n">
        <v>32</v>
      </c>
      <c r="AW22" s="1342" t="n">
        <v>32</v>
      </c>
      <c r="AX22" s="1342" t="n">
        <v>32</v>
      </c>
      <c r="AY22" s="1342" t="n">
        <v>32</v>
      </c>
      <c r="AZ22" s="1342" t="n">
        <v>32</v>
      </c>
      <c r="BA22" s="1342" t="n">
        <v>32</v>
      </c>
      <c r="BB22" s="1342" t="n">
        <v>32</v>
      </c>
      <c r="BC22" s="1342" t="n">
        <v>32</v>
      </c>
      <c r="BD22" s="1342" t="n">
        <v>32</v>
      </c>
      <c r="BE22" s="1343" t="n">
        <v>32</v>
      </c>
      <c r="BF22" s="1338">
        <f>SUM(AT22:BE22)</f>
        <v/>
      </c>
      <c r="BG22" s="236" t="n"/>
      <c r="BH22" s="236" t="n"/>
      <c r="BI22" s="236" t="n"/>
      <c r="BJ22" s="236" t="n"/>
      <c r="BK22" s="236" t="n"/>
      <c r="BL22" s="236" t="n"/>
      <c r="BM22" s="236" t="n"/>
      <c r="BN22" s="236" t="n"/>
      <c r="BO22" s="236" t="n"/>
      <c r="BP22" s="236" t="n"/>
      <c r="BQ22" s="236" t="n"/>
      <c r="BR22" s="236" t="n"/>
      <c r="BS22" s="236" t="n"/>
      <c r="BT22" s="236" t="n"/>
      <c r="BU22" s="236" t="n"/>
      <c r="BV22" s="236" t="n"/>
      <c r="BW22" s="236" t="n"/>
      <c r="BX22" s="236" t="n"/>
      <c r="BY22" s="236" t="n"/>
      <c r="BZ22" s="236" t="n"/>
      <c r="CA22" s="236" t="n"/>
      <c r="CB22" s="236" t="n"/>
      <c r="CC22" s="236" t="n"/>
      <c r="CD22" s="236" t="n"/>
      <c r="CE22" s="236" t="n"/>
      <c r="CF22" s="236" t="n"/>
      <c r="CG22" s="236" t="n"/>
    </row>
    <row r="23" ht="23" customHeight="1">
      <c r="A23" s="1334" t="inlineStr">
        <is>
          <t xml:space="preserve"> Adobe Illustrator </t>
        </is>
      </c>
      <c r="B23" s="1335" t="n"/>
      <c r="C23" s="1336" t="n"/>
      <c r="D23" s="1344" t="n">
        <v>34</v>
      </c>
      <c r="E23" s="1344" t="n">
        <v>34</v>
      </c>
      <c r="F23" s="1344" t="n">
        <v>34</v>
      </c>
      <c r="G23" s="1344" t="n">
        <v>34</v>
      </c>
      <c r="H23" s="1344" t="n">
        <v>34</v>
      </c>
      <c r="I23" s="1344" t="n">
        <v>34</v>
      </c>
      <c r="J23" s="1344" t="n">
        <v>34</v>
      </c>
      <c r="K23" s="1344" t="n">
        <v>34</v>
      </c>
      <c r="L23" s="1344" t="n">
        <v>34</v>
      </c>
      <c r="M23" s="1344" t="n">
        <v>34</v>
      </c>
      <c r="N23" s="1344" t="n">
        <v>34</v>
      </c>
      <c r="O23" s="1345" t="n">
        <v>34</v>
      </c>
      <c r="P23" s="1338" t="n">
        <v>409</v>
      </c>
      <c r="Q23" s="248" t="n"/>
      <c r="R23" s="1344" t="n">
        <v>34</v>
      </c>
      <c r="S23" s="1344" t="n">
        <v>34</v>
      </c>
      <c r="T23" s="1344" t="n">
        <v>34</v>
      </c>
      <c r="U23" s="1344" t="n">
        <v>34</v>
      </c>
      <c r="V23" s="1344" t="n">
        <v>34</v>
      </c>
      <c r="W23" s="1344" t="n">
        <v>34</v>
      </c>
      <c r="X23" s="1344" t="n">
        <v>34</v>
      </c>
      <c r="Y23" s="1344" t="n">
        <v>34</v>
      </c>
      <c r="Z23" s="1344" t="n">
        <v>34</v>
      </c>
      <c r="AA23" s="1344" t="n">
        <v>34</v>
      </c>
      <c r="AB23" s="1344" t="n">
        <v>34</v>
      </c>
      <c r="AC23" s="1345" t="n">
        <v>34</v>
      </c>
      <c r="AD23" s="1338" t="n">
        <v>409</v>
      </c>
      <c r="AE23" s="248" t="n"/>
      <c r="AF23" s="1344" t="n">
        <v>34</v>
      </c>
      <c r="AG23" s="1344" t="n">
        <v>34</v>
      </c>
      <c r="AH23" s="1344" t="n">
        <v>34</v>
      </c>
      <c r="AI23" s="1344" t="n">
        <v>34</v>
      </c>
      <c r="AJ23" s="1344" t="n">
        <v>34</v>
      </c>
      <c r="AK23" s="1344" t="n">
        <v>34</v>
      </c>
      <c r="AL23" s="1344" t="n">
        <v>34</v>
      </c>
      <c r="AM23" s="1344" t="n">
        <v>34</v>
      </c>
      <c r="AN23" s="1344" t="n">
        <v>34</v>
      </c>
      <c r="AO23" s="1344" t="n">
        <v>34</v>
      </c>
      <c r="AP23" s="1344" t="n">
        <v>34</v>
      </c>
      <c r="AQ23" s="1345" t="n">
        <v>34</v>
      </c>
      <c r="AR23" s="1338" t="n">
        <v>409</v>
      </c>
      <c r="AS23" s="236" t="n"/>
      <c r="AT23" s="1344" t="n">
        <v>34</v>
      </c>
      <c r="AU23" s="1344" t="n">
        <v>34</v>
      </c>
      <c r="AV23" s="1344" t="n">
        <v>34</v>
      </c>
      <c r="AW23" s="1344" t="n">
        <v>34</v>
      </c>
      <c r="AX23" s="1344" t="n">
        <v>34</v>
      </c>
      <c r="AY23" s="1344" t="n">
        <v>34</v>
      </c>
      <c r="AZ23" s="1344" t="n">
        <v>34</v>
      </c>
      <c r="BA23" s="1344" t="n">
        <v>34</v>
      </c>
      <c r="BB23" s="1344" t="n">
        <v>34</v>
      </c>
      <c r="BC23" s="1344" t="n">
        <v>34</v>
      </c>
      <c r="BD23" s="1344" t="n">
        <v>34</v>
      </c>
      <c r="BE23" s="1345" t="n">
        <v>34</v>
      </c>
      <c r="BF23" s="1338">
        <f>SUM(AT23:BE23)</f>
        <v/>
      </c>
      <c r="BG23" s="236" t="n"/>
      <c r="BH23" s="236" t="n"/>
      <c r="BI23" s="236" t="n"/>
      <c r="BJ23" s="236" t="n"/>
      <c r="BK23" s="236" t="n"/>
      <c r="BL23" s="236" t="n"/>
      <c r="BM23" s="236" t="n"/>
      <c r="BN23" s="236" t="n"/>
      <c r="BO23" s="236" t="n"/>
      <c r="BP23" s="236" t="n"/>
      <c r="BQ23" s="236" t="n"/>
      <c r="BR23" s="236" t="n"/>
      <c r="BS23" s="236" t="n"/>
      <c r="BT23" s="236" t="n"/>
      <c r="BU23" s="236" t="n"/>
      <c r="BV23" s="236" t="n"/>
      <c r="BW23" s="236" t="n"/>
      <c r="BX23" s="236" t="n"/>
      <c r="BY23" s="236" t="n"/>
      <c r="BZ23" s="236" t="n"/>
      <c r="CA23" s="236" t="n"/>
      <c r="CB23" s="236" t="n"/>
      <c r="CC23" s="236" t="n"/>
      <c r="CD23" s="236" t="n"/>
      <c r="CE23" s="236" t="n"/>
      <c r="CF23" s="236" t="n"/>
      <c r="CG23" s="236" t="n"/>
    </row>
    <row r="24" ht="23" customHeight="1">
      <c r="A24" s="1334" t="inlineStr">
        <is>
          <t xml:space="preserve"> Hightail </t>
        </is>
      </c>
      <c r="B24" s="1335" t="n"/>
      <c r="C24" s="1336" t="n"/>
      <c r="D24" s="1346" t="inlineStr">
        <is>
          <t xml:space="preserve">   </t>
        </is>
      </c>
      <c r="E24" s="1347" t="inlineStr">
        <is>
          <t xml:space="preserve">   </t>
        </is>
      </c>
      <c r="F24" s="1347" t="inlineStr">
        <is>
          <t xml:space="preserve">   </t>
        </is>
      </c>
      <c r="G24" s="1347" t="inlineStr">
        <is>
          <t xml:space="preserve">   </t>
        </is>
      </c>
      <c r="H24" s="1347" t="inlineStr">
        <is>
          <t xml:space="preserve">   </t>
        </is>
      </c>
      <c r="I24" s="1347" t="inlineStr">
        <is>
          <t xml:space="preserve">   </t>
        </is>
      </c>
      <c r="J24" s="1347" t="inlineStr">
        <is>
          <t xml:space="preserve">   </t>
        </is>
      </c>
      <c r="K24" s="1347" t="n">
        <v>180</v>
      </c>
      <c r="L24" s="1347" t="inlineStr">
        <is>
          <t xml:space="preserve">   </t>
        </is>
      </c>
      <c r="M24" s="1347" t="inlineStr">
        <is>
          <t xml:space="preserve">   </t>
        </is>
      </c>
      <c r="N24" s="1347" t="inlineStr">
        <is>
          <t xml:space="preserve">   </t>
        </is>
      </c>
      <c r="O24" s="1347" t="inlineStr">
        <is>
          <t xml:space="preserve">   </t>
        </is>
      </c>
      <c r="P24" s="1338" t="n">
        <v>180</v>
      </c>
      <c r="Q24" s="248" t="n"/>
      <c r="R24" s="1346" t="inlineStr">
        <is>
          <t xml:space="preserve">   </t>
        </is>
      </c>
      <c r="S24" s="1347" t="inlineStr">
        <is>
          <t xml:space="preserve">   </t>
        </is>
      </c>
      <c r="T24" s="1347" t="inlineStr">
        <is>
          <t xml:space="preserve">   </t>
        </is>
      </c>
      <c r="U24" s="1347" t="inlineStr">
        <is>
          <t xml:space="preserve">   </t>
        </is>
      </c>
      <c r="V24" s="1347" t="inlineStr">
        <is>
          <t xml:space="preserve">   </t>
        </is>
      </c>
      <c r="W24" s="1347" t="inlineStr">
        <is>
          <t xml:space="preserve">   </t>
        </is>
      </c>
      <c r="X24" s="1347" t="inlineStr">
        <is>
          <t xml:space="preserve">   </t>
        </is>
      </c>
      <c r="Y24" s="1347" t="n">
        <v>180</v>
      </c>
      <c r="Z24" s="1347" t="inlineStr">
        <is>
          <t xml:space="preserve">   </t>
        </is>
      </c>
      <c r="AA24" s="1347" t="inlineStr">
        <is>
          <t xml:space="preserve">   </t>
        </is>
      </c>
      <c r="AB24" s="1347" t="inlineStr">
        <is>
          <t xml:space="preserve">   </t>
        </is>
      </c>
      <c r="AC24" s="1347" t="inlineStr">
        <is>
          <t xml:space="preserve">   </t>
        </is>
      </c>
      <c r="AD24" s="1338" t="n">
        <v>180</v>
      </c>
      <c r="AE24" s="248" t="n"/>
      <c r="AF24" s="1346" t="inlineStr">
        <is>
          <t xml:space="preserve">   </t>
        </is>
      </c>
      <c r="AG24" s="1347" t="inlineStr">
        <is>
          <t xml:space="preserve">   </t>
        </is>
      </c>
      <c r="AH24" s="1347" t="inlineStr">
        <is>
          <t xml:space="preserve">   </t>
        </is>
      </c>
      <c r="AI24" s="1347" t="inlineStr">
        <is>
          <t xml:space="preserve">   </t>
        </is>
      </c>
      <c r="AJ24" s="1347" t="inlineStr">
        <is>
          <t xml:space="preserve">   </t>
        </is>
      </c>
      <c r="AK24" s="1347" t="inlineStr">
        <is>
          <t xml:space="preserve">   </t>
        </is>
      </c>
      <c r="AL24" s="1347" t="inlineStr">
        <is>
          <t xml:space="preserve">   </t>
        </is>
      </c>
      <c r="AM24" s="1347" t="n">
        <v>180</v>
      </c>
      <c r="AN24" s="1347" t="inlineStr">
        <is>
          <t xml:space="preserve">   </t>
        </is>
      </c>
      <c r="AO24" s="1347" t="inlineStr">
        <is>
          <t xml:space="preserve">   </t>
        </is>
      </c>
      <c r="AP24" s="1347" t="inlineStr">
        <is>
          <t xml:space="preserve">   </t>
        </is>
      </c>
      <c r="AQ24" s="1347" t="inlineStr">
        <is>
          <t xml:space="preserve">   </t>
        </is>
      </c>
      <c r="AR24" s="1338" t="n">
        <v>180</v>
      </c>
      <c r="AS24" s="236" t="n"/>
      <c r="AT24" s="1346" t="inlineStr">
        <is>
          <t xml:space="preserve">   </t>
        </is>
      </c>
      <c r="AU24" s="1347" t="inlineStr">
        <is>
          <t xml:space="preserve">   </t>
        </is>
      </c>
      <c r="AV24" s="1347" t="inlineStr">
        <is>
          <t xml:space="preserve">   </t>
        </is>
      </c>
      <c r="AW24" s="1347" t="inlineStr">
        <is>
          <t xml:space="preserve">   </t>
        </is>
      </c>
      <c r="AX24" s="1347" t="inlineStr">
        <is>
          <t xml:space="preserve">   </t>
        </is>
      </c>
      <c r="AY24" s="1347" t="inlineStr">
        <is>
          <t xml:space="preserve">   </t>
        </is>
      </c>
      <c r="AZ24" s="1347" t="inlineStr">
        <is>
          <t xml:space="preserve">   </t>
        </is>
      </c>
      <c r="BA24" s="1347" t="n">
        <v>180</v>
      </c>
      <c r="BB24" s="1347" t="inlineStr">
        <is>
          <t xml:space="preserve">   </t>
        </is>
      </c>
      <c r="BC24" s="1347" t="inlineStr">
        <is>
          <t xml:space="preserve">   </t>
        </is>
      </c>
      <c r="BD24" s="1347" t="inlineStr">
        <is>
          <t xml:space="preserve">   </t>
        </is>
      </c>
      <c r="BE24" s="1347" t="inlineStr">
        <is>
          <t xml:space="preserve">   </t>
        </is>
      </c>
      <c r="BF24" s="1338">
        <f>SUM(AT24:BE24)</f>
        <v/>
      </c>
      <c r="BG24" s="236" t="n"/>
      <c r="BH24" s="236" t="n"/>
      <c r="BI24" s="236" t="n"/>
      <c r="BJ24" s="236" t="n"/>
      <c r="BK24" s="236" t="n"/>
      <c r="BL24" s="236" t="n"/>
      <c r="BM24" s="236" t="n"/>
      <c r="BN24" s="236" t="n"/>
      <c r="BO24" s="236" t="n"/>
      <c r="BP24" s="236" t="n"/>
      <c r="BQ24" s="236" t="n"/>
      <c r="BR24" s="236" t="n"/>
      <c r="BS24" s="236" t="n"/>
      <c r="BT24" s="236" t="n"/>
      <c r="BU24" s="236" t="n"/>
      <c r="BV24" s="236" t="n"/>
      <c r="BW24" s="236" t="n"/>
      <c r="BX24" s="236" t="n"/>
      <c r="BY24" s="236" t="n"/>
      <c r="BZ24" s="236" t="n"/>
      <c r="CA24" s="236" t="n"/>
      <c r="CB24" s="236" t="n"/>
      <c r="CC24" s="236" t="n"/>
      <c r="CD24" s="236" t="n"/>
      <c r="CE24" s="236" t="n"/>
      <c r="CF24" s="236" t="n"/>
      <c r="CG24" s="236" t="n"/>
    </row>
    <row r="25" ht="23" customHeight="1">
      <c r="A25" s="1334" t="inlineStr">
        <is>
          <t xml:space="preserve"> Zoom </t>
        </is>
      </c>
      <c r="B25" s="1335" t="n"/>
      <c r="C25" s="1336" t="n"/>
      <c r="D25" s="1346" t="inlineStr">
        <is>
          <t xml:space="preserve">   </t>
        </is>
      </c>
      <c r="E25" s="1347" t="n"/>
      <c r="F25" s="1347" t="n">
        <v>150</v>
      </c>
      <c r="G25" s="1347" t="n"/>
      <c r="H25" s="1347" t="n"/>
      <c r="I25" s="1347" t="n"/>
      <c r="J25" s="1347" t="n"/>
      <c r="K25" s="1347" t="n"/>
      <c r="L25" s="1347" t="n"/>
      <c r="M25" s="1347" t="n"/>
      <c r="N25" s="1347" t="n"/>
      <c r="O25" s="1347" t="n"/>
      <c r="P25" s="1338" t="n">
        <v>150</v>
      </c>
      <c r="Q25" s="248" t="n"/>
      <c r="R25" s="1346" t="inlineStr">
        <is>
          <t xml:space="preserve">   </t>
        </is>
      </c>
      <c r="S25" s="1347" t="n"/>
      <c r="T25" s="1347" t="n">
        <v>150</v>
      </c>
      <c r="U25" s="1347" t="n"/>
      <c r="V25" s="1347" t="n"/>
      <c r="W25" s="1347" t="n"/>
      <c r="X25" s="1347" t="n"/>
      <c r="Y25" s="1347" t="n"/>
      <c r="Z25" s="1347" t="n"/>
      <c r="AA25" s="1347" t="n"/>
      <c r="AB25" s="1347" t="n"/>
      <c r="AC25" s="1347" t="n"/>
      <c r="AD25" s="1338" t="n">
        <v>150</v>
      </c>
      <c r="AE25" s="248" t="n"/>
      <c r="AF25" s="1346" t="inlineStr">
        <is>
          <t xml:space="preserve">   </t>
        </is>
      </c>
      <c r="AG25" s="1347" t="n"/>
      <c r="AH25" s="1347" t="n">
        <v>150</v>
      </c>
      <c r="AI25" s="1347" t="n"/>
      <c r="AJ25" s="1347" t="n"/>
      <c r="AK25" s="1347" t="n"/>
      <c r="AL25" s="1347" t="n"/>
      <c r="AM25" s="1347" t="n"/>
      <c r="AN25" s="1347" t="n"/>
      <c r="AO25" s="1347" t="n"/>
      <c r="AP25" s="1347" t="n"/>
      <c r="AQ25" s="1347" t="n"/>
      <c r="AR25" s="1338" t="n">
        <v>150</v>
      </c>
      <c r="AS25" s="236" t="n"/>
      <c r="AT25" s="1346" t="inlineStr">
        <is>
          <t xml:space="preserve">   </t>
        </is>
      </c>
      <c r="AU25" s="1347" t="n"/>
      <c r="AV25" s="1347" t="n">
        <v>150</v>
      </c>
      <c r="AW25" s="1347" t="n"/>
      <c r="AX25" s="1347" t="n"/>
      <c r="AY25" s="1347" t="n"/>
      <c r="AZ25" s="1347" t="n"/>
      <c r="BA25" s="1347" t="n"/>
      <c r="BB25" s="1347" t="n"/>
      <c r="BC25" s="1347" t="n"/>
      <c r="BD25" s="1347" t="n"/>
      <c r="BE25" s="1347" t="n"/>
      <c r="BF25" s="1338">
        <f>SUM(AT25:BE25)</f>
        <v/>
      </c>
      <c r="BG25" s="236" t="n"/>
      <c r="BH25" s="236" t="n"/>
      <c r="BI25" s="236" t="n"/>
      <c r="BJ25" s="236" t="n"/>
      <c r="BK25" s="236" t="n"/>
      <c r="BL25" s="236" t="n"/>
      <c r="BM25" s="236" t="n"/>
      <c r="BN25" s="236" t="n"/>
      <c r="BO25" s="236" t="n"/>
      <c r="BP25" s="236" t="n"/>
      <c r="BQ25" s="236" t="n"/>
      <c r="BR25" s="236" t="n"/>
      <c r="BS25" s="236" t="n"/>
      <c r="BT25" s="236" t="n"/>
      <c r="BU25" s="236" t="n"/>
      <c r="BV25" s="236" t="n"/>
      <c r="BW25" s="236" t="n"/>
      <c r="BX25" s="236" t="n"/>
      <c r="BY25" s="236" t="n"/>
      <c r="BZ25" s="236" t="n"/>
      <c r="CA25" s="236" t="n"/>
      <c r="CB25" s="236" t="n"/>
      <c r="CC25" s="236" t="n"/>
      <c r="CD25" s="236" t="n"/>
      <c r="CE25" s="236" t="n"/>
      <c r="CF25" s="236" t="n"/>
      <c r="CG25" s="236" t="n"/>
    </row>
    <row r="26" ht="23" customHeight="1">
      <c r="A26" s="1334" t="inlineStr">
        <is>
          <t xml:space="preserve"> Typeform </t>
        </is>
      </c>
      <c r="B26" s="1335" t="n"/>
      <c r="C26" s="1336" t="n"/>
      <c r="D26" s="1348" t="inlineStr">
        <is>
          <t xml:space="preserve">   </t>
        </is>
      </c>
      <c r="E26" s="1335" t="inlineStr">
        <is>
          <t xml:space="preserve">                   -   </t>
        </is>
      </c>
      <c r="F26" s="1335" t="inlineStr">
        <is>
          <t xml:space="preserve">                   -   </t>
        </is>
      </c>
      <c r="G26" s="1335" t="inlineStr">
        <is>
          <t xml:space="preserve">                   -   </t>
        </is>
      </c>
      <c r="H26" s="1335" t="inlineStr">
        <is>
          <t xml:space="preserve">                   -   </t>
        </is>
      </c>
      <c r="I26" s="1335" t="n">
        <v>350</v>
      </c>
      <c r="J26" s="1335" t="inlineStr">
        <is>
          <t xml:space="preserve">                   -   </t>
        </is>
      </c>
      <c r="K26" s="1335" t="inlineStr">
        <is>
          <t xml:space="preserve">                   -   </t>
        </is>
      </c>
      <c r="L26" s="1335" t="inlineStr">
        <is>
          <t xml:space="preserve">                   -   </t>
        </is>
      </c>
      <c r="M26" s="1335" t="inlineStr">
        <is>
          <t xml:space="preserve">                   -   </t>
        </is>
      </c>
      <c r="N26" s="1335" t="inlineStr">
        <is>
          <t xml:space="preserve">                   -   </t>
        </is>
      </c>
      <c r="O26" s="1335" t="inlineStr">
        <is>
          <t xml:space="preserve">                   -   </t>
        </is>
      </c>
      <c r="P26" s="1338" t="n">
        <v>350</v>
      </c>
      <c r="Q26" s="248" t="n"/>
      <c r="R26" s="1348" t="inlineStr">
        <is>
          <t xml:space="preserve">   </t>
        </is>
      </c>
      <c r="S26" s="1335" t="inlineStr">
        <is>
          <t xml:space="preserve">                   -   </t>
        </is>
      </c>
      <c r="T26" s="1335" t="inlineStr">
        <is>
          <t xml:space="preserve">                   -   </t>
        </is>
      </c>
      <c r="U26" s="1335" t="inlineStr">
        <is>
          <t xml:space="preserve">                   -   </t>
        </is>
      </c>
      <c r="V26" s="1335" t="inlineStr">
        <is>
          <t xml:space="preserve">                   -   </t>
        </is>
      </c>
      <c r="W26" s="1335" t="n">
        <v>350</v>
      </c>
      <c r="X26" s="1335" t="inlineStr">
        <is>
          <t xml:space="preserve">                   -   </t>
        </is>
      </c>
      <c r="Y26" s="1335" t="inlineStr">
        <is>
          <t xml:space="preserve">                   -   </t>
        </is>
      </c>
      <c r="Z26" s="1335" t="inlineStr">
        <is>
          <t xml:space="preserve">                   -   </t>
        </is>
      </c>
      <c r="AA26" s="1335" t="inlineStr">
        <is>
          <t xml:space="preserve">                   -   </t>
        </is>
      </c>
      <c r="AB26" s="1335" t="inlineStr">
        <is>
          <t xml:space="preserve">                   -   </t>
        </is>
      </c>
      <c r="AC26" s="1335" t="inlineStr">
        <is>
          <t xml:space="preserve">                   -   </t>
        </is>
      </c>
      <c r="AD26" s="1338" t="n">
        <v>350</v>
      </c>
      <c r="AE26" s="248" t="n"/>
      <c r="AF26" s="1348" t="inlineStr">
        <is>
          <t xml:space="preserve">   </t>
        </is>
      </c>
      <c r="AG26" s="1335" t="inlineStr">
        <is>
          <t xml:space="preserve">                   -   </t>
        </is>
      </c>
      <c r="AH26" s="1335" t="inlineStr">
        <is>
          <t xml:space="preserve">                   -   </t>
        </is>
      </c>
      <c r="AI26" s="1335" t="inlineStr">
        <is>
          <t xml:space="preserve">                   -   </t>
        </is>
      </c>
      <c r="AJ26" s="1335" t="inlineStr">
        <is>
          <t xml:space="preserve">                   -   </t>
        </is>
      </c>
      <c r="AK26" s="1335" t="n">
        <v>350</v>
      </c>
      <c r="AL26" s="1335" t="inlineStr">
        <is>
          <t xml:space="preserve">                   -   </t>
        </is>
      </c>
      <c r="AM26" s="1335" t="inlineStr">
        <is>
          <t xml:space="preserve">                   -   </t>
        </is>
      </c>
      <c r="AN26" s="1335" t="inlineStr">
        <is>
          <t xml:space="preserve">                   -   </t>
        </is>
      </c>
      <c r="AO26" s="1335" t="inlineStr">
        <is>
          <t xml:space="preserve">                   -   </t>
        </is>
      </c>
      <c r="AP26" s="1335" t="inlineStr">
        <is>
          <t xml:space="preserve">                   -   </t>
        </is>
      </c>
      <c r="AQ26" s="1335" t="inlineStr">
        <is>
          <t xml:space="preserve">                   -   </t>
        </is>
      </c>
      <c r="AR26" s="1338" t="n">
        <v>350</v>
      </c>
      <c r="AS26" s="236" t="n"/>
      <c r="AT26" s="1348" t="inlineStr">
        <is>
          <t xml:space="preserve">   </t>
        </is>
      </c>
      <c r="AU26" s="1335" t="inlineStr">
        <is>
          <t xml:space="preserve">                   -   </t>
        </is>
      </c>
      <c r="AV26" s="1335" t="inlineStr">
        <is>
          <t xml:space="preserve">                   -   </t>
        </is>
      </c>
      <c r="AW26" s="1335" t="inlineStr">
        <is>
          <t xml:space="preserve">                   -   </t>
        </is>
      </c>
      <c r="AX26" s="1335" t="inlineStr">
        <is>
          <t xml:space="preserve">                   -   </t>
        </is>
      </c>
      <c r="AY26" s="1335" t="n">
        <v>350</v>
      </c>
      <c r="AZ26" s="1335" t="inlineStr">
        <is>
          <t xml:space="preserve">                   -   </t>
        </is>
      </c>
      <c r="BA26" s="1335" t="inlineStr">
        <is>
          <t xml:space="preserve">                   -   </t>
        </is>
      </c>
      <c r="BB26" s="1335" t="inlineStr">
        <is>
          <t xml:space="preserve">                   -   </t>
        </is>
      </c>
      <c r="BC26" s="1335" t="inlineStr">
        <is>
          <t xml:space="preserve">                   -   </t>
        </is>
      </c>
      <c r="BD26" s="1335" t="inlineStr">
        <is>
          <t xml:space="preserve">                   -   </t>
        </is>
      </c>
      <c r="BE26" s="1335" t="inlineStr">
        <is>
          <t xml:space="preserve">                   -   </t>
        </is>
      </c>
      <c r="BF26" s="1338">
        <f>SUM(AT26:BE26)</f>
        <v/>
      </c>
      <c r="BG26" s="236" t="n"/>
      <c r="BH26" s="236" t="n"/>
      <c r="BI26" s="236" t="n"/>
      <c r="BJ26" s="236" t="n"/>
      <c r="BK26" s="236" t="n"/>
      <c r="BL26" s="236" t="n"/>
      <c r="BM26" s="236" t="n"/>
      <c r="BN26" s="236" t="n"/>
      <c r="BO26" s="236" t="n"/>
      <c r="BP26" s="236" t="n"/>
      <c r="BQ26" s="236" t="n"/>
      <c r="BR26" s="236" t="n"/>
      <c r="BS26" s="236" t="n"/>
      <c r="BT26" s="236" t="n"/>
      <c r="BU26" s="236" t="n"/>
      <c r="BV26" s="236" t="n"/>
      <c r="BW26" s="236" t="n"/>
      <c r="BX26" s="236" t="n"/>
      <c r="BY26" s="236" t="n"/>
      <c r="BZ26" s="236" t="n"/>
      <c r="CA26" s="236" t="n"/>
      <c r="CB26" s="236" t="n"/>
      <c r="CC26" s="236" t="n"/>
      <c r="CD26" s="236" t="n"/>
      <c r="CE26" s="236" t="n"/>
      <c r="CF26" s="236" t="n"/>
      <c r="CG26" s="236" t="n"/>
    </row>
    <row r="27" ht="23" customHeight="1">
      <c r="A27" s="1334" t="inlineStr">
        <is>
          <t xml:space="preserve"> Canva </t>
        </is>
      </c>
      <c r="B27" s="1335" t="n"/>
      <c r="C27" s="1336" t="n"/>
      <c r="D27" s="1348" t="inlineStr">
        <is>
          <t xml:space="preserve">   </t>
        </is>
      </c>
      <c r="E27" s="1335" t="inlineStr">
        <is>
          <t xml:space="preserve">                   -   </t>
        </is>
      </c>
      <c r="F27" s="1335" t="inlineStr">
        <is>
          <t xml:space="preserve">                   -   </t>
        </is>
      </c>
      <c r="G27" s="1335" t="n">
        <v>120</v>
      </c>
      <c r="H27" s="1335" t="inlineStr">
        <is>
          <t xml:space="preserve">                   -   </t>
        </is>
      </c>
      <c r="I27" s="1335" t="inlineStr">
        <is>
          <t xml:space="preserve">                   -   </t>
        </is>
      </c>
      <c r="J27" s="1335" t="inlineStr">
        <is>
          <t xml:space="preserve">                   -   </t>
        </is>
      </c>
      <c r="K27" s="1335" t="inlineStr">
        <is>
          <t xml:space="preserve">                   -   </t>
        </is>
      </c>
      <c r="L27" s="1335" t="inlineStr">
        <is>
          <t xml:space="preserve">                   -   </t>
        </is>
      </c>
      <c r="M27" s="1335" t="inlineStr">
        <is>
          <t xml:space="preserve">                   -   </t>
        </is>
      </c>
      <c r="N27" s="1335" t="inlineStr">
        <is>
          <t xml:space="preserve">                   -   </t>
        </is>
      </c>
      <c r="O27" s="1335" t="inlineStr">
        <is>
          <t xml:space="preserve">                   -   </t>
        </is>
      </c>
      <c r="P27" s="1338" t="n">
        <v>120</v>
      </c>
      <c r="Q27" s="248" t="n"/>
      <c r="R27" s="1348" t="inlineStr">
        <is>
          <t xml:space="preserve">   </t>
        </is>
      </c>
      <c r="S27" s="1335" t="inlineStr">
        <is>
          <t xml:space="preserve">                   -   </t>
        </is>
      </c>
      <c r="T27" s="1335" t="inlineStr">
        <is>
          <t xml:space="preserve">                   -   </t>
        </is>
      </c>
      <c r="U27" s="1335" t="n">
        <v>120</v>
      </c>
      <c r="V27" s="1335" t="inlineStr">
        <is>
          <t xml:space="preserve">                   -   </t>
        </is>
      </c>
      <c r="W27" s="1335" t="inlineStr">
        <is>
          <t xml:space="preserve">                   -   </t>
        </is>
      </c>
      <c r="X27" s="1335" t="inlineStr">
        <is>
          <t xml:space="preserve">                   -   </t>
        </is>
      </c>
      <c r="Y27" s="1335" t="inlineStr">
        <is>
          <t xml:space="preserve">                   -   </t>
        </is>
      </c>
      <c r="Z27" s="1335" t="inlineStr">
        <is>
          <t xml:space="preserve">                   -   </t>
        </is>
      </c>
      <c r="AA27" s="1335" t="inlineStr">
        <is>
          <t xml:space="preserve">                   -   </t>
        </is>
      </c>
      <c r="AB27" s="1335" t="inlineStr">
        <is>
          <t xml:space="preserve">                   -   </t>
        </is>
      </c>
      <c r="AC27" s="1335" t="inlineStr">
        <is>
          <t xml:space="preserve">                   -   </t>
        </is>
      </c>
      <c r="AD27" s="1338" t="n">
        <v>120</v>
      </c>
      <c r="AE27" s="248" t="n"/>
      <c r="AF27" s="1348" t="inlineStr">
        <is>
          <t xml:space="preserve">   </t>
        </is>
      </c>
      <c r="AG27" s="1335" t="inlineStr">
        <is>
          <t xml:space="preserve">                   -   </t>
        </is>
      </c>
      <c r="AH27" s="1335" t="inlineStr">
        <is>
          <t xml:space="preserve">                   -   </t>
        </is>
      </c>
      <c r="AI27" s="1335" t="n">
        <v>120</v>
      </c>
      <c r="AJ27" s="1335" t="inlineStr">
        <is>
          <t xml:space="preserve">                   -   </t>
        </is>
      </c>
      <c r="AK27" s="1335" t="inlineStr">
        <is>
          <t xml:space="preserve">                   -   </t>
        </is>
      </c>
      <c r="AL27" s="1335" t="inlineStr">
        <is>
          <t xml:space="preserve">                   -   </t>
        </is>
      </c>
      <c r="AM27" s="1335" t="inlineStr">
        <is>
          <t xml:space="preserve">                   -   </t>
        </is>
      </c>
      <c r="AN27" s="1335" t="inlineStr">
        <is>
          <t xml:space="preserve">                   -   </t>
        </is>
      </c>
      <c r="AO27" s="1335" t="inlineStr">
        <is>
          <t xml:space="preserve">                   -   </t>
        </is>
      </c>
      <c r="AP27" s="1335" t="inlineStr">
        <is>
          <t xml:space="preserve">                   -   </t>
        </is>
      </c>
      <c r="AQ27" s="1335" t="inlineStr">
        <is>
          <t xml:space="preserve">                   -   </t>
        </is>
      </c>
      <c r="AR27" s="1338" t="n">
        <v>120</v>
      </c>
      <c r="AS27" s="236" t="n"/>
      <c r="AT27" s="1348" t="inlineStr">
        <is>
          <t xml:space="preserve">   </t>
        </is>
      </c>
      <c r="AU27" s="1335" t="inlineStr">
        <is>
          <t xml:space="preserve">                   -   </t>
        </is>
      </c>
      <c r="AV27" s="1335" t="inlineStr">
        <is>
          <t xml:space="preserve">                   -   </t>
        </is>
      </c>
      <c r="AW27" s="1335" t="n">
        <v>120</v>
      </c>
      <c r="AX27" s="1335" t="inlineStr">
        <is>
          <t xml:space="preserve">                   -   </t>
        </is>
      </c>
      <c r="AY27" s="1335" t="inlineStr">
        <is>
          <t xml:space="preserve">                   -   </t>
        </is>
      </c>
      <c r="AZ27" s="1335" t="inlineStr">
        <is>
          <t xml:space="preserve">                   -   </t>
        </is>
      </c>
      <c r="BA27" s="1335" t="inlineStr">
        <is>
          <t xml:space="preserve">                   -   </t>
        </is>
      </c>
      <c r="BB27" s="1335" t="inlineStr">
        <is>
          <t xml:space="preserve">                   -   </t>
        </is>
      </c>
      <c r="BC27" s="1335" t="inlineStr">
        <is>
          <t xml:space="preserve">                   -   </t>
        </is>
      </c>
      <c r="BD27" s="1335" t="inlineStr">
        <is>
          <t xml:space="preserve">                   -   </t>
        </is>
      </c>
      <c r="BE27" s="1335" t="inlineStr">
        <is>
          <t xml:space="preserve">                   -   </t>
        </is>
      </c>
      <c r="BF27" s="1338">
        <f>SUM(AT27:BE27)</f>
        <v/>
      </c>
      <c r="BG27" s="236" t="n"/>
      <c r="BH27" s="236" t="n"/>
      <c r="BI27" s="236" t="n"/>
      <c r="BJ27" s="236" t="n"/>
      <c r="BK27" s="236" t="n"/>
      <c r="BL27" s="236" t="n"/>
      <c r="BM27" s="236" t="n"/>
      <c r="BN27" s="236" t="n"/>
      <c r="BO27" s="236" t="n"/>
      <c r="BP27" s="236" t="n"/>
      <c r="BQ27" s="236" t="n"/>
      <c r="BR27" s="236" t="n"/>
      <c r="BS27" s="236" t="n"/>
      <c r="BT27" s="236" t="n"/>
      <c r="BU27" s="236" t="n"/>
      <c r="BV27" s="236" t="n"/>
      <c r="BW27" s="236" t="n"/>
      <c r="BX27" s="236" t="n"/>
      <c r="BY27" s="236" t="n"/>
      <c r="BZ27" s="236" t="n"/>
      <c r="CA27" s="236" t="n"/>
      <c r="CB27" s="236" t="n"/>
      <c r="CC27" s="236" t="n"/>
      <c r="CD27" s="236" t="n"/>
      <c r="CE27" s="236" t="n"/>
      <c r="CF27" s="236" t="n"/>
      <c r="CG27" s="236" t="n"/>
    </row>
    <row r="28" ht="23" customHeight="1">
      <c r="A28" s="1334" t="inlineStr">
        <is>
          <t xml:space="preserve"> Headspace </t>
        </is>
      </c>
      <c r="B28" s="1335" t="n"/>
      <c r="C28" s="1336" t="n"/>
      <c r="D28" s="1348" t="n"/>
      <c r="E28" s="1335" t="n"/>
      <c r="F28" s="1335" t="n"/>
      <c r="G28" s="1335" t="n"/>
      <c r="H28" s="1335" t="n"/>
      <c r="I28" s="1335" t="n"/>
      <c r="J28" s="1335" t="n"/>
      <c r="K28" s="1335" t="n"/>
      <c r="L28" s="1335" t="n">
        <v>72</v>
      </c>
      <c r="M28" s="1335" t="n"/>
      <c r="N28" s="1335" t="n"/>
      <c r="O28" s="1335" t="n"/>
      <c r="P28" s="1338" t="n">
        <v>72</v>
      </c>
      <c r="Q28" s="248" t="n"/>
      <c r="R28" s="1348" t="n"/>
      <c r="S28" s="1335" t="n"/>
      <c r="T28" s="1335" t="n"/>
      <c r="U28" s="1335" t="n"/>
      <c r="V28" s="1335" t="n"/>
      <c r="W28" s="1335" t="n"/>
      <c r="X28" s="1335" t="n"/>
      <c r="Y28" s="1335" t="n"/>
      <c r="Z28" s="1335" t="n">
        <v>72</v>
      </c>
      <c r="AA28" s="1335" t="n"/>
      <c r="AB28" s="1335" t="n"/>
      <c r="AC28" s="1335" t="n"/>
      <c r="AD28" s="1338" t="n">
        <v>72</v>
      </c>
      <c r="AE28" s="248" t="n"/>
      <c r="AF28" s="1348" t="n"/>
      <c r="AG28" s="1335" t="n"/>
      <c r="AH28" s="1335" t="n"/>
      <c r="AI28" s="1335" t="n"/>
      <c r="AJ28" s="1335" t="n"/>
      <c r="AK28" s="1335" t="n"/>
      <c r="AL28" s="1335" t="n"/>
      <c r="AM28" s="1335" t="n"/>
      <c r="AN28" s="1335" t="n">
        <v>72</v>
      </c>
      <c r="AO28" s="1335" t="n"/>
      <c r="AP28" s="1335" t="n"/>
      <c r="AQ28" s="1335" t="n"/>
      <c r="AR28" s="1338" t="n">
        <v>72</v>
      </c>
      <c r="AS28" s="236" t="n"/>
      <c r="AT28" s="1348" t="n"/>
      <c r="AU28" s="1335" t="n"/>
      <c r="AV28" s="1335" t="n"/>
      <c r="AW28" s="1335" t="n"/>
      <c r="AX28" s="1335" t="n"/>
      <c r="AY28" s="1335" t="n"/>
      <c r="AZ28" s="1335" t="n"/>
      <c r="BA28" s="1335" t="n"/>
      <c r="BB28" s="1335" t="n">
        <v>72</v>
      </c>
      <c r="BC28" s="1335" t="n"/>
      <c r="BD28" s="1335" t="n"/>
      <c r="BE28" s="1335" t="n"/>
      <c r="BF28" s="1338">
        <f>SUM(AT28:BE28)</f>
        <v/>
      </c>
      <c r="BG28" s="236" t="n"/>
      <c r="BH28" s="236" t="n"/>
      <c r="BI28" s="236" t="n"/>
      <c r="BJ28" s="236" t="n"/>
      <c r="BK28" s="236" t="n"/>
      <c r="BL28" s="236" t="n"/>
      <c r="BM28" s="236" t="n"/>
      <c r="BN28" s="236" t="n"/>
      <c r="BO28" s="236" t="n"/>
      <c r="BP28" s="236" t="n"/>
      <c r="BQ28" s="236" t="n"/>
      <c r="BR28" s="236" t="n"/>
      <c r="BS28" s="236" t="n"/>
      <c r="BT28" s="236" t="n"/>
      <c r="BU28" s="236" t="n"/>
      <c r="BV28" s="236" t="n"/>
      <c r="BW28" s="236" t="n"/>
      <c r="BX28" s="236" t="n"/>
      <c r="BY28" s="236" t="n"/>
      <c r="BZ28" s="236" t="n"/>
      <c r="CA28" s="236" t="n"/>
      <c r="CB28" s="236" t="n"/>
      <c r="CC28" s="236" t="n"/>
      <c r="CD28" s="236" t="n"/>
      <c r="CE28" s="236" t="n"/>
      <c r="CF28" s="236" t="n"/>
      <c r="CG28" s="236" t="n"/>
    </row>
    <row r="29" ht="23" customHeight="1">
      <c r="A29" s="1334" t="inlineStr">
        <is>
          <t xml:space="preserve"> HBR </t>
        </is>
      </c>
      <c r="B29" s="1335" t="n"/>
      <c r="C29" s="1336" t="n"/>
      <c r="D29" s="1348" t="n"/>
      <c r="E29" s="1335" t="n"/>
      <c r="F29" s="1335" t="n"/>
      <c r="G29" s="1335" t="n"/>
      <c r="H29" s="1335" t="n"/>
      <c r="I29" s="1335" t="n"/>
      <c r="J29" s="1335" t="n"/>
      <c r="K29" s="1335" t="n"/>
      <c r="L29" s="1335" t="n"/>
      <c r="M29" s="1335" t="n">
        <v>120</v>
      </c>
      <c r="N29" s="1335" t="n"/>
      <c r="O29" s="1335" t="n"/>
      <c r="P29" s="1338" t="n">
        <v>120</v>
      </c>
      <c r="Q29" s="248" t="n"/>
      <c r="R29" s="1348" t="n"/>
      <c r="S29" s="1335" t="n"/>
      <c r="T29" s="1335" t="n"/>
      <c r="U29" s="1335" t="n"/>
      <c r="V29" s="1335" t="n"/>
      <c r="W29" s="1335" t="n"/>
      <c r="X29" s="1335" t="n"/>
      <c r="Y29" s="1335" t="n"/>
      <c r="Z29" s="1335" t="n"/>
      <c r="AA29" s="1335" t="n">
        <v>120</v>
      </c>
      <c r="AB29" s="1335" t="n"/>
      <c r="AC29" s="1335" t="n"/>
      <c r="AD29" s="1338" t="n">
        <v>120</v>
      </c>
      <c r="AE29" s="248" t="n"/>
      <c r="AF29" s="1348" t="n"/>
      <c r="AG29" s="1335" t="n"/>
      <c r="AH29" s="1335" t="n"/>
      <c r="AI29" s="1335" t="n"/>
      <c r="AJ29" s="1335" t="n"/>
      <c r="AK29" s="1335" t="n"/>
      <c r="AL29" s="1335" t="n"/>
      <c r="AM29" s="1335" t="n"/>
      <c r="AN29" s="1335" t="n"/>
      <c r="AO29" s="1335" t="n">
        <v>120</v>
      </c>
      <c r="AP29" s="1335" t="n"/>
      <c r="AQ29" s="1335" t="n"/>
      <c r="AR29" s="1338" t="n">
        <v>120</v>
      </c>
      <c r="AS29" s="236" t="n"/>
      <c r="AT29" s="1348" t="n"/>
      <c r="AU29" s="1335" t="n"/>
      <c r="AV29" s="1335" t="n"/>
      <c r="AW29" s="1335" t="n"/>
      <c r="AX29" s="1335" t="n"/>
      <c r="AY29" s="1335" t="n"/>
      <c r="AZ29" s="1335" t="n"/>
      <c r="BA29" s="1335" t="n"/>
      <c r="BB29" s="1335" t="n"/>
      <c r="BC29" s="1335" t="n">
        <v>120</v>
      </c>
      <c r="BD29" s="1335" t="n"/>
      <c r="BE29" s="1335" t="n"/>
      <c r="BF29" s="1338">
        <f>SUM(AT29:BE29)</f>
        <v/>
      </c>
      <c r="BG29" s="236" t="n"/>
      <c r="BH29" s="236" t="n"/>
      <c r="BI29" s="236" t="n"/>
      <c r="BJ29" s="236" t="n"/>
      <c r="BK29" s="236" t="n"/>
      <c r="BL29" s="236" t="n"/>
      <c r="BM29" s="236" t="n"/>
      <c r="BN29" s="236" t="n"/>
      <c r="BO29" s="236" t="n"/>
      <c r="BP29" s="236" t="n"/>
      <c r="BQ29" s="236" t="n"/>
      <c r="BR29" s="236" t="n"/>
      <c r="BS29" s="236" t="n"/>
      <c r="BT29" s="236" t="n"/>
      <c r="BU29" s="236" t="n"/>
      <c r="BV29" s="236" t="n"/>
      <c r="BW29" s="236" t="n"/>
      <c r="BX29" s="236" t="n"/>
      <c r="BY29" s="236" t="n"/>
      <c r="BZ29" s="236" t="n"/>
      <c r="CA29" s="236" t="n"/>
      <c r="CB29" s="236" t="n"/>
      <c r="CC29" s="236" t="n"/>
      <c r="CD29" s="236" t="n"/>
      <c r="CE29" s="236" t="n"/>
      <c r="CF29" s="236" t="n"/>
      <c r="CG29" s="236" t="n"/>
    </row>
    <row r="30" ht="23" customHeight="1">
      <c r="A30" s="1334" t="inlineStr">
        <is>
          <t>Slide Team</t>
        </is>
      </c>
      <c r="B30" s="1335" t="n"/>
      <c r="C30" s="1336" t="n"/>
      <c r="D30" s="1348" t="n">
        <v>0</v>
      </c>
      <c r="E30" s="1348" t="n">
        <v>0</v>
      </c>
      <c r="F30" s="1348" t="n">
        <v>0</v>
      </c>
      <c r="G30" s="1335" t="n">
        <v>142</v>
      </c>
      <c r="H30" s="1335" t="n">
        <v>0</v>
      </c>
      <c r="I30" s="1335" t="n">
        <v>0</v>
      </c>
      <c r="J30" s="1335" t="n">
        <v>0</v>
      </c>
      <c r="K30" s="1335" t="n">
        <v>142</v>
      </c>
      <c r="L30" s="1348" t="n">
        <v>0</v>
      </c>
      <c r="M30" s="1348" t="n">
        <v>0</v>
      </c>
      <c r="N30" s="1348" t="n">
        <v>0</v>
      </c>
      <c r="O30" s="1348" t="n">
        <v>0</v>
      </c>
      <c r="P30" s="1338">
        <f>SUM(D30:O30)</f>
        <v/>
      </c>
      <c r="Q30" s="248" t="n"/>
      <c r="R30" s="1348" t="n">
        <v>0</v>
      </c>
      <c r="S30" s="1348" t="n">
        <v>0</v>
      </c>
      <c r="T30" s="1348" t="n">
        <v>0</v>
      </c>
      <c r="U30" s="1335" t="n">
        <v>142</v>
      </c>
      <c r="V30" s="1335" t="n">
        <v>0</v>
      </c>
      <c r="W30" s="1335" t="n">
        <v>0</v>
      </c>
      <c r="X30" s="1335" t="n">
        <v>0</v>
      </c>
      <c r="Y30" s="1335" t="n">
        <v>142</v>
      </c>
      <c r="Z30" s="1348" t="n">
        <v>0</v>
      </c>
      <c r="AA30" s="1348" t="n">
        <v>0</v>
      </c>
      <c r="AB30" s="1348" t="n">
        <v>0</v>
      </c>
      <c r="AC30" s="1348" t="n">
        <v>0</v>
      </c>
      <c r="AD30" s="1338">
        <f>SUM(R30:AC30)</f>
        <v/>
      </c>
      <c r="AE30" s="248" t="n"/>
      <c r="AF30" s="1348" t="n">
        <v>0</v>
      </c>
      <c r="AG30" s="1348" t="n">
        <v>0</v>
      </c>
      <c r="AH30" s="1348" t="n">
        <v>0</v>
      </c>
      <c r="AI30" s="1335" t="n">
        <v>142</v>
      </c>
      <c r="AJ30" s="1335" t="n">
        <v>0</v>
      </c>
      <c r="AK30" s="1335" t="n">
        <v>0</v>
      </c>
      <c r="AL30" s="1335" t="n">
        <v>0</v>
      </c>
      <c r="AM30" s="1335" t="n">
        <v>142</v>
      </c>
      <c r="AN30" s="1348" t="n">
        <v>0</v>
      </c>
      <c r="AO30" s="1348" t="n">
        <v>0</v>
      </c>
      <c r="AP30" s="1348" t="n">
        <v>0</v>
      </c>
      <c r="AQ30" s="1348" t="n">
        <v>0</v>
      </c>
      <c r="AR30" s="1338">
        <f>SUM(AF30:AQ30)</f>
        <v/>
      </c>
      <c r="AS30" s="236" t="n"/>
      <c r="AT30" s="1348" t="n">
        <v>0</v>
      </c>
      <c r="AU30" s="1348" t="n">
        <v>0</v>
      </c>
      <c r="AV30" s="1348" t="n">
        <v>0</v>
      </c>
      <c r="AW30" s="1335" t="n">
        <v>142</v>
      </c>
      <c r="AX30" s="1335" t="n">
        <v>0</v>
      </c>
      <c r="AY30" s="1335" t="n">
        <v>0</v>
      </c>
      <c r="AZ30" s="1335" t="n">
        <v>0</v>
      </c>
      <c r="BA30" s="1335" t="n">
        <v>142</v>
      </c>
      <c r="BB30" s="1348" t="n">
        <v>0</v>
      </c>
      <c r="BC30" s="1348" t="n">
        <v>0</v>
      </c>
      <c r="BD30" s="1348" t="n">
        <v>0</v>
      </c>
      <c r="BE30" s="1348" t="n">
        <v>0</v>
      </c>
      <c r="BF30" s="1338">
        <f>SUM(AT30:BE30)</f>
        <v/>
      </c>
      <c r="BG30" s="236" t="n"/>
      <c r="BH30" s="236" t="n"/>
      <c r="BI30" s="236" t="n"/>
      <c r="BJ30" s="236" t="n"/>
      <c r="BK30" s="236" t="n"/>
      <c r="BL30" s="236" t="n"/>
      <c r="BM30" s="236" t="n"/>
      <c r="BN30" s="236" t="n"/>
      <c r="BO30" s="236" t="n"/>
      <c r="BP30" s="236" t="n"/>
      <c r="BQ30" s="236" t="n"/>
      <c r="BR30" s="236" t="n"/>
      <c r="BS30" s="236" t="n"/>
      <c r="BT30" s="236" t="n"/>
      <c r="BU30" s="236" t="n"/>
      <c r="BV30" s="236" t="n"/>
      <c r="BW30" s="236" t="n"/>
      <c r="BX30" s="236" t="n"/>
      <c r="BY30" s="236" t="n"/>
      <c r="BZ30" s="236" t="n"/>
      <c r="CA30" s="236" t="n"/>
      <c r="CB30" s="236" t="n"/>
      <c r="CC30" s="236" t="n"/>
      <c r="CD30" s="236" t="n"/>
      <c r="CE30" s="236" t="n"/>
      <c r="CF30" s="236" t="n"/>
      <c r="CG30" s="236" t="n"/>
    </row>
    <row r="31" ht="23" customHeight="1">
      <c r="A31" s="1334" t="inlineStr">
        <is>
          <t xml:space="preserve"> Masterclass </t>
        </is>
      </c>
      <c r="B31" s="1335" t="n"/>
      <c r="C31" s="1336" t="n"/>
      <c r="D31" s="1348" t="n"/>
      <c r="E31" s="1335" t="n"/>
      <c r="F31" s="1335" t="n">
        <v>179</v>
      </c>
      <c r="G31" s="1335" t="inlineStr">
        <is>
          <t xml:space="preserve">   </t>
        </is>
      </c>
      <c r="H31" s="1335" t="n"/>
      <c r="I31" s="1335" t="n"/>
      <c r="J31" s="1335" t="n"/>
      <c r="K31" s="1335" t="n"/>
      <c r="L31" s="1335" t="n"/>
      <c r="M31" s="1335" t="n"/>
      <c r="N31" s="1335" t="n"/>
      <c r="O31" s="1335" t="n"/>
      <c r="P31" s="1338" t="n">
        <v>179</v>
      </c>
      <c r="Q31" s="248" t="n"/>
      <c r="R31" s="1348" t="n"/>
      <c r="S31" s="1335" t="n"/>
      <c r="T31" s="1335" t="n">
        <v>179</v>
      </c>
      <c r="U31" s="1335" t="inlineStr">
        <is>
          <t xml:space="preserve">   </t>
        </is>
      </c>
      <c r="V31" s="1335" t="n"/>
      <c r="W31" s="1335" t="n"/>
      <c r="X31" s="1335" t="n"/>
      <c r="Y31" s="1335" t="n"/>
      <c r="Z31" s="1335" t="n"/>
      <c r="AA31" s="1335" t="n"/>
      <c r="AB31" s="1335" t="n"/>
      <c r="AC31" s="1335" t="n"/>
      <c r="AD31" s="1338" t="n">
        <v>179</v>
      </c>
      <c r="AE31" s="248" t="n"/>
      <c r="AF31" s="1348" t="n"/>
      <c r="AG31" s="1335" t="n"/>
      <c r="AH31" s="1335" t="n">
        <v>179</v>
      </c>
      <c r="AI31" s="1335" t="inlineStr">
        <is>
          <t xml:space="preserve">   </t>
        </is>
      </c>
      <c r="AJ31" s="1335" t="n"/>
      <c r="AK31" s="1335" t="n"/>
      <c r="AL31" s="1335" t="n"/>
      <c r="AM31" s="1335" t="n"/>
      <c r="AN31" s="1335" t="n"/>
      <c r="AO31" s="1335" t="n"/>
      <c r="AP31" s="1335" t="n"/>
      <c r="AQ31" s="1335" t="n"/>
      <c r="AR31" s="1338" t="n">
        <v>179</v>
      </c>
      <c r="AS31" s="236" t="n"/>
      <c r="AT31" s="1348" t="n"/>
      <c r="AU31" s="1335" t="n"/>
      <c r="AV31" s="1335" t="n">
        <v>179</v>
      </c>
      <c r="AW31" s="1335" t="inlineStr">
        <is>
          <t xml:space="preserve">   </t>
        </is>
      </c>
      <c r="AX31" s="1335" t="n"/>
      <c r="AY31" s="1335" t="n"/>
      <c r="AZ31" s="1335" t="n"/>
      <c r="BA31" s="1335" t="n"/>
      <c r="BB31" s="1335" t="n"/>
      <c r="BC31" s="1335" t="n"/>
      <c r="BD31" s="1335" t="n"/>
      <c r="BE31" s="1335" t="n"/>
      <c r="BF31" s="1338">
        <f>SUM(AT31:BE31)</f>
        <v/>
      </c>
      <c r="BG31" s="236" t="n"/>
      <c r="BH31" s="236" t="n"/>
      <c r="BI31" s="236" t="n"/>
      <c r="BJ31" s="236" t="n"/>
      <c r="BK31" s="236" t="n"/>
      <c r="BL31" s="236" t="n"/>
      <c r="BM31" s="236" t="n"/>
      <c r="BN31" s="236" t="n"/>
      <c r="BO31" s="236" t="n"/>
      <c r="BP31" s="236" t="n"/>
      <c r="BQ31" s="236" t="n"/>
      <c r="BR31" s="236" t="n"/>
      <c r="BS31" s="236" t="n"/>
      <c r="BT31" s="236" t="n"/>
      <c r="BU31" s="236" t="n"/>
      <c r="BV31" s="236" t="n"/>
      <c r="BW31" s="236" t="n"/>
      <c r="BX31" s="236" t="n"/>
      <c r="BY31" s="236" t="n"/>
      <c r="BZ31" s="236" t="n"/>
      <c r="CA31" s="236" t="n"/>
      <c r="CB31" s="236" t="n"/>
      <c r="CC31" s="236" t="n"/>
      <c r="CD31" s="236" t="n"/>
      <c r="CE31" s="236" t="n"/>
      <c r="CF31" s="236" t="n"/>
      <c r="CG31" s="236" t="n"/>
    </row>
    <row r="32" ht="23" customHeight="1">
      <c r="A32" s="1349" t="inlineStr">
        <is>
          <t>Programs</t>
        </is>
      </c>
      <c r="B32" s="1335" t="n"/>
      <c r="C32" s="1336" t="n"/>
      <c r="D32" s="1348" t="n"/>
      <c r="E32" s="1335" t="n"/>
      <c r="F32" s="1335" t="n"/>
      <c r="G32" s="1335" t="n"/>
      <c r="H32" s="1335" t="n"/>
      <c r="I32" s="1335" t="n"/>
      <c r="J32" s="1335" t="n"/>
      <c r="K32" s="1335" t="n"/>
      <c r="L32" s="1335" t="n"/>
      <c r="M32" s="1335" t="n"/>
      <c r="N32" s="1335" t="n"/>
      <c r="O32" s="1335" t="n"/>
      <c r="P32" s="1338" t="n"/>
      <c r="Q32" s="248" t="n"/>
      <c r="R32" s="1348" t="n"/>
      <c r="S32" s="1335" t="n"/>
      <c r="T32" s="1335" t="n"/>
      <c r="U32" s="1335" t="n"/>
      <c r="V32" s="1335" t="n"/>
      <c r="W32" s="1335" t="n"/>
      <c r="X32" s="1335" t="n"/>
      <c r="Y32" s="1335" t="n"/>
      <c r="Z32" s="1335" t="n"/>
      <c r="AA32" s="1335" t="n"/>
      <c r="AB32" s="1335" t="n"/>
      <c r="AC32" s="1335" t="n"/>
      <c r="AD32" s="1338" t="n"/>
      <c r="AE32" s="248" t="n"/>
      <c r="AF32" s="1348" t="n"/>
      <c r="AG32" s="1335" t="n"/>
      <c r="AH32" s="1335" t="n"/>
      <c r="AI32" s="1335" t="n"/>
      <c r="AJ32" s="1335" t="n"/>
      <c r="AK32" s="1335" t="n"/>
      <c r="AL32" s="1335" t="n"/>
      <c r="AM32" s="1335" t="n"/>
      <c r="AN32" s="1335" t="n"/>
      <c r="AO32" s="1335" t="n"/>
      <c r="AP32" s="1335" t="n"/>
      <c r="AQ32" s="1335" t="n"/>
      <c r="AR32" s="1338" t="n"/>
      <c r="AS32" s="236" t="n"/>
      <c r="AT32" s="1348" t="n"/>
      <c r="AU32" s="1335" t="n"/>
      <c r="AV32" s="1335" t="n"/>
      <c r="AW32" s="1335" t="n"/>
      <c r="AX32" s="1335" t="n"/>
      <c r="AY32" s="1335" t="n"/>
      <c r="AZ32" s="1335" t="n"/>
      <c r="BA32" s="1335" t="n"/>
      <c r="BB32" s="1335" t="n"/>
      <c r="BC32" s="1335" t="n"/>
      <c r="BD32" s="1335" t="n"/>
      <c r="BE32" s="1335" t="n"/>
      <c r="BF32" s="1338">
        <f>SUM(AT32:BE32)</f>
        <v/>
      </c>
      <c r="BG32" s="236" t="n"/>
      <c r="BH32" s="236" t="n"/>
      <c r="BI32" s="236" t="n"/>
      <c r="BJ32" s="236" t="n"/>
      <c r="BK32" s="236" t="n"/>
      <c r="BL32" s="236" t="n"/>
      <c r="BM32" s="236" t="n"/>
      <c r="BN32" s="236" t="n"/>
      <c r="BO32" s="236" t="n"/>
      <c r="BP32" s="236" t="n"/>
      <c r="BQ32" s="236" t="n"/>
      <c r="BR32" s="236" t="n"/>
      <c r="BS32" s="236" t="n"/>
      <c r="BT32" s="236" t="n"/>
      <c r="BU32" s="236" t="n"/>
      <c r="BV32" s="236" t="n"/>
      <c r="BW32" s="236" t="n"/>
      <c r="BX32" s="236" t="n"/>
      <c r="BY32" s="236" t="n"/>
      <c r="BZ32" s="236" t="n"/>
      <c r="CA32" s="236" t="n"/>
      <c r="CB32" s="236" t="n"/>
      <c r="CC32" s="236" t="n"/>
      <c r="CD32" s="236" t="n"/>
      <c r="CE32" s="236" t="n"/>
      <c r="CF32" s="236" t="n"/>
      <c r="CG32" s="236" t="n"/>
    </row>
    <row r="33" ht="23" customHeight="1">
      <c r="A33" s="1350" t="inlineStr">
        <is>
          <t>HubSpot</t>
        </is>
      </c>
      <c r="B33" s="1335" t="n"/>
      <c r="C33" s="1336" t="n"/>
      <c r="D33" s="1335" t="n">
        <v>800</v>
      </c>
      <c r="E33" s="1335" t="n">
        <v>800</v>
      </c>
      <c r="F33" s="1335" t="n">
        <v>800</v>
      </c>
      <c r="G33" s="1335" t="n">
        <v>800</v>
      </c>
      <c r="H33" s="1335" t="n">
        <v>800</v>
      </c>
      <c r="I33" s="1335" t="n">
        <v>800</v>
      </c>
      <c r="J33" s="1335" t="n">
        <v>800</v>
      </c>
      <c r="K33" s="1335" t="n">
        <v>800</v>
      </c>
      <c r="L33" s="1335" t="n">
        <v>800</v>
      </c>
      <c r="M33" s="1335" t="n">
        <v>800</v>
      </c>
      <c r="N33" s="1335" t="n">
        <v>800</v>
      </c>
      <c r="O33" s="1335" t="n">
        <v>800</v>
      </c>
      <c r="P33" s="1338">
        <f>SUM(D33:O33)</f>
        <v/>
      </c>
      <c r="Q33" s="248" t="n"/>
      <c r="R33" s="1335" t="n">
        <v>800</v>
      </c>
      <c r="S33" s="1335" t="n">
        <v>800</v>
      </c>
      <c r="T33" s="1335" t="n">
        <v>800</v>
      </c>
      <c r="U33" s="1335" t="n">
        <v>800</v>
      </c>
      <c r="V33" s="1335" t="n">
        <v>800</v>
      </c>
      <c r="W33" s="1335" t="n">
        <v>800</v>
      </c>
      <c r="X33" s="1335" t="n">
        <v>800</v>
      </c>
      <c r="Y33" s="1335" t="n">
        <v>800</v>
      </c>
      <c r="Z33" s="1335" t="n">
        <v>800</v>
      </c>
      <c r="AA33" s="1335" t="n">
        <v>800</v>
      </c>
      <c r="AB33" s="1335" t="n">
        <v>800</v>
      </c>
      <c r="AC33" s="1335" t="n">
        <v>800</v>
      </c>
      <c r="AD33" s="1338">
        <f>SUM(R33:AC33)</f>
        <v/>
      </c>
      <c r="AE33" s="248" t="n"/>
      <c r="AF33" s="1335" t="n">
        <v>800</v>
      </c>
      <c r="AG33" s="1335" t="n">
        <v>800</v>
      </c>
      <c r="AH33" s="1335" t="n">
        <v>800</v>
      </c>
      <c r="AI33" s="1335" t="n">
        <v>800</v>
      </c>
      <c r="AJ33" s="1335" t="n">
        <v>800</v>
      </c>
      <c r="AK33" s="1335" t="n">
        <v>800</v>
      </c>
      <c r="AL33" s="1335" t="n">
        <v>800</v>
      </c>
      <c r="AM33" s="1335" t="n">
        <v>800</v>
      </c>
      <c r="AN33" s="1335" t="n">
        <v>800</v>
      </c>
      <c r="AO33" s="1335" t="n">
        <v>800</v>
      </c>
      <c r="AP33" s="1335" t="n">
        <v>800</v>
      </c>
      <c r="AQ33" s="1335" t="n">
        <v>800</v>
      </c>
      <c r="AR33" s="1338">
        <f>SUM(AF33:AQ33)</f>
        <v/>
      </c>
      <c r="AS33" s="236" t="n"/>
      <c r="AT33" s="1335" t="n">
        <v>800</v>
      </c>
      <c r="AU33" s="1335" t="n">
        <v>800</v>
      </c>
      <c r="AV33" s="1335" t="n">
        <v>800</v>
      </c>
      <c r="AW33" s="1335" t="n">
        <v>800</v>
      </c>
      <c r="AX33" s="1335" t="n">
        <v>800</v>
      </c>
      <c r="AY33" s="1335" t="n">
        <v>800</v>
      </c>
      <c r="AZ33" s="1335" t="n">
        <v>800</v>
      </c>
      <c r="BA33" s="1335" t="n">
        <v>800</v>
      </c>
      <c r="BB33" s="1335" t="n">
        <v>800</v>
      </c>
      <c r="BC33" s="1335" t="n">
        <v>800</v>
      </c>
      <c r="BD33" s="1335" t="n">
        <v>800</v>
      </c>
      <c r="BE33" s="1335" t="n">
        <v>800</v>
      </c>
      <c r="BF33" s="1338">
        <f>SUM(AT33:BE33)</f>
        <v/>
      </c>
      <c r="BG33" s="236" t="n"/>
      <c r="BH33" s="236" t="n"/>
      <c r="BI33" s="236" t="n"/>
      <c r="BJ33" s="236" t="n"/>
      <c r="BK33" s="236" t="n"/>
      <c r="BL33" s="236" t="n"/>
      <c r="BM33" s="236" t="n"/>
      <c r="BN33" s="236" t="n"/>
      <c r="BO33" s="236" t="n"/>
      <c r="BP33" s="236" t="n"/>
      <c r="BQ33" s="236" t="n"/>
      <c r="BR33" s="236" t="n"/>
      <c r="BS33" s="236" t="n"/>
      <c r="BT33" s="236" t="n"/>
      <c r="BU33" s="236" t="n"/>
      <c r="BV33" s="236" t="n"/>
      <c r="BW33" s="236" t="n"/>
      <c r="BX33" s="236" t="n"/>
      <c r="BY33" s="236" t="n"/>
      <c r="BZ33" s="236" t="n"/>
      <c r="CA33" s="236" t="n"/>
      <c r="CB33" s="236" t="n"/>
      <c r="CC33" s="236" t="n"/>
      <c r="CD33" s="236" t="n"/>
      <c r="CE33" s="236" t="n"/>
      <c r="CF33" s="236" t="n"/>
      <c r="CG33" s="236" t="n"/>
    </row>
    <row r="34" ht="23" customHeight="1">
      <c r="A34" s="1350" t="inlineStr">
        <is>
          <t>Trello</t>
        </is>
      </c>
      <c r="B34" s="1335" t="n"/>
      <c r="C34" s="1336" t="n"/>
      <c r="D34" s="1335" t="n">
        <v>67</v>
      </c>
      <c r="E34" s="1335" t="n">
        <v>67</v>
      </c>
      <c r="F34" s="1335" t="n">
        <v>67</v>
      </c>
      <c r="G34" s="1335" t="n">
        <v>67</v>
      </c>
      <c r="H34" s="1335" t="n">
        <v>67</v>
      </c>
      <c r="I34" s="1335" t="n">
        <v>67</v>
      </c>
      <c r="J34" s="1335" t="n">
        <v>67</v>
      </c>
      <c r="K34" s="1335" t="n">
        <v>67</v>
      </c>
      <c r="L34" s="1335" t="n">
        <v>67</v>
      </c>
      <c r="M34" s="1335" t="n">
        <v>67</v>
      </c>
      <c r="N34" s="1335" t="n">
        <v>67</v>
      </c>
      <c r="O34" s="1335" t="n">
        <v>67</v>
      </c>
      <c r="P34" s="1338">
        <f>SUM(D34:O34)</f>
        <v/>
      </c>
      <c r="Q34" s="248" t="n"/>
      <c r="R34" s="1335" t="n">
        <v>67</v>
      </c>
      <c r="S34" s="1335" t="n">
        <v>67</v>
      </c>
      <c r="T34" s="1335" t="n">
        <v>67</v>
      </c>
      <c r="U34" s="1335" t="n">
        <v>67</v>
      </c>
      <c r="V34" s="1335" t="n">
        <v>67</v>
      </c>
      <c r="W34" s="1335" t="n">
        <v>67</v>
      </c>
      <c r="X34" s="1335" t="n">
        <v>67</v>
      </c>
      <c r="Y34" s="1335" t="n">
        <v>67</v>
      </c>
      <c r="Z34" s="1335" t="n">
        <v>67</v>
      </c>
      <c r="AA34" s="1335" t="n">
        <v>67</v>
      </c>
      <c r="AB34" s="1335" t="n">
        <v>67</v>
      </c>
      <c r="AC34" s="1335" t="n">
        <v>67</v>
      </c>
      <c r="AD34" s="1338">
        <f>SUM(R34:AC34)</f>
        <v/>
      </c>
      <c r="AE34" s="248" t="n"/>
      <c r="AF34" s="1335" t="n">
        <v>67</v>
      </c>
      <c r="AG34" s="1335" t="n">
        <v>67</v>
      </c>
      <c r="AH34" s="1335" t="n">
        <v>67</v>
      </c>
      <c r="AI34" s="1335" t="n">
        <v>67</v>
      </c>
      <c r="AJ34" s="1335" t="n">
        <v>67</v>
      </c>
      <c r="AK34" s="1335" t="n">
        <v>67</v>
      </c>
      <c r="AL34" s="1335" t="n">
        <v>67</v>
      </c>
      <c r="AM34" s="1335" t="n">
        <v>67</v>
      </c>
      <c r="AN34" s="1335" t="n">
        <v>67</v>
      </c>
      <c r="AO34" s="1335" t="n">
        <v>67</v>
      </c>
      <c r="AP34" s="1335" t="n">
        <v>67</v>
      </c>
      <c r="AQ34" s="1335" t="n">
        <v>67</v>
      </c>
      <c r="AR34" s="1338">
        <f>SUM(AF34:AQ34)</f>
        <v/>
      </c>
      <c r="AS34" s="236" t="n"/>
      <c r="AT34" s="1335" t="n">
        <v>67</v>
      </c>
      <c r="AU34" s="1335" t="n">
        <v>67</v>
      </c>
      <c r="AV34" s="1335" t="n">
        <v>67</v>
      </c>
      <c r="AW34" s="1335" t="n">
        <v>67</v>
      </c>
      <c r="AX34" s="1335" t="n">
        <v>67</v>
      </c>
      <c r="AY34" s="1335" t="n">
        <v>67</v>
      </c>
      <c r="AZ34" s="1335" t="n">
        <v>67</v>
      </c>
      <c r="BA34" s="1335" t="n">
        <v>67</v>
      </c>
      <c r="BB34" s="1335" t="n">
        <v>67</v>
      </c>
      <c r="BC34" s="1335" t="n">
        <v>67</v>
      </c>
      <c r="BD34" s="1335" t="n">
        <v>67</v>
      </c>
      <c r="BE34" s="1335" t="n">
        <v>67</v>
      </c>
      <c r="BF34" s="1338">
        <f>SUM(AT34:BE34)</f>
        <v/>
      </c>
      <c r="BG34" s="236" t="n"/>
      <c r="BH34" s="236" t="n"/>
      <c r="BI34" s="236" t="n"/>
      <c r="BJ34" s="236" t="n"/>
      <c r="BK34" s="236" t="n"/>
      <c r="BL34" s="236" t="n"/>
      <c r="BM34" s="236" t="n"/>
      <c r="BN34" s="236" t="n"/>
      <c r="BO34" s="236" t="n"/>
      <c r="BP34" s="236" t="n"/>
      <c r="BQ34" s="236" t="n"/>
      <c r="BR34" s="236" t="n"/>
      <c r="BS34" s="236" t="n"/>
      <c r="BT34" s="236" t="n"/>
      <c r="BU34" s="236" t="n"/>
      <c r="BV34" s="236" t="n"/>
      <c r="BW34" s="236" t="n"/>
      <c r="BX34" s="236" t="n"/>
      <c r="BY34" s="236" t="n"/>
      <c r="BZ34" s="236" t="n"/>
      <c r="CA34" s="236" t="n"/>
      <c r="CB34" s="236" t="n"/>
      <c r="CC34" s="236" t="n"/>
      <c r="CD34" s="236" t="n"/>
      <c r="CE34" s="236" t="n"/>
      <c r="CF34" s="236" t="n"/>
      <c r="CG34" s="236" t="n"/>
    </row>
    <row r="35" ht="23" customHeight="1">
      <c r="A35" s="1350" t="inlineStr">
        <is>
          <t>Confluence</t>
        </is>
      </c>
      <c r="B35" s="1335" t="n"/>
      <c r="C35" s="1336" t="n"/>
      <c r="D35" s="1348" t="n"/>
      <c r="E35" s="1335" t="n"/>
      <c r="F35" s="1335" t="n"/>
      <c r="G35" s="1335" t="n"/>
      <c r="H35" s="1335" t="n"/>
      <c r="I35" s="1335" t="n"/>
      <c r="J35" s="1335" t="n"/>
      <c r="K35" s="1335" t="n"/>
      <c r="L35" s="1335" t="n"/>
      <c r="M35" s="1335" t="n"/>
      <c r="N35" s="1335" t="n"/>
      <c r="O35" s="1335" t="n"/>
      <c r="P35" s="1338">
        <f>SUM(D35:O35)</f>
        <v/>
      </c>
      <c r="Q35" s="248" t="n"/>
      <c r="R35" s="1348" t="n"/>
      <c r="S35" s="1335" t="n"/>
      <c r="T35" s="1335" t="n"/>
      <c r="U35" s="1335" t="n"/>
      <c r="V35" s="1335" t="n"/>
      <c r="W35" s="1335" t="n"/>
      <c r="X35" s="1335" t="n"/>
      <c r="Y35" s="1335" t="n"/>
      <c r="Z35" s="1335" t="n"/>
      <c r="AA35" s="1335" t="n"/>
      <c r="AB35" s="1335" t="n"/>
      <c r="AC35" s="1335" t="n"/>
      <c r="AD35" s="1338">
        <f>SUM(R35:AC35)</f>
        <v/>
      </c>
      <c r="AE35" s="248" t="n"/>
      <c r="AF35" s="1348" t="n"/>
      <c r="AG35" s="1335" t="n"/>
      <c r="AH35" s="1335" t="n"/>
      <c r="AI35" s="1335" t="n"/>
      <c r="AJ35" s="1335" t="n"/>
      <c r="AK35" s="1335" t="n"/>
      <c r="AL35" s="1335" t="n"/>
      <c r="AM35" s="1335" t="n"/>
      <c r="AN35" s="1335" t="n"/>
      <c r="AO35" s="1335" t="n"/>
      <c r="AP35" s="1335" t="n"/>
      <c r="AQ35" s="1335" t="n"/>
      <c r="AR35" s="1338">
        <f>SUM(AF35:AQ35)</f>
        <v/>
      </c>
      <c r="AS35" s="236" t="n"/>
      <c r="AT35" s="1348" t="n"/>
      <c r="AU35" s="1335" t="n"/>
      <c r="AV35" s="1335" t="n"/>
      <c r="AW35" s="1335" t="n"/>
      <c r="AX35" s="1335" t="n"/>
      <c r="AY35" s="1335" t="n"/>
      <c r="AZ35" s="1335" t="n"/>
      <c r="BA35" s="1335" t="n"/>
      <c r="BB35" s="1335" t="n"/>
      <c r="BC35" s="1335" t="n"/>
      <c r="BD35" s="1335" t="n"/>
      <c r="BE35" s="1335" t="n"/>
      <c r="BF35" s="1338">
        <f>SUM(AT35:BE35)</f>
        <v/>
      </c>
      <c r="BG35" s="236" t="n"/>
      <c r="BH35" s="236" t="n"/>
      <c r="BI35" s="236" t="n"/>
      <c r="BJ35" s="236" t="n"/>
      <c r="BK35" s="236" t="n"/>
      <c r="BL35" s="236" t="n"/>
      <c r="BM35" s="236" t="n"/>
      <c r="BN35" s="236" t="n"/>
      <c r="BO35" s="236" t="n"/>
      <c r="BP35" s="236" t="n"/>
      <c r="BQ35" s="236" t="n"/>
      <c r="BR35" s="236" t="n"/>
      <c r="BS35" s="236" t="n"/>
      <c r="BT35" s="236" t="n"/>
      <c r="BU35" s="236" t="n"/>
      <c r="BV35" s="236" t="n"/>
      <c r="BW35" s="236" t="n"/>
      <c r="BX35" s="236" t="n"/>
      <c r="BY35" s="236" t="n"/>
      <c r="BZ35" s="236" t="n"/>
      <c r="CA35" s="236" t="n"/>
      <c r="CB35" s="236" t="n"/>
      <c r="CC35" s="236" t="n"/>
      <c r="CD35" s="236" t="n"/>
      <c r="CE35" s="236" t="n"/>
      <c r="CF35" s="236" t="n"/>
      <c r="CG35" s="236" t="n"/>
    </row>
    <row r="36" ht="23" customHeight="1">
      <c r="A36" s="1350" t="inlineStr">
        <is>
          <t>Giro</t>
        </is>
      </c>
      <c r="B36" s="1335" t="n"/>
      <c r="C36" s="1336" t="n"/>
      <c r="D36" s="1348" t="n"/>
      <c r="E36" s="1335" t="n"/>
      <c r="F36" s="1335" t="n"/>
      <c r="G36" s="1335" t="n"/>
      <c r="H36" s="1335" t="n"/>
      <c r="I36" s="1335" t="n"/>
      <c r="J36" s="1335" t="n"/>
      <c r="K36" s="1335" t="n"/>
      <c r="L36" s="1335" t="n"/>
      <c r="M36" s="1335" t="n"/>
      <c r="N36" s="1335" t="n"/>
      <c r="O36" s="1335" t="n"/>
      <c r="P36" s="1338">
        <f>SUM(D36:O36)</f>
        <v/>
      </c>
      <c r="Q36" s="248" t="n"/>
      <c r="R36" s="1348" t="n"/>
      <c r="S36" s="1335" t="n"/>
      <c r="T36" s="1335" t="n"/>
      <c r="U36" s="1335" t="n"/>
      <c r="V36" s="1335" t="n"/>
      <c r="W36" s="1335" t="n"/>
      <c r="X36" s="1335" t="n"/>
      <c r="Y36" s="1335" t="n"/>
      <c r="Z36" s="1335" t="n"/>
      <c r="AA36" s="1335" t="n"/>
      <c r="AB36" s="1335" t="n"/>
      <c r="AC36" s="1335" t="n"/>
      <c r="AD36" s="1338">
        <f>SUM(R36:AC36)</f>
        <v/>
      </c>
      <c r="AE36" s="248" t="n"/>
      <c r="AF36" s="1348" t="n"/>
      <c r="AG36" s="1335" t="n"/>
      <c r="AH36" s="1335" t="n"/>
      <c r="AI36" s="1335" t="n"/>
      <c r="AJ36" s="1335" t="n"/>
      <c r="AK36" s="1335" t="n"/>
      <c r="AL36" s="1335" t="n"/>
      <c r="AM36" s="1335" t="n"/>
      <c r="AN36" s="1335" t="n"/>
      <c r="AO36" s="1335" t="n"/>
      <c r="AP36" s="1335" t="n"/>
      <c r="AQ36" s="1335" t="n"/>
      <c r="AR36" s="1338">
        <f>SUM(AF36:AQ36)</f>
        <v/>
      </c>
      <c r="AS36" s="236" t="n"/>
      <c r="AT36" s="1348" t="n"/>
      <c r="AU36" s="1335" t="n"/>
      <c r="AV36" s="1335" t="n"/>
      <c r="AW36" s="1335" t="n"/>
      <c r="AX36" s="1335" t="n"/>
      <c r="AY36" s="1335" t="n"/>
      <c r="AZ36" s="1335" t="n"/>
      <c r="BA36" s="1335" t="n"/>
      <c r="BB36" s="1335" t="n"/>
      <c r="BC36" s="1335" t="n"/>
      <c r="BD36" s="1335" t="n"/>
      <c r="BE36" s="1335" t="n"/>
      <c r="BF36" s="1338">
        <f>SUM(AT36:BE36)</f>
        <v/>
      </c>
      <c r="BG36" s="236" t="n"/>
      <c r="BH36" s="236" t="n"/>
      <c r="BI36" s="236" t="n"/>
      <c r="BJ36" s="236" t="n"/>
      <c r="BK36" s="236" t="n"/>
      <c r="BL36" s="236" t="n"/>
      <c r="BM36" s="236" t="n"/>
      <c r="BN36" s="236" t="n"/>
      <c r="BO36" s="236" t="n"/>
      <c r="BP36" s="236" t="n"/>
      <c r="BQ36" s="236" t="n"/>
      <c r="BR36" s="236" t="n"/>
      <c r="BS36" s="236" t="n"/>
      <c r="BT36" s="236" t="n"/>
      <c r="BU36" s="236" t="n"/>
      <c r="BV36" s="236" t="n"/>
      <c r="BW36" s="236" t="n"/>
      <c r="BX36" s="236" t="n"/>
      <c r="BY36" s="236" t="n"/>
      <c r="BZ36" s="236" t="n"/>
      <c r="CA36" s="236" t="n"/>
      <c r="CB36" s="236" t="n"/>
      <c r="CC36" s="236" t="n"/>
      <c r="CD36" s="236" t="n"/>
      <c r="CE36" s="236" t="n"/>
      <c r="CF36" s="236" t="n"/>
      <c r="CG36" s="236" t="n"/>
    </row>
    <row r="37" ht="23" customHeight="1">
      <c r="A37" s="1350" t="inlineStr">
        <is>
          <t>* See COGS for systems support</t>
        </is>
      </c>
      <c r="B37" s="1335" t="n"/>
      <c r="C37" s="1336" t="n"/>
      <c r="D37" s="1335" t="n">
        <v>0</v>
      </c>
      <c r="E37" s="1335">
        <f>$D$37</f>
        <v/>
      </c>
      <c r="F37" s="1335">
        <f>$D$37</f>
        <v/>
      </c>
      <c r="G37" s="1335">
        <f>$D$37</f>
        <v/>
      </c>
      <c r="H37" s="1335">
        <f>$D$37</f>
        <v/>
      </c>
      <c r="I37" s="1335">
        <f>$D$37</f>
        <v/>
      </c>
      <c r="J37" s="1335">
        <f>$D$37</f>
        <v/>
      </c>
      <c r="K37" s="1335">
        <f>$D$37</f>
        <v/>
      </c>
      <c r="L37" s="1335">
        <f>$D$37</f>
        <v/>
      </c>
      <c r="M37" s="1335">
        <f>$D$37</f>
        <v/>
      </c>
      <c r="N37" s="1335">
        <f>$D$37</f>
        <v/>
      </c>
      <c r="O37" s="1335">
        <f>$D$37</f>
        <v/>
      </c>
      <c r="P37" s="1338">
        <f>SUM(D37:O37)</f>
        <v/>
      </c>
      <c r="Q37" s="248" t="n"/>
      <c r="R37" s="1335" t="n">
        <v>0</v>
      </c>
      <c r="S37" s="1335">
        <f>$R$37</f>
        <v/>
      </c>
      <c r="T37" s="1335">
        <f>$R$37</f>
        <v/>
      </c>
      <c r="U37" s="1335">
        <f>$R$37</f>
        <v/>
      </c>
      <c r="V37" s="1335">
        <f>$R$37</f>
        <v/>
      </c>
      <c r="W37" s="1335">
        <f>$R$37</f>
        <v/>
      </c>
      <c r="X37" s="1335">
        <f>$R$37</f>
        <v/>
      </c>
      <c r="Y37" s="1335">
        <f>$R$37</f>
        <v/>
      </c>
      <c r="Z37" s="1335">
        <f>$R$37</f>
        <v/>
      </c>
      <c r="AA37" s="1335">
        <f>$R$37</f>
        <v/>
      </c>
      <c r="AB37" s="1335">
        <f>$R$37</f>
        <v/>
      </c>
      <c r="AC37" s="1335">
        <f>$R$37</f>
        <v/>
      </c>
      <c r="AD37" s="1338">
        <f>SUM(R37:AC37)</f>
        <v/>
      </c>
      <c r="AE37" s="248" t="n"/>
      <c r="AF37" s="1335" t="n">
        <v>0</v>
      </c>
      <c r="AG37" s="1335">
        <f>$AF$37</f>
        <v/>
      </c>
      <c r="AH37" s="1335">
        <f>$AF$37</f>
        <v/>
      </c>
      <c r="AI37" s="1335">
        <f>$AF$37</f>
        <v/>
      </c>
      <c r="AJ37" s="1335">
        <f>$AF$37</f>
        <v/>
      </c>
      <c r="AK37" s="1335">
        <f>$AF$37</f>
        <v/>
      </c>
      <c r="AL37" s="1335">
        <f>$AF$37</f>
        <v/>
      </c>
      <c r="AM37" s="1335">
        <f>$AF$37</f>
        <v/>
      </c>
      <c r="AN37" s="1335">
        <f>$AF$37</f>
        <v/>
      </c>
      <c r="AO37" s="1335">
        <f>$AF$37</f>
        <v/>
      </c>
      <c r="AP37" s="1335">
        <f>$AF$37</f>
        <v/>
      </c>
      <c r="AQ37" s="1335">
        <f>$AF$37</f>
        <v/>
      </c>
      <c r="AR37" s="1338">
        <f>SUM(AF37:AQ37)</f>
        <v/>
      </c>
      <c r="AS37" s="236" t="n"/>
      <c r="AT37" s="1335" t="n">
        <v>0</v>
      </c>
      <c r="AU37" s="1335">
        <f>$AT$37</f>
        <v/>
      </c>
      <c r="AV37" s="1335">
        <f>$AT$37</f>
        <v/>
      </c>
      <c r="AW37" s="1335">
        <f>$AT$37</f>
        <v/>
      </c>
      <c r="AX37" s="1335">
        <f>$AT$37</f>
        <v/>
      </c>
      <c r="AY37" s="1335">
        <f>$AT$37</f>
        <v/>
      </c>
      <c r="AZ37" s="1335">
        <f>$AT$37</f>
        <v/>
      </c>
      <c r="BA37" s="1335">
        <f>$AT$37</f>
        <v/>
      </c>
      <c r="BB37" s="1335">
        <f>$AT$37</f>
        <v/>
      </c>
      <c r="BC37" s="1335">
        <f>$AT$37</f>
        <v/>
      </c>
      <c r="BD37" s="1335">
        <f>$AT$37</f>
        <v/>
      </c>
      <c r="BE37" s="1335">
        <f>$AT$37</f>
        <v/>
      </c>
      <c r="BF37" s="1338">
        <f>SUM(AT37:BE37)</f>
        <v/>
      </c>
      <c r="BG37" s="236" t="n"/>
      <c r="BH37" s="236" t="n"/>
      <c r="BI37" s="236" t="n"/>
      <c r="BJ37" s="236" t="n"/>
      <c r="BK37" s="236" t="n"/>
      <c r="BL37" s="236" t="n"/>
      <c r="BM37" s="236" t="n"/>
      <c r="BN37" s="236" t="n"/>
      <c r="BO37" s="236" t="n"/>
      <c r="BP37" s="236" t="n"/>
      <c r="BQ37" s="236" t="n"/>
      <c r="BR37" s="236" t="n"/>
      <c r="BS37" s="236" t="n"/>
      <c r="BT37" s="236" t="n"/>
      <c r="BU37" s="236" t="n"/>
      <c r="BV37" s="236" t="n"/>
      <c r="BW37" s="236" t="n"/>
      <c r="BX37" s="236" t="n"/>
      <c r="BY37" s="236" t="n"/>
      <c r="BZ37" s="236" t="n"/>
      <c r="CA37" s="236" t="n"/>
      <c r="CB37" s="236" t="n"/>
      <c r="CC37" s="236" t="n"/>
      <c r="CD37" s="236" t="n"/>
      <c r="CE37" s="236" t="n"/>
      <c r="CF37" s="236" t="n"/>
      <c r="CG37" s="236" t="n"/>
    </row>
    <row r="38" ht="23" customHeight="1">
      <c r="A38" s="1334" t="inlineStr">
        <is>
          <t xml:space="preserve"> </t>
        </is>
      </c>
      <c r="B38" s="1335" t="n"/>
      <c r="C38" s="1336" t="n"/>
      <c r="D38" s="1348" t="n"/>
      <c r="E38" s="1335" t="n"/>
      <c r="F38" s="1335" t="n"/>
      <c r="G38" s="1335" t="n"/>
      <c r="H38" s="1335" t="n"/>
      <c r="I38" s="1335" t="n"/>
      <c r="J38" s="1335" t="n"/>
      <c r="K38" s="1335" t="n"/>
      <c r="L38" s="1335" t="n"/>
      <c r="M38" s="1335" t="n"/>
      <c r="N38" s="1335" t="n"/>
      <c r="O38" s="1335" t="n"/>
      <c r="P38" s="1338">
        <f>SUM(D38:O38)</f>
        <v/>
      </c>
      <c r="Q38" s="248" t="n"/>
      <c r="R38" s="1348" t="n"/>
      <c r="S38" s="1335" t="n"/>
      <c r="T38" s="1335" t="n"/>
      <c r="U38" s="1335" t="n"/>
      <c r="V38" s="1335" t="n"/>
      <c r="W38" s="1335" t="n"/>
      <c r="X38" s="1335" t="n"/>
      <c r="Y38" s="1335" t="n"/>
      <c r="Z38" s="1335" t="n"/>
      <c r="AA38" s="1335" t="n"/>
      <c r="AB38" s="1335" t="n"/>
      <c r="AC38" s="1335" t="n"/>
      <c r="AD38" s="1338">
        <f>SUM(R38:AC38)</f>
        <v/>
      </c>
      <c r="AE38" s="248" t="n"/>
      <c r="AF38" s="1348" t="n"/>
      <c r="AG38" s="1335" t="n"/>
      <c r="AH38" s="1335" t="n"/>
      <c r="AI38" s="1335" t="n"/>
      <c r="AJ38" s="1335" t="n"/>
      <c r="AK38" s="1335" t="n"/>
      <c r="AL38" s="1335" t="n"/>
      <c r="AM38" s="1335" t="n"/>
      <c r="AN38" s="1335" t="n"/>
      <c r="AO38" s="1335" t="n"/>
      <c r="AP38" s="1335" t="n"/>
      <c r="AQ38" s="1335" t="n"/>
      <c r="AR38" s="1338">
        <f>SUM(AF38:AQ38)</f>
        <v/>
      </c>
      <c r="AS38" s="236" t="n"/>
      <c r="AT38" s="1348" t="n"/>
      <c r="AU38" s="1335" t="n"/>
      <c r="AV38" s="1335" t="n"/>
      <c r="AW38" s="1335" t="n"/>
      <c r="AX38" s="1335" t="n"/>
      <c r="AY38" s="1335" t="n"/>
      <c r="AZ38" s="1335" t="n"/>
      <c r="BA38" s="1335" t="n"/>
      <c r="BB38" s="1335" t="n"/>
      <c r="BC38" s="1335" t="n"/>
      <c r="BD38" s="1335" t="n"/>
      <c r="BE38" s="1335" t="n"/>
      <c r="BF38" s="1338">
        <f>SUM(AT38:BE38)</f>
        <v/>
      </c>
      <c r="BG38" s="236" t="n"/>
      <c r="BH38" s="236" t="n"/>
      <c r="BI38" s="236" t="n"/>
      <c r="BJ38" s="236" t="n"/>
      <c r="BK38" s="236" t="n"/>
      <c r="BL38" s="236" t="n"/>
      <c r="BM38" s="236" t="n"/>
      <c r="BN38" s="236" t="n"/>
      <c r="BO38" s="236" t="n"/>
      <c r="BP38" s="236" t="n"/>
      <c r="BQ38" s="236" t="n"/>
      <c r="BR38" s="236" t="n"/>
      <c r="BS38" s="236" t="n"/>
      <c r="BT38" s="236" t="n"/>
      <c r="BU38" s="236" t="n"/>
      <c r="BV38" s="236" t="n"/>
      <c r="BW38" s="236" t="n"/>
      <c r="BX38" s="236" t="n"/>
      <c r="BY38" s="236" t="n"/>
      <c r="BZ38" s="236" t="n"/>
      <c r="CA38" s="236" t="n"/>
      <c r="CB38" s="236" t="n"/>
      <c r="CC38" s="236" t="n"/>
      <c r="CD38" s="236" t="n"/>
      <c r="CE38" s="236" t="n"/>
      <c r="CF38" s="236" t="n"/>
      <c r="CG38" s="236" t="n"/>
    </row>
    <row r="39" ht="23" customHeight="1">
      <c r="A39" s="1341" t="inlineStr">
        <is>
          <t xml:space="preserve"> Office Expenses</t>
        </is>
      </c>
      <c r="B39" s="1335" t="n"/>
      <c r="C39" s="1336" t="n"/>
      <c r="D39" s="1348" t="inlineStr">
        <is>
          <t xml:space="preserve">                   -   </t>
        </is>
      </c>
      <c r="E39" s="1335" t="inlineStr">
        <is>
          <t xml:space="preserve">                   -   </t>
        </is>
      </c>
      <c r="F39" s="1335" t="inlineStr">
        <is>
          <t xml:space="preserve">                   -   </t>
        </is>
      </c>
      <c r="G39" s="1335" t="inlineStr">
        <is>
          <t xml:space="preserve">                   -   </t>
        </is>
      </c>
      <c r="H39" s="1335" t="inlineStr">
        <is>
          <t xml:space="preserve">                   -   </t>
        </is>
      </c>
      <c r="I39" s="1335" t="inlineStr">
        <is>
          <t xml:space="preserve">                   -   </t>
        </is>
      </c>
      <c r="J39" s="1335" t="inlineStr">
        <is>
          <t xml:space="preserve">                   -   </t>
        </is>
      </c>
      <c r="K39" s="1335" t="inlineStr">
        <is>
          <t xml:space="preserve">                   -   </t>
        </is>
      </c>
      <c r="L39" s="1335" t="inlineStr">
        <is>
          <t xml:space="preserve">                   -   </t>
        </is>
      </c>
      <c r="M39" s="1335" t="inlineStr">
        <is>
          <t xml:space="preserve">                   -   </t>
        </is>
      </c>
      <c r="N39" s="1335" t="inlineStr">
        <is>
          <t xml:space="preserve">                   -   </t>
        </is>
      </c>
      <c r="O39" s="1335" t="inlineStr">
        <is>
          <t xml:space="preserve">                   -   </t>
        </is>
      </c>
      <c r="P39" s="1338">
        <f>SUM(D39:O39)</f>
        <v/>
      </c>
      <c r="Q39" s="248" t="n"/>
      <c r="R39" s="1348" t="inlineStr">
        <is>
          <t xml:space="preserve">                   -   </t>
        </is>
      </c>
      <c r="S39" s="1335" t="inlineStr">
        <is>
          <t xml:space="preserve">                   -   </t>
        </is>
      </c>
      <c r="T39" s="1335" t="inlineStr">
        <is>
          <t xml:space="preserve">                   -   </t>
        </is>
      </c>
      <c r="U39" s="1335" t="inlineStr">
        <is>
          <t xml:space="preserve">                   -   </t>
        </is>
      </c>
      <c r="V39" s="1335" t="inlineStr">
        <is>
          <t xml:space="preserve">                   -   </t>
        </is>
      </c>
      <c r="W39" s="1335" t="inlineStr">
        <is>
          <t xml:space="preserve">                   -   </t>
        </is>
      </c>
      <c r="X39" s="1335" t="inlineStr">
        <is>
          <t xml:space="preserve">                   -   </t>
        </is>
      </c>
      <c r="Y39" s="1335" t="inlineStr">
        <is>
          <t xml:space="preserve">                   -   </t>
        </is>
      </c>
      <c r="Z39" s="1335" t="inlineStr">
        <is>
          <t xml:space="preserve">                   -   </t>
        </is>
      </c>
      <c r="AA39" s="1335" t="inlineStr">
        <is>
          <t xml:space="preserve">                   -   </t>
        </is>
      </c>
      <c r="AB39" s="1335" t="inlineStr">
        <is>
          <t xml:space="preserve">                   -   </t>
        </is>
      </c>
      <c r="AC39" s="1335" t="inlineStr">
        <is>
          <t xml:space="preserve">                   -   </t>
        </is>
      </c>
      <c r="AD39" s="1338">
        <f>SUM(R39:AC39)</f>
        <v/>
      </c>
      <c r="AE39" s="248" t="n"/>
      <c r="AF39" s="1348" t="inlineStr">
        <is>
          <t xml:space="preserve">                   -   </t>
        </is>
      </c>
      <c r="AG39" s="1335" t="inlineStr">
        <is>
          <t xml:space="preserve">                   -   </t>
        </is>
      </c>
      <c r="AH39" s="1335" t="inlineStr">
        <is>
          <t xml:space="preserve">                   -   </t>
        </is>
      </c>
      <c r="AI39" s="1335" t="inlineStr">
        <is>
          <t xml:space="preserve">                   -   </t>
        </is>
      </c>
      <c r="AJ39" s="1335" t="inlineStr">
        <is>
          <t xml:space="preserve">                   -   </t>
        </is>
      </c>
      <c r="AK39" s="1335" t="inlineStr">
        <is>
          <t xml:space="preserve">                   -   </t>
        </is>
      </c>
      <c r="AL39" s="1335" t="inlineStr">
        <is>
          <t xml:space="preserve">                   -   </t>
        </is>
      </c>
      <c r="AM39" s="1335" t="inlineStr">
        <is>
          <t xml:space="preserve">                   -   </t>
        </is>
      </c>
      <c r="AN39" s="1335" t="inlineStr">
        <is>
          <t xml:space="preserve">                   -   </t>
        </is>
      </c>
      <c r="AO39" s="1335" t="inlineStr">
        <is>
          <t xml:space="preserve">                   -   </t>
        </is>
      </c>
      <c r="AP39" s="1335" t="inlineStr">
        <is>
          <t xml:space="preserve">                   -   </t>
        </is>
      </c>
      <c r="AQ39" s="1335" t="inlineStr">
        <is>
          <t xml:space="preserve">                   -   </t>
        </is>
      </c>
      <c r="AR39" s="1338">
        <f>SUM(AF39:AQ39)</f>
        <v/>
      </c>
      <c r="AS39" s="236" t="n"/>
      <c r="AT39" s="1348" t="inlineStr">
        <is>
          <t xml:space="preserve">                   -   </t>
        </is>
      </c>
      <c r="AU39" s="1335" t="inlineStr">
        <is>
          <t xml:space="preserve">                   -   </t>
        </is>
      </c>
      <c r="AV39" s="1335" t="inlineStr">
        <is>
          <t xml:space="preserve">                   -   </t>
        </is>
      </c>
      <c r="AW39" s="1335" t="inlineStr">
        <is>
          <t xml:space="preserve">                   -   </t>
        </is>
      </c>
      <c r="AX39" s="1335" t="inlineStr">
        <is>
          <t xml:space="preserve">                   -   </t>
        </is>
      </c>
      <c r="AY39" s="1335" t="inlineStr">
        <is>
          <t xml:space="preserve">                   -   </t>
        </is>
      </c>
      <c r="AZ39" s="1335" t="inlineStr">
        <is>
          <t xml:space="preserve">                   -   </t>
        </is>
      </c>
      <c r="BA39" s="1335" t="inlineStr">
        <is>
          <t xml:space="preserve">                   -   </t>
        </is>
      </c>
      <c r="BB39" s="1335" t="inlineStr">
        <is>
          <t xml:space="preserve">                   -   </t>
        </is>
      </c>
      <c r="BC39" s="1335" t="inlineStr">
        <is>
          <t xml:space="preserve">                   -   </t>
        </is>
      </c>
      <c r="BD39" s="1335" t="inlineStr">
        <is>
          <t xml:space="preserve">                   -   </t>
        </is>
      </c>
      <c r="BE39" s="1335" t="inlineStr">
        <is>
          <t xml:space="preserve">                   -   </t>
        </is>
      </c>
      <c r="BF39" s="1338">
        <f>SUM(AT39:BE39)</f>
        <v/>
      </c>
      <c r="BG39" s="236" t="n"/>
      <c r="BH39" s="236" t="n"/>
      <c r="BI39" s="236" t="n"/>
      <c r="BJ39" s="236" t="n"/>
      <c r="BK39" s="236" t="n"/>
      <c r="BL39" s="236" t="n"/>
      <c r="BM39" s="236" t="n"/>
      <c r="BN39" s="236" t="n"/>
      <c r="BO39" s="236" t="n"/>
      <c r="BP39" s="236" t="n"/>
      <c r="BQ39" s="236" t="n"/>
      <c r="BR39" s="236" t="n"/>
      <c r="BS39" s="236" t="n"/>
      <c r="BT39" s="236" t="n"/>
      <c r="BU39" s="236" t="n"/>
      <c r="BV39" s="236" t="n"/>
      <c r="BW39" s="236" t="n"/>
      <c r="BX39" s="236" t="n"/>
      <c r="BY39" s="236" t="n"/>
      <c r="BZ39" s="236" t="n"/>
      <c r="CA39" s="236" t="n"/>
      <c r="CB39" s="236" t="n"/>
      <c r="CC39" s="236" t="n"/>
      <c r="CD39" s="236" t="n"/>
      <c r="CE39" s="236" t="n"/>
      <c r="CF39" s="236" t="n"/>
      <c r="CG39" s="236" t="n"/>
    </row>
    <row r="40" ht="23" customHeight="1">
      <c r="A40" s="1334" t="inlineStr">
        <is>
          <t xml:space="preserve"> Rent </t>
        </is>
      </c>
      <c r="B40" s="1335" t="n"/>
      <c r="C40" s="1336" t="n"/>
      <c r="D40" s="1346" t="n">
        <v>0</v>
      </c>
      <c r="E40" s="1346" t="n">
        <v>0</v>
      </c>
      <c r="F40" s="1346" t="n">
        <v>0</v>
      </c>
      <c r="G40" s="1346" t="n">
        <v>0</v>
      </c>
      <c r="H40" s="1346" t="n">
        <v>0</v>
      </c>
      <c r="I40" s="1346" t="n">
        <v>0</v>
      </c>
      <c r="J40" s="1346" t="n">
        <v>0</v>
      </c>
      <c r="K40" s="1346" t="n">
        <v>0</v>
      </c>
      <c r="L40" s="1346" t="n">
        <v>0</v>
      </c>
      <c r="M40" s="1346" t="n">
        <v>0</v>
      </c>
      <c r="N40" s="1346" t="n">
        <v>0</v>
      </c>
      <c r="O40" s="1346" t="n">
        <v>0</v>
      </c>
      <c r="P40" s="1338">
        <f>SUM(D40:O40)</f>
        <v/>
      </c>
      <c r="Q40" s="248" t="n"/>
      <c r="R40" s="1346" t="n">
        <v>0</v>
      </c>
      <c r="S40" s="1346" t="n">
        <v>0</v>
      </c>
      <c r="T40" s="1346" t="n">
        <v>0</v>
      </c>
      <c r="U40" s="1346" t="n">
        <v>0</v>
      </c>
      <c r="V40" s="1346" t="n">
        <v>0</v>
      </c>
      <c r="W40" s="1346" t="n">
        <v>0</v>
      </c>
      <c r="X40" s="1346" t="n">
        <v>0</v>
      </c>
      <c r="Y40" s="1346" t="n">
        <v>0</v>
      </c>
      <c r="Z40" s="1346" t="n">
        <v>0</v>
      </c>
      <c r="AA40" s="1346" t="n">
        <v>0</v>
      </c>
      <c r="AB40" s="1346" t="n">
        <v>0</v>
      </c>
      <c r="AC40" s="1346" t="n">
        <v>0</v>
      </c>
      <c r="AD40" s="1338">
        <f>SUM(R40:AC40)</f>
        <v/>
      </c>
      <c r="AE40" s="248" t="n"/>
      <c r="AF40" s="1346" t="n">
        <v>0</v>
      </c>
      <c r="AG40" s="1346" t="n">
        <v>0</v>
      </c>
      <c r="AH40" s="1346" t="n">
        <v>0</v>
      </c>
      <c r="AI40" s="1346" t="n">
        <v>0</v>
      </c>
      <c r="AJ40" s="1346" t="n">
        <v>0</v>
      </c>
      <c r="AK40" s="1346" t="n">
        <v>0</v>
      </c>
      <c r="AL40" s="1346" t="n">
        <v>0</v>
      </c>
      <c r="AM40" s="1346" t="n">
        <v>0</v>
      </c>
      <c r="AN40" s="1346" t="n">
        <v>0</v>
      </c>
      <c r="AO40" s="1346" t="n">
        <v>0</v>
      </c>
      <c r="AP40" s="1346" t="n">
        <v>0</v>
      </c>
      <c r="AQ40" s="1346" t="n">
        <v>0</v>
      </c>
      <c r="AR40" s="1338">
        <f>SUM(AF40:AQ40)</f>
        <v/>
      </c>
      <c r="AS40" s="236" t="n"/>
      <c r="AT40" s="1346" t="n">
        <v>0</v>
      </c>
      <c r="AU40" s="1346" t="n">
        <v>0</v>
      </c>
      <c r="AV40" s="1346" t="n">
        <v>0</v>
      </c>
      <c r="AW40" s="1346" t="n">
        <v>0</v>
      </c>
      <c r="AX40" s="1346" t="n">
        <v>0</v>
      </c>
      <c r="AY40" s="1346" t="n">
        <v>0</v>
      </c>
      <c r="AZ40" s="1346" t="n">
        <v>0</v>
      </c>
      <c r="BA40" s="1346" t="n">
        <v>0</v>
      </c>
      <c r="BB40" s="1346" t="n">
        <v>0</v>
      </c>
      <c r="BC40" s="1346" t="n">
        <v>0</v>
      </c>
      <c r="BD40" s="1346" t="n">
        <v>0</v>
      </c>
      <c r="BE40" s="1346" t="n">
        <v>0</v>
      </c>
      <c r="BF40" s="1338">
        <f>SUM(AT40:BE40)</f>
        <v/>
      </c>
      <c r="BG40" s="236" t="n"/>
      <c r="BH40" s="236" t="n"/>
      <c r="BI40" s="236" t="n"/>
      <c r="BJ40" s="236" t="n"/>
      <c r="BK40" s="236" t="n"/>
      <c r="BL40" s="236" t="n"/>
      <c r="BM40" s="236" t="n"/>
      <c r="BN40" s="236" t="n"/>
      <c r="BO40" s="236" t="n"/>
      <c r="BP40" s="236" t="n"/>
      <c r="BQ40" s="236" t="n"/>
      <c r="BR40" s="236" t="n"/>
      <c r="BS40" s="236" t="n"/>
      <c r="BT40" s="236" t="n"/>
      <c r="BU40" s="236" t="n"/>
      <c r="BV40" s="236" t="n"/>
      <c r="BW40" s="236" t="n"/>
      <c r="BX40" s="236" t="n"/>
      <c r="BY40" s="236" t="n"/>
      <c r="BZ40" s="236" t="n"/>
      <c r="CA40" s="236" t="n"/>
      <c r="CB40" s="236" t="n"/>
      <c r="CC40" s="236" t="n"/>
      <c r="CD40" s="236" t="n"/>
      <c r="CE40" s="236" t="n"/>
      <c r="CF40" s="236" t="n"/>
      <c r="CG40" s="236" t="n"/>
    </row>
    <row r="41" ht="23" customHeight="1">
      <c r="A41" s="1334" t="inlineStr">
        <is>
          <t xml:space="preserve"> Parking </t>
        </is>
      </c>
      <c r="B41" s="1335" t="n"/>
      <c r="C41" s="1336" t="n"/>
      <c r="D41" s="1348" t="n">
        <v>0</v>
      </c>
      <c r="E41" s="1335">
        <f>$D$41</f>
        <v/>
      </c>
      <c r="F41" s="1335">
        <f>$D$41</f>
        <v/>
      </c>
      <c r="G41" s="1335">
        <f>$D$41</f>
        <v/>
      </c>
      <c r="H41" s="1335">
        <f>$D$41</f>
        <v/>
      </c>
      <c r="I41" s="1335">
        <f>$D$41</f>
        <v/>
      </c>
      <c r="J41" s="1335">
        <f>$D$41</f>
        <v/>
      </c>
      <c r="K41" s="1335">
        <f>$D$41</f>
        <v/>
      </c>
      <c r="L41" s="1335">
        <f>$D$41</f>
        <v/>
      </c>
      <c r="M41" s="1335">
        <f>$D$41</f>
        <v/>
      </c>
      <c r="N41" s="1335">
        <f>$D$41</f>
        <v/>
      </c>
      <c r="O41" s="1335">
        <f>$D$41</f>
        <v/>
      </c>
      <c r="P41" s="1338">
        <f>SUM(D41:O41)</f>
        <v/>
      </c>
      <c r="Q41" s="248" t="n"/>
      <c r="R41" s="1348" t="n">
        <v>0</v>
      </c>
      <c r="S41" s="1335">
        <f>$R$41</f>
        <v/>
      </c>
      <c r="T41" s="1335">
        <f>$R$41</f>
        <v/>
      </c>
      <c r="U41" s="1335">
        <f>$R$41</f>
        <v/>
      </c>
      <c r="V41" s="1335">
        <f>$R$41</f>
        <v/>
      </c>
      <c r="W41" s="1335">
        <f>$R$41</f>
        <v/>
      </c>
      <c r="X41" s="1335">
        <f>$R$41</f>
        <v/>
      </c>
      <c r="Y41" s="1335">
        <f>$R$41</f>
        <v/>
      </c>
      <c r="Z41" s="1335">
        <f>$R$41</f>
        <v/>
      </c>
      <c r="AA41" s="1335">
        <f>$R$41</f>
        <v/>
      </c>
      <c r="AB41" s="1335">
        <f>$R$41</f>
        <v/>
      </c>
      <c r="AC41" s="1335">
        <f>$R$41</f>
        <v/>
      </c>
      <c r="AD41" s="1338">
        <f>SUM(R41:AC41)</f>
        <v/>
      </c>
      <c r="AE41" s="248" t="n"/>
      <c r="AF41" s="1348" t="n">
        <v>0</v>
      </c>
      <c r="AG41" s="1335">
        <f>$AF$41</f>
        <v/>
      </c>
      <c r="AH41" s="1335">
        <f>$AF$41</f>
        <v/>
      </c>
      <c r="AI41" s="1335">
        <f>$AF$41</f>
        <v/>
      </c>
      <c r="AJ41" s="1335">
        <f>$AF$41</f>
        <v/>
      </c>
      <c r="AK41" s="1335">
        <f>$AF$41</f>
        <v/>
      </c>
      <c r="AL41" s="1335">
        <f>$AF$41</f>
        <v/>
      </c>
      <c r="AM41" s="1335">
        <f>$AF$41</f>
        <v/>
      </c>
      <c r="AN41" s="1335">
        <f>$AF$41</f>
        <v/>
      </c>
      <c r="AO41" s="1335">
        <f>$AF$41</f>
        <v/>
      </c>
      <c r="AP41" s="1335">
        <f>$AF$41</f>
        <v/>
      </c>
      <c r="AQ41" s="1335">
        <f>$AF$41</f>
        <v/>
      </c>
      <c r="AR41" s="1338">
        <f>SUM(AF41:AQ41)</f>
        <v/>
      </c>
      <c r="AS41" s="236" t="n"/>
      <c r="AT41" s="1348" t="n">
        <v>0</v>
      </c>
      <c r="AU41" s="1335">
        <f>$AT$41</f>
        <v/>
      </c>
      <c r="AV41" s="1335">
        <f>$AT$41</f>
        <v/>
      </c>
      <c r="AW41" s="1335">
        <f>$AT$41</f>
        <v/>
      </c>
      <c r="AX41" s="1335">
        <f>$AT$41</f>
        <v/>
      </c>
      <c r="AY41" s="1335">
        <f>$AT$41</f>
        <v/>
      </c>
      <c r="AZ41" s="1335">
        <f>$AT$41</f>
        <v/>
      </c>
      <c r="BA41" s="1335">
        <f>$AT$41</f>
        <v/>
      </c>
      <c r="BB41" s="1335">
        <f>$AT$41</f>
        <v/>
      </c>
      <c r="BC41" s="1335">
        <f>$AT$41</f>
        <v/>
      </c>
      <c r="BD41" s="1335">
        <f>$AT$41</f>
        <v/>
      </c>
      <c r="BE41" s="1335">
        <f>$AT$41</f>
        <v/>
      </c>
      <c r="BF41" s="1338">
        <f>SUM(AT41:BE41)</f>
        <v/>
      </c>
      <c r="BG41" s="236" t="n"/>
      <c r="BH41" s="236" t="n"/>
      <c r="BI41" s="236" t="n"/>
      <c r="BJ41" s="236" t="n"/>
      <c r="BK41" s="236" t="n"/>
      <c r="BL41" s="236" t="n"/>
      <c r="BM41" s="236" t="n"/>
      <c r="BN41" s="236" t="n"/>
      <c r="BO41" s="236" t="n"/>
      <c r="BP41" s="236" t="n"/>
      <c r="BQ41" s="236" t="n"/>
      <c r="BR41" s="236" t="n"/>
      <c r="BS41" s="236" t="n"/>
      <c r="BT41" s="236" t="n"/>
      <c r="BU41" s="236" t="n"/>
      <c r="BV41" s="236" t="n"/>
      <c r="BW41" s="236" t="n"/>
      <c r="BX41" s="236" t="n"/>
      <c r="BY41" s="236" t="n"/>
      <c r="BZ41" s="236" t="n"/>
      <c r="CA41" s="236" t="n"/>
      <c r="CB41" s="236" t="n"/>
      <c r="CC41" s="236" t="n"/>
      <c r="CD41" s="236" t="n"/>
      <c r="CE41" s="236" t="n"/>
      <c r="CF41" s="236" t="n"/>
      <c r="CG41" s="236" t="n"/>
    </row>
    <row r="42" ht="23" customHeight="1">
      <c r="A42" s="1334" t="inlineStr">
        <is>
          <t xml:space="preserve"> Office Supplies </t>
        </is>
      </c>
      <c r="B42" s="1335" t="n"/>
      <c r="C42" s="1336" t="n"/>
      <c r="D42" s="1348" t="n">
        <v>100</v>
      </c>
      <c r="E42" s="1348">
        <f>$D$42</f>
        <v/>
      </c>
      <c r="F42" s="1348">
        <f>$D$42</f>
        <v/>
      </c>
      <c r="G42" s="1348">
        <f>$D$42</f>
        <v/>
      </c>
      <c r="H42" s="1348">
        <f>$D$42</f>
        <v/>
      </c>
      <c r="I42" s="1348">
        <f>$D$42</f>
        <v/>
      </c>
      <c r="J42" s="1348">
        <f>$D$42</f>
        <v/>
      </c>
      <c r="K42" s="1348">
        <f>$D$42</f>
        <v/>
      </c>
      <c r="L42" s="1348">
        <f>$D$42</f>
        <v/>
      </c>
      <c r="M42" s="1348">
        <f>$D$42</f>
        <v/>
      </c>
      <c r="N42" s="1348">
        <f>$D$42</f>
        <v/>
      </c>
      <c r="O42" s="1348">
        <f>$D$42</f>
        <v/>
      </c>
      <c r="P42" s="1338">
        <f>SUM(D42:O42)</f>
        <v/>
      </c>
      <c r="Q42" s="248" t="n"/>
      <c r="R42" s="1348" t="n">
        <v>100</v>
      </c>
      <c r="S42" s="1348">
        <f>$R$42</f>
        <v/>
      </c>
      <c r="T42" s="1348">
        <f>$R$42</f>
        <v/>
      </c>
      <c r="U42" s="1348">
        <f>$R$42</f>
        <v/>
      </c>
      <c r="V42" s="1348">
        <f>$R$42</f>
        <v/>
      </c>
      <c r="W42" s="1348">
        <f>$R$42</f>
        <v/>
      </c>
      <c r="X42" s="1348">
        <f>$R$42</f>
        <v/>
      </c>
      <c r="Y42" s="1348">
        <f>$R$42</f>
        <v/>
      </c>
      <c r="Z42" s="1348">
        <f>$R$42</f>
        <v/>
      </c>
      <c r="AA42" s="1348">
        <f>$R$42</f>
        <v/>
      </c>
      <c r="AB42" s="1348">
        <f>$R$42</f>
        <v/>
      </c>
      <c r="AC42" s="1348">
        <f>$R$42</f>
        <v/>
      </c>
      <c r="AD42" s="1338">
        <f>SUM(R42:AC42)</f>
        <v/>
      </c>
      <c r="AE42" s="248" t="n"/>
      <c r="AF42" s="1348" t="n">
        <v>100</v>
      </c>
      <c r="AG42" s="1348">
        <f>$AF$42</f>
        <v/>
      </c>
      <c r="AH42" s="1348">
        <f>$AF$42</f>
        <v/>
      </c>
      <c r="AI42" s="1348">
        <f>$AF$42</f>
        <v/>
      </c>
      <c r="AJ42" s="1348">
        <f>$AF$42</f>
        <v/>
      </c>
      <c r="AK42" s="1348">
        <f>$AF$42</f>
        <v/>
      </c>
      <c r="AL42" s="1348">
        <f>$AF$42</f>
        <v/>
      </c>
      <c r="AM42" s="1348">
        <f>$AF$42</f>
        <v/>
      </c>
      <c r="AN42" s="1348">
        <f>$AF$42</f>
        <v/>
      </c>
      <c r="AO42" s="1348">
        <f>$AF$42</f>
        <v/>
      </c>
      <c r="AP42" s="1348">
        <f>$AF$42</f>
        <v/>
      </c>
      <c r="AQ42" s="1348">
        <f>$AF$42</f>
        <v/>
      </c>
      <c r="AR42" s="1338">
        <f>SUM(AF42:AQ42)</f>
        <v/>
      </c>
      <c r="AS42" s="236" t="n"/>
      <c r="AT42" s="1348" t="n">
        <v>100</v>
      </c>
      <c r="AU42" s="1348">
        <f>$AT$42</f>
        <v/>
      </c>
      <c r="AV42" s="1348">
        <f>$AT$42</f>
        <v/>
      </c>
      <c r="AW42" s="1348">
        <f>$AT$42</f>
        <v/>
      </c>
      <c r="AX42" s="1348">
        <f>$AT$42</f>
        <v/>
      </c>
      <c r="AY42" s="1348">
        <f>$AT$42</f>
        <v/>
      </c>
      <c r="AZ42" s="1348">
        <f>$AT$42</f>
        <v/>
      </c>
      <c r="BA42" s="1348">
        <f>$AT$42</f>
        <v/>
      </c>
      <c r="BB42" s="1348">
        <f>$AT$42</f>
        <v/>
      </c>
      <c r="BC42" s="1348">
        <f>$AT$42</f>
        <v/>
      </c>
      <c r="BD42" s="1348">
        <f>$AT$42</f>
        <v/>
      </c>
      <c r="BE42" s="1348">
        <f>$AT$42</f>
        <v/>
      </c>
      <c r="BF42" s="1338">
        <f>SUM(AT42:BE42)</f>
        <v/>
      </c>
      <c r="BG42" s="236" t="n"/>
      <c r="BH42" s="236" t="n"/>
      <c r="BI42" s="236" t="n"/>
      <c r="BJ42" s="236" t="n"/>
      <c r="BK42" s="236" t="n"/>
      <c r="BL42" s="236" t="n"/>
      <c r="BM42" s="236" t="n"/>
      <c r="BN42" s="236" t="n"/>
      <c r="BO42" s="236" t="n"/>
      <c r="BP42" s="236" t="n"/>
      <c r="BQ42" s="236" t="n"/>
      <c r="BR42" s="236" t="n"/>
      <c r="BS42" s="236" t="n"/>
      <c r="BT42" s="236" t="n"/>
      <c r="BU42" s="236" t="n"/>
      <c r="BV42" s="236" t="n"/>
      <c r="BW42" s="236" t="n"/>
      <c r="BX42" s="236" t="n"/>
      <c r="BY42" s="236" t="n"/>
      <c r="BZ42" s="236" t="n"/>
      <c r="CA42" s="236" t="n"/>
      <c r="CB42" s="236" t="n"/>
      <c r="CC42" s="236" t="n"/>
      <c r="CD42" s="236" t="n"/>
      <c r="CE42" s="236" t="n"/>
      <c r="CF42" s="236" t="n"/>
      <c r="CG42" s="236" t="n"/>
    </row>
    <row r="43" ht="23" customHeight="1">
      <c r="A43" s="1334" t="inlineStr">
        <is>
          <t xml:space="preserve"> Phone Line </t>
        </is>
      </c>
      <c r="B43" s="1335" t="n"/>
      <c r="C43" s="1336" t="n"/>
      <c r="D43" s="1351" t="inlineStr">
        <is>
          <t xml:space="preserve">                   -   </t>
        </is>
      </c>
      <c r="E43" s="1352" t="inlineStr">
        <is>
          <t xml:space="preserve">                   -   </t>
        </is>
      </c>
      <c r="F43" s="1352" t="inlineStr">
        <is>
          <t xml:space="preserve">                   -   </t>
        </is>
      </c>
      <c r="G43" s="1352" t="inlineStr">
        <is>
          <t xml:space="preserve">                   -   </t>
        </is>
      </c>
      <c r="H43" s="1352" t="inlineStr">
        <is>
          <t xml:space="preserve">                   -   </t>
        </is>
      </c>
      <c r="I43" s="1352" t="inlineStr">
        <is>
          <t xml:space="preserve">                   -   </t>
        </is>
      </c>
      <c r="J43" s="1352" t="inlineStr">
        <is>
          <t xml:space="preserve">                   -   </t>
        </is>
      </c>
      <c r="K43" s="1352" t="inlineStr">
        <is>
          <t xml:space="preserve">                   -   </t>
        </is>
      </c>
      <c r="L43" s="1352" t="inlineStr">
        <is>
          <t xml:space="preserve">                   -   </t>
        </is>
      </c>
      <c r="M43" s="1352" t="inlineStr">
        <is>
          <t xml:space="preserve">                   -   </t>
        </is>
      </c>
      <c r="N43" s="1352" t="inlineStr">
        <is>
          <t xml:space="preserve">                   -   </t>
        </is>
      </c>
      <c r="O43" s="1352" t="inlineStr">
        <is>
          <t xml:space="preserve">                   -   </t>
        </is>
      </c>
      <c r="P43" s="1338">
        <f>SUM(D43:O43)</f>
        <v/>
      </c>
      <c r="Q43" s="248" t="n"/>
      <c r="R43" s="1351" t="inlineStr">
        <is>
          <t xml:space="preserve">                   -   </t>
        </is>
      </c>
      <c r="S43" s="1352" t="inlineStr">
        <is>
          <t xml:space="preserve">                   -   </t>
        </is>
      </c>
      <c r="T43" s="1352" t="inlineStr">
        <is>
          <t xml:space="preserve">                   -   </t>
        </is>
      </c>
      <c r="U43" s="1352" t="inlineStr">
        <is>
          <t xml:space="preserve">                   -   </t>
        </is>
      </c>
      <c r="V43" s="1352" t="inlineStr">
        <is>
          <t xml:space="preserve">                   -   </t>
        </is>
      </c>
      <c r="W43" s="1352" t="inlineStr">
        <is>
          <t xml:space="preserve">                   -   </t>
        </is>
      </c>
      <c r="X43" s="1352" t="inlineStr">
        <is>
          <t xml:space="preserve">                   -   </t>
        </is>
      </c>
      <c r="Y43" s="1352" t="inlineStr">
        <is>
          <t xml:space="preserve">                   -   </t>
        </is>
      </c>
      <c r="Z43" s="1352" t="inlineStr">
        <is>
          <t xml:space="preserve">                   -   </t>
        </is>
      </c>
      <c r="AA43" s="1352" t="inlineStr">
        <is>
          <t xml:space="preserve">                   -   </t>
        </is>
      </c>
      <c r="AB43" s="1352" t="inlineStr">
        <is>
          <t xml:space="preserve">                   -   </t>
        </is>
      </c>
      <c r="AC43" s="1352" t="inlineStr">
        <is>
          <t xml:space="preserve">                   -   </t>
        </is>
      </c>
      <c r="AD43" s="1338">
        <f>SUM(R43:AC43)</f>
        <v/>
      </c>
      <c r="AE43" s="248" t="n"/>
      <c r="AF43" s="1351" t="inlineStr">
        <is>
          <t xml:space="preserve">                   -   </t>
        </is>
      </c>
      <c r="AG43" s="1352" t="inlineStr">
        <is>
          <t xml:space="preserve">                   -   </t>
        </is>
      </c>
      <c r="AH43" s="1352" t="inlineStr">
        <is>
          <t xml:space="preserve">                   -   </t>
        </is>
      </c>
      <c r="AI43" s="1352" t="inlineStr">
        <is>
          <t xml:space="preserve">                   -   </t>
        </is>
      </c>
      <c r="AJ43" s="1352" t="inlineStr">
        <is>
          <t xml:space="preserve">                   -   </t>
        </is>
      </c>
      <c r="AK43" s="1352" t="inlineStr">
        <is>
          <t xml:space="preserve">                   -   </t>
        </is>
      </c>
      <c r="AL43" s="1352" t="inlineStr">
        <is>
          <t xml:space="preserve">                   -   </t>
        </is>
      </c>
      <c r="AM43" s="1352" t="inlineStr">
        <is>
          <t xml:space="preserve">                   -   </t>
        </is>
      </c>
      <c r="AN43" s="1352" t="inlineStr">
        <is>
          <t xml:space="preserve">                   -   </t>
        </is>
      </c>
      <c r="AO43" s="1352" t="inlineStr">
        <is>
          <t xml:space="preserve">                   -   </t>
        </is>
      </c>
      <c r="AP43" s="1352" t="inlineStr">
        <is>
          <t xml:space="preserve">                   -   </t>
        </is>
      </c>
      <c r="AQ43" s="1352" t="inlineStr">
        <is>
          <t xml:space="preserve">                   -   </t>
        </is>
      </c>
      <c r="AR43" s="1338">
        <f>SUM(AF43:AQ43)</f>
        <v/>
      </c>
      <c r="AS43" s="236" t="n"/>
      <c r="AT43" s="1351" t="inlineStr">
        <is>
          <t xml:space="preserve">                   -   </t>
        </is>
      </c>
      <c r="AU43" s="1352" t="inlineStr">
        <is>
          <t xml:space="preserve">                   -   </t>
        </is>
      </c>
      <c r="AV43" s="1352" t="inlineStr">
        <is>
          <t xml:space="preserve">                   -   </t>
        </is>
      </c>
      <c r="AW43" s="1352" t="inlineStr">
        <is>
          <t xml:space="preserve">                   -   </t>
        </is>
      </c>
      <c r="AX43" s="1352" t="inlineStr">
        <is>
          <t xml:space="preserve">                   -   </t>
        </is>
      </c>
      <c r="AY43" s="1352" t="inlineStr">
        <is>
          <t xml:space="preserve">                   -   </t>
        </is>
      </c>
      <c r="AZ43" s="1352" t="inlineStr">
        <is>
          <t xml:space="preserve">                   -   </t>
        </is>
      </c>
      <c r="BA43" s="1352" t="inlineStr">
        <is>
          <t xml:space="preserve">                   -   </t>
        </is>
      </c>
      <c r="BB43" s="1352" t="inlineStr">
        <is>
          <t xml:space="preserve">                   -   </t>
        </is>
      </c>
      <c r="BC43" s="1352" t="inlineStr">
        <is>
          <t xml:space="preserve">                   -   </t>
        </is>
      </c>
      <c r="BD43" s="1352" t="inlineStr">
        <is>
          <t xml:space="preserve">                   -   </t>
        </is>
      </c>
      <c r="BE43" s="1352" t="inlineStr">
        <is>
          <t xml:space="preserve">                   -   </t>
        </is>
      </c>
      <c r="BF43" s="1338">
        <f>SUM(AT43:BE43)</f>
        <v/>
      </c>
      <c r="BG43" s="236" t="n"/>
      <c r="BH43" s="236" t="n"/>
      <c r="BI43" s="236" t="n"/>
      <c r="BJ43" s="236" t="n"/>
      <c r="BK43" s="236" t="n"/>
      <c r="BL43" s="236" t="n"/>
      <c r="BM43" s="236" t="n"/>
      <c r="BN43" s="236" t="n"/>
      <c r="BO43" s="236" t="n"/>
      <c r="BP43" s="236" t="n"/>
      <c r="BQ43" s="236" t="n"/>
      <c r="BR43" s="236" t="n"/>
      <c r="BS43" s="236" t="n"/>
      <c r="BT43" s="236" t="n"/>
      <c r="BU43" s="236" t="n"/>
      <c r="BV43" s="236" t="n"/>
      <c r="BW43" s="236" t="n"/>
      <c r="BX43" s="236" t="n"/>
      <c r="BY43" s="236" t="n"/>
      <c r="BZ43" s="236" t="n"/>
      <c r="CA43" s="236" t="n"/>
      <c r="CB43" s="236" t="n"/>
      <c r="CC43" s="236" t="n"/>
      <c r="CD43" s="236" t="n"/>
      <c r="CE43" s="236" t="n"/>
      <c r="CF43" s="236" t="n"/>
      <c r="CG43" s="236" t="n"/>
    </row>
    <row r="44" ht="23" customHeight="1">
      <c r="A44" s="1334" t="inlineStr">
        <is>
          <t xml:space="preserve"> Internet </t>
        </is>
      </c>
      <c r="B44" s="1335" t="n"/>
      <c r="C44" s="1336" t="n"/>
      <c r="D44" s="1351" t="inlineStr">
        <is>
          <t xml:space="preserve">                   -   </t>
        </is>
      </c>
      <c r="E44" s="1352" t="inlineStr">
        <is>
          <t xml:space="preserve">                   -   </t>
        </is>
      </c>
      <c r="F44" s="1352" t="inlineStr">
        <is>
          <t xml:space="preserve">                   -   </t>
        </is>
      </c>
      <c r="G44" s="1352" t="inlineStr">
        <is>
          <t xml:space="preserve">                   -   </t>
        </is>
      </c>
      <c r="H44" s="1352" t="inlineStr">
        <is>
          <t xml:space="preserve">                   -   </t>
        </is>
      </c>
      <c r="I44" s="1352" t="inlineStr">
        <is>
          <t xml:space="preserve">                   -   </t>
        </is>
      </c>
      <c r="J44" s="1352" t="inlineStr">
        <is>
          <t xml:space="preserve">                   -   </t>
        </is>
      </c>
      <c r="K44" s="1352" t="inlineStr">
        <is>
          <t xml:space="preserve">                   -   </t>
        </is>
      </c>
      <c r="L44" s="1352" t="inlineStr">
        <is>
          <t xml:space="preserve">                   -   </t>
        </is>
      </c>
      <c r="M44" s="1352" t="inlineStr">
        <is>
          <t xml:space="preserve">                   -   </t>
        </is>
      </c>
      <c r="N44" s="1352" t="inlineStr">
        <is>
          <t xml:space="preserve">                   -   </t>
        </is>
      </c>
      <c r="O44" s="1352" t="inlineStr">
        <is>
          <t xml:space="preserve">                   -   </t>
        </is>
      </c>
      <c r="P44" s="1338">
        <f>SUM(D45:O45)</f>
        <v/>
      </c>
      <c r="Q44" s="248" t="n"/>
      <c r="R44" s="1351" t="inlineStr">
        <is>
          <t xml:space="preserve">                   -   </t>
        </is>
      </c>
      <c r="S44" s="1352" t="inlineStr">
        <is>
          <t xml:space="preserve">                   -   </t>
        </is>
      </c>
      <c r="T44" s="1352" t="inlineStr">
        <is>
          <t xml:space="preserve">                   -   </t>
        </is>
      </c>
      <c r="U44" s="1352" t="inlineStr">
        <is>
          <t xml:space="preserve">                   -   </t>
        </is>
      </c>
      <c r="V44" s="1352" t="inlineStr">
        <is>
          <t xml:space="preserve">                   -   </t>
        </is>
      </c>
      <c r="W44" s="1352" t="inlineStr">
        <is>
          <t xml:space="preserve">                   -   </t>
        </is>
      </c>
      <c r="X44" s="1352" t="inlineStr">
        <is>
          <t xml:space="preserve">                   -   </t>
        </is>
      </c>
      <c r="Y44" s="1352" t="inlineStr">
        <is>
          <t xml:space="preserve">                   -   </t>
        </is>
      </c>
      <c r="Z44" s="1352" t="inlineStr">
        <is>
          <t xml:space="preserve">                   -   </t>
        </is>
      </c>
      <c r="AA44" s="1352" t="inlineStr">
        <is>
          <t xml:space="preserve">                   -   </t>
        </is>
      </c>
      <c r="AB44" s="1352" t="inlineStr">
        <is>
          <t xml:space="preserve">                   -   </t>
        </is>
      </c>
      <c r="AC44" s="1352" t="inlineStr">
        <is>
          <t xml:space="preserve">                   -   </t>
        </is>
      </c>
      <c r="AD44" s="1338">
        <f>SUM(R44:AC44)</f>
        <v/>
      </c>
      <c r="AE44" s="248" t="n"/>
      <c r="AF44" s="1351" t="inlineStr">
        <is>
          <t xml:space="preserve">                   -   </t>
        </is>
      </c>
      <c r="AG44" s="1352" t="inlineStr">
        <is>
          <t xml:space="preserve">                   -   </t>
        </is>
      </c>
      <c r="AH44" s="1352" t="inlineStr">
        <is>
          <t xml:space="preserve">                   -   </t>
        </is>
      </c>
      <c r="AI44" s="1352" t="inlineStr">
        <is>
          <t xml:space="preserve">                   -   </t>
        </is>
      </c>
      <c r="AJ44" s="1352" t="inlineStr">
        <is>
          <t xml:space="preserve">                   -   </t>
        </is>
      </c>
      <c r="AK44" s="1352" t="inlineStr">
        <is>
          <t xml:space="preserve">                   -   </t>
        </is>
      </c>
      <c r="AL44" s="1352" t="inlineStr">
        <is>
          <t xml:space="preserve">                   -   </t>
        </is>
      </c>
      <c r="AM44" s="1352" t="inlineStr">
        <is>
          <t xml:space="preserve">                   -   </t>
        </is>
      </c>
      <c r="AN44" s="1352" t="inlineStr">
        <is>
          <t xml:space="preserve">                   -   </t>
        </is>
      </c>
      <c r="AO44" s="1352" t="inlineStr">
        <is>
          <t xml:space="preserve">                   -   </t>
        </is>
      </c>
      <c r="AP44" s="1352" t="inlineStr">
        <is>
          <t xml:space="preserve">                   -   </t>
        </is>
      </c>
      <c r="AQ44" s="1352" t="inlineStr">
        <is>
          <t xml:space="preserve">                   -   </t>
        </is>
      </c>
      <c r="AR44" s="1338">
        <f>SUM(AF44:AQ44)</f>
        <v/>
      </c>
      <c r="AS44" s="236" t="n"/>
      <c r="AT44" s="1351" t="inlineStr">
        <is>
          <t xml:space="preserve">                   -   </t>
        </is>
      </c>
      <c r="AU44" s="1352" t="inlineStr">
        <is>
          <t xml:space="preserve">                   -   </t>
        </is>
      </c>
      <c r="AV44" s="1352" t="inlineStr">
        <is>
          <t xml:space="preserve">                   -   </t>
        </is>
      </c>
      <c r="AW44" s="1352" t="inlineStr">
        <is>
          <t xml:space="preserve">                   -   </t>
        </is>
      </c>
      <c r="AX44" s="1352" t="inlineStr">
        <is>
          <t xml:space="preserve">                   -   </t>
        </is>
      </c>
      <c r="AY44" s="1352" t="inlineStr">
        <is>
          <t xml:space="preserve">                   -   </t>
        </is>
      </c>
      <c r="AZ44" s="1352" t="inlineStr">
        <is>
          <t xml:space="preserve">                   -   </t>
        </is>
      </c>
      <c r="BA44" s="1352" t="inlineStr">
        <is>
          <t xml:space="preserve">                   -   </t>
        </is>
      </c>
      <c r="BB44" s="1352" t="inlineStr">
        <is>
          <t xml:space="preserve">                   -   </t>
        </is>
      </c>
      <c r="BC44" s="1352" t="inlineStr">
        <is>
          <t xml:space="preserve">                   -   </t>
        </is>
      </c>
      <c r="BD44" s="1352" t="inlineStr">
        <is>
          <t xml:space="preserve">                   -   </t>
        </is>
      </c>
      <c r="BE44" s="1352" t="inlineStr">
        <is>
          <t xml:space="preserve">                   -   </t>
        </is>
      </c>
      <c r="BF44" s="1338">
        <f>SUM(AT44:BE44)</f>
        <v/>
      </c>
      <c r="BG44" s="236" t="n"/>
      <c r="BH44" s="236" t="n"/>
      <c r="BI44" s="236" t="n"/>
      <c r="BJ44" s="236" t="n"/>
      <c r="BK44" s="236" t="n"/>
      <c r="BL44" s="236" t="n"/>
      <c r="BM44" s="236" t="n"/>
      <c r="BN44" s="236" t="n"/>
      <c r="BO44" s="236" t="n"/>
      <c r="BP44" s="236" t="n"/>
      <c r="BQ44" s="236" t="n"/>
      <c r="BR44" s="236" t="n"/>
      <c r="BS44" s="236" t="n"/>
      <c r="BT44" s="236" t="n"/>
      <c r="BU44" s="236" t="n"/>
      <c r="BV44" s="236" t="n"/>
      <c r="BW44" s="236" t="n"/>
      <c r="BX44" s="236" t="n"/>
      <c r="BY44" s="236" t="n"/>
      <c r="BZ44" s="236" t="n"/>
      <c r="CA44" s="236" t="n"/>
      <c r="CB44" s="236" t="n"/>
      <c r="CC44" s="236" t="n"/>
      <c r="CD44" s="236" t="n"/>
      <c r="CE44" s="236" t="n"/>
      <c r="CF44" s="236" t="n"/>
      <c r="CG44" s="236" t="n"/>
    </row>
    <row r="45" ht="23" customHeight="1">
      <c r="A45" s="1334" t="inlineStr">
        <is>
          <t xml:space="preserve"> Wireless </t>
        </is>
      </c>
      <c r="B45" s="1335" t="n"/>
      <c r="C45" s="1336" t="n"/>
      <c r="D45" s="1336" t="n">
        <v>4000</v>
      </c>
      <c r="E45" s="1337" t="inlineStr">
        <is>
          <t xml:space="preserve">                   -   </t>
        </is>
      </c>
      <c r="F45" s="1337" t="inlineStr">
        <is>
          <t xml:space="preserve">                   -   </t>
        </is>
      </c>
      <c r="G45" s="1337" t="inlineStr">
        <is>
          <t xml:space="preserve">                   -   </t>
        </is>
      </c>
      <c r="H45" s="1337" t="inlineStr">
        <is>
          <t xml:space="preserve">                   -   </t>
        </is>
      </c>
      <c r="I45" s="1337" t="inlineStr">
        <is>
          <t xml:space="preserve">                   -   </t>
        </is>
      </c>
      <c r="J45" s="1337" t="inlineStr">
        <is>
          <t xml:space="preserve">                   -   </t>
        </is>
      </c>
      <c r="K45" s="1337" t="inlineStr">
        <is>
          <t xml:space="preserve">                   -   </t>
        </is>
      </c>
      <c r="L45" s="1337" t="inlineStr">
        <is>
          <t xml:space="preserve">                   -   </t>
        </is>
      </c>
      <c r="M45" s="1337" t="inlineStr">
        <is>
          <t xml:space="preserve">                   -   </t>
        </is>
      </c>
      <c r="N45" s="1337" t="inlineStr">
        <is>
          <t xml:space="preserve">                   -   </t>
        </is>
      </c>
      <c r="O45" s="1337" t="inlineStr">
        <is>
          <t xml:space="preserve">                   -   </t>
        </is>
      </c>
      <c r="P45" s="1338" t="n">
        <v>4000</v>
      </c>
      <c r="Q45" s="248" t="n"/>
      <c r="R45" s="1336" t="n">
        <v>4000</v>
      </c>
      <c r="S45" s="1337" t="inlineStr">
        <is>
          <t xml:space="preserve">                   -   </t>
        </is>
      </c>
      <c r="T45" s="1337" t="inlineStr">
        <is>
          <t xml:space="preserve">                   -   </t>
        </is>
      </c>
      <c r="U45" s="1337" t="inlineStr">
        <is>
          <t xml:space="preserve">                   -   </t>
        </is>
      </c>
      <c r="V45" s="1337" t="inlineStr">
        <is>
          <t xml:space="preserve">                   -   </t>
        </is>
      </c>
      <c r="W45" s="1337" t="inlineStr">
        <is>
          <t xml:space="preserve">                   -   </t>
        </is>
      </c>
      <c r="X45" s="1337" t="inlineStr">
        <is>
          <t xml:space="preserve">                   -   </t>
        </is>
      </c>
      <c r="Y45" s="1337" t="inlineStr">
        <is>
          <t xml:space="preserve">                   -   </t>
        </is>
      </c>
      <c r="Z45" s="1337" t="inlineStr">
        <is>
          <t xml:space="preserve">                   -   </t>
        </is>
      </c>
      <c r="AA45" s="1337" t="inlineStr">
        <is>
          <t xml:space="preserve">                   -   </t>
        </is>
      </c>
      <c r="AB45" s="1337" t="inlineStr">
        <is>
          <t xml:space="preserve">                   -   </t>
        </is>
      </c>
      <c r="AC45" s="1337" t="inlineStr">
        <is>
          <t xml:space="preserve">                   -   </t>
        </is>
      </c>
      <c r="AD45" s="1338">
        <f>SUM(R45:AC45)</f>
        <v/>
      </c>
      <c r="AE45" s="248" t="n"/>
      <c r="AF45" s="1336" t="n">
        <v>4000</v>
      </c>
      <c r="AG45" s="1337" t="inlineStr">
        <is>
          <t xml:space="preserve">                   -   </t>
        </is>
      </c>
      <c r="AH45" s="1337" t="inlineStr">
        <is>
          <t xml:space="preserve">                   -   </t>
        </is>
      </c>
      <c r="AI45" s="1337" t="inlineStr">
        <is>
          <t xml:space="preserve">                   -   </t>
        </is>
      </c>
      <c r="AJ45" s="1337" t="inlineStr">
        <is>
          <t xml:space="preserve">                   -   </t>
        </is>
      </c>
      <c r="AK45" s="1337" t="inlineStr">
        <is>
          <t xml:space="preserve">                   -   </t>
        </is>
      </c>
      <c r="AL45" s="1337" t="inlineStr">
        <is>
          <t xml:space="preserve">                   -   </t>
        </is>
      </c>
      <c r="AM45" s="1337" t="inlineStr">
        <is>
          <t xml:space="preserve">                   -   </t>
        </is>
      </c>
      <c r="AN45" s="1337" t="inlineStr">
        <is>
          <t xml:space="preserve">                   -   </t>
        </is>
      </c>
      <c r="AO45" s="1337" t="inlineStr">
        <is>
          <t xml:space="preserve">                   -   </t>
        </is>
      </c>
      <c r="AP45" s="1337" t="inlineStr">
        <is>
          <t xml:space="preserve">                   -   </t>
        </is>
      </c>
      <c r="AQ45" s="1337" t="inlineStr">
        <is>
          <t xml:space="preserve">                   -   </t>
        </is>
      </c>
      <c r="AR45" s="1338">
        <f>SUM(AF45:AQ45)</f>
        <v/>
      </c>
      <c r="AS45" s="236" t="n"/>
      <c r="AT45" s="1336" t="n">
        <v>4000</v>
      </c>
      <c r="AU45" s="1337" t="inlineStr">
        <is>
          <t xml:space="preserve">                   -   </t>
        </is>
      </c>
      <c r="AV45" s="1337" t="inlineStr">
        <is>
          <t xml:space="preserve">                   -   </t>
        </is>
      </c>
      <c r="AW45" s="1337" t="inlineStr">
        <is>
          <t xml:space="preserve">                   -   </t>
        </is>
      </c>
      <c r="AX45" s="1337" t="inlineStr">
        <is>
          <t xml:space="preserve">                   -   </t>
        </is>
      </c>
      <c r="AY45" s="1337" t="inlineStr">
        <is>
          <t xml:space="preserve">                   -   </t>
        </is>
      </c>
      <c r="AZ45" s="1337" t="inlineStr">
        <is>
          <t xml:space="preserve">                   -   </t>
        </is>
      </c>
      <c r="BA45" s="1337" t="inlineStr">
        <is>
          <t xml:space="preserve">                   -   </t>
        </is>
      </c>
      <c r="BB45" s="1337" t="inlineStr">
        <is>
          <t xml:space="preserve">                   -   </t>
        </is>
      </c>
      <c r="BC45" s="1337" t="inlineStr">
        <is>
          <t xml:space="preserve">                   -   </t>
        </is>
      </c>
      <c r="BD45" s="1337" t="inlineStr">
        <is>
          <t xml:space="preserve">                   -   </t>
        </is>
      </c>
      <c r="BE45" s="1337" t="inlineStr">
        <is>
          <t xml:space="preserve">                   -   </t>
        </is>
      </c>
      <c r="BF45" s="1338">
        <f>SUM(AT45:BE45)</f>
        <v/>
      </c>
      <c r="BG45" s="236" t="n"/>
      <c r="BH45" s="236" t="n"/>
      <c r="BI45" s="236" t="n"/>
      <c r="BJ45" s="236" t="n"/>
      <c r="BK45" s="236" t="n"/>
      <c r="BL45" s="236" t="n"/>
      <c r="BM45" s="236" t="n"/>
      <c r="BN45" s="236" t="n"/>
      <c r="BO45" s="236" t="n"/>
      <c r="BP45" s="236" t="n"/>
      <c r="BQ45" s="236" t="n"/>
      <c r="BR45" s="236" t="n"/>
      <c r="BS45" s="236" t="n"/>
      <c r="BT45" s="236" t="n"/>
      <c r="BU45" s="236" t="n"/>
      <c r="BV45" s="236" t="n"/>
      <c r="BW45" s="236" t="n"/>
      <c r="BX45" s="236" t="n"/>
      <c r="BY45" s="236" t="n"/>
      <c r="BZ45" s="236" t="n"/>
      <c r="CA45" s="236" t="n"/>
      <c r="CB45" s="236" t="n"/>
      <c r="CC45" s="236" t="n"/>
      <c r="CD45" s="236" t="n"/>
      <c r="CE45" s="236" t="n"/>
      <c r="CF45" s="236" t="n"/>
      <c r="CG45" s="236" t="n"/>
    </row>
    <row r="46" ht="23" customHeight="1">
      <c r="A46" s="1341" t="inlineStr">
        <is>
          <t xml:space="preserve"> Equipment </t>
        </is>
      </c>
      <c r="B46" s="1335" t="n"/>
      <c r="C46" s="1336" t="n"/>
      <c r="D46" s="1336" t="inlineStr">
        <is>
          <t xml:space="preserve">                   -   </t>
        </is>
      </c>
      <c r="E46" s="1337" t="inlineStr">
        <is>
          <t xml:space="preserve">                   -   </t>
        </is>
      </c>
      <c r="F46" s="1337" t="inlineStr">
        <is>
          <t xml:space="preserve">                   -   </t>
        </is>
      </c>
      <c r="G46" s="1337" t="inlineStr">
        <is>
          <t xml:space="preserve">                   -   </t>
        </is>
      </c>
      <c r="H46" s="1337" t="inlineStr">
        <is>
          <t xml:space="preserve">                   -   </t>
        </is>
      </c>
      <c r="I46" s="1337" t="inlineStr">
        <is>
          <t xml:space="preserve">                   -   </t>
        </is>
      </c>
      <c r="J46" s="1337" t="inlineStr">
        <is>
          <t xml:space="preserve">                   -   </t>
        </is>
      </c>
      <c r="K46" s="1337" t="inlineStr">
        <is>
          <t xml:space="preserve">                   -   </t>
        </is>
      </c>
      <c r="L46" s="1337" t="inlineStr">
        <is>
          <t xml:space="preserve">                   -   </t>
        </is>
      </c>
      <c r="M46" s="1337" t="inlineStr">
        <is>
          <t xml:space="preserve">                   -   </t>
        </is>
      </c>
      <c r="N46" s="1337" t="inlineStr">
        <is>
          <t xml:space="preserve">                   -   </t>
        </is>
      </c>
      <c r="O46" s="1337" t="inlineStr">
        <is>
          <t xml:space="preserve">                   -   </t>
        </is>
      </c>
      <c r="P46" s="1338" t="inlineStr">
        <is>
          <t xml:space="preserve">                   -   </t>
        </is>
      </c>
      <c r="Q46" s="248" t="n"/>
      <c r="R46" s="1336" t="inlineStr">
        <is>
          <t xml:space="preserve">                   -   </t>
        </is>
      </c>
      <c r="S46" s="1337" t="inlineStr">
        <is>
          <t xml:space="preserve">                   -   </t>
        </is>
      </c>
      <c r="T46" s="1337" t="inlineStr">
        <is>
          <t xml:space="preserve">                   -   </t>
        </is>
      </c>
      <c r="U46" s="1337" t="inlineStr">
        <is>
          <t xml:space="preserve">                   -   </t>
        </is>
      </c>
      <c r="V46" s="1337" t="inlineStr">
        <is>
          <t xml:space="preserve">                   -   </t>
        </is>
      </c>
      <c r="W46" s="1337" t="inlineStr">
        <is>
          <t xml:space="preserve">                   -   </t>
        </is>
      </c>
      <c r="X46" s="1337" t="inlineStr">
        <is>
          <t xml:space="preserve">                   -   </t>
        </is>
      </c>
      <c r="Y46" s="1337" t="inlineStr">
        <is>
          <t xml:space="preserve">                   -   </t>
        </is>
      </c>
      <c r="Z46" s="1337" t="inlineStr">
        <is>
          <t xml:space="preserve">                   -   </t>
        </is>
      </c>
      <c r="AA46" s="1337" t="inlineStr">
        <is>
          <t xml:space="preserve">                   -   </t>
        </is>
      </c>
      <c r="AB46" s="1337" t="inlineStr">
        <is>
          <t xml:space="preserve">                   -   </t>
        </is>
      </c>
      <c r="AC46" s="1337" t="inlineStr">
        <is>
          <t xml:space="preserve">                   -   </t>
        </is>
      </c>
      <c r="AD46" s="1338">
        <f>SUM(R46:AC46)</f>
        <v/>
      </c>
      <c r="AE46" s="248" t="n"/>
      <c r="AF46" s="1336" t="inlineStr">
        <is>
          <t xml:space="preserve">                   -   </t>
        </is>
      </c>
      <c r="AG46" s="1337" t="inlineStr">
        <is>
          <t xml:space="preserve">                   -   </t>
        </is>
      </c>
      <c r="AH46" s="1337" t="inlineStr">
        <is>
          <t xml:space="preserve">                   -   </t>
        </is>
      </c>
      <c r="AI46" s="1337" t="inlineStr">
        <is>
          <t xml:space="preserve">                   -   </t>
        </is>
      </c>
      <c r="AJ46" s="1337" t="inlineStr">
        <is>
          <t xml:space="preserve">                   -   </t>
        </is>
      </c>
      <c r="AK46" s="1337" t="inlineStr">
        <is>
          <t xml:space="preserve">                   -   </t>
        </is>
      </c>
      <c r="AL46" s="1337" t="inlineStr">
        <is>
          <t xml:space="preserve">                   -   </t>
        </is>
      </c>
      <c r="AM46" s="1337" t="inlineStr">
        <is>
          <t xml:space="preserve">                   -   </t>
        </is>
      </c>
      <c r="AN46" s="1337" t="inlineStr">
        <is>
          <t xml:space="preserve">                   -   </t>
        </is>
      </c>
      <c r="AO46" s="1337" t="inlineStr">
        <is>
          <t xml:space="preserve">                   -   </t>
        </is>
      </c>
      <c r="AP46" s="1337" t="inlineStr">
        <is>
          <t xml:space="preserve">                   -   </t>
        </is>
      </c>
      <c r="AQ46" s="1337" t="inlineStr">
        <is>
          <t xml:space="preserve">                   -   </t>
        </is>
      </c>
      <c r="AR46" s="1338">
        <f>SUM(AF46:AQ46)</f>
        <v/>
      </c>
      <c r="AS46" s="236" t="n"/>
      <c r="AT46" s="1336" t="inlineStr">
        <is>
          <t xml:space="preserve">                   -   </t>
        </is>
      </c>
      <c r="AU46" s="1337" t="inlineStr">
        <is>
          <t xml:space="preserve">                   -   </t>
        </is>
      </c>
      <c r="AV46" s="1337" t="inlineStr">
        <is>
          <t xml:space="preserve">                   -   </t>
        </is>
      </c>
      <c r="AW46" s="1337" t="inlineStr">
        <is>
          <t xml:space="preserve">                   -   </t>
        </is>
      </c>
      <c r="AX46" s="1337" t="inlineStr">
        <is>
          <t xml:space="preserve">                   -   </t>
        </is>
      </c>
      <c r="AY46" s="1337" t="inlineStr">
        <is>
          <t xml:space="preserve">                   -   </t>
        </is>
      </c>
      <c r="AZ46" s="1337" t="inlineStr">
        <is>
          <t xml:space="preserve">                   -   </t>
        </is>
      </c>
      <c r="BA46" s="1337" t="inlineStr">
        <is>
          <t xml:space="preserve">                   -   </t>
        </is>
      </c>
      <c r="BB46" s="1337" t="inlineStr">
        <is>
          <t xml:space="preserve">                   -   </t>
        </is>
      </c>
      <c r="BC46" s="1337" t="inlineStr">
        <is>
          <t xml:space="preserve">                   -   </t>
        </is>
      </c>
      <c r="BD46" s="1337" t="inlineStr">
        <is>
          <t xml:space="preserve">                   -   </t>
        </is>
      </c>
      <c r="BE46" s="1337" t="inlineStr">
        <is>
          <t xml:space="preserve">                   -   </t>
        </is>
      </c>
      <c r="BF46" s="1338">
        <f>SUM(AT46:BE46)</f>
        <v/>
      </c>
      <c r="BG46" s="236" t="n"/>
      <c r="BH46" s="236" t="n"/>
      <c r="BI46" s="236" t="n"/>
      <c r="BJ46" s="236" t="n"/>
      <c r="BK46" s="236" t="n"/>
      <c r="BL46" s="236" t="n"/>
      <c r="BM46" s="236" t="n"/>
      <c r="BN46" s="236" t="n"/>
      <c r="BO46" s="236" t="n"/>
      <c r="BP46" s="236" t="n"/>
      <c r="BQ46" s="236" t="n"/>
      <c r="BR46" s="236" t="n"/>
      <c r="BS46" s="236" t="n"/>
      <c r="BT46" s="236" t="n"/>
      <c r="BU46" s="236" t="n"/>
      <c r="BV46" s="236" t="n"/>
      <c r="BW46" s="236" t="n"/>
      <c r="BX46" s="236" t="n"/>
      <c r="BY46" s="236" t="n"/>
      <c r="BZ46" s="236" t="n"/>
      <c r="CA46" s="236" t="n"/>
      <c r="CB46" s="236" t="n"/>
      <c r="CC46" s="236" t="n"/>
      <c r="CD46" s="236" t="n"/>
      <c r="CE46" s="236" t="n"/>
      <c r="CF46" s="236" t="n"/>
      <c r="CG46" s="236" t="n"/>
    </row>
    <row r="47" ht="23" customHeight="1">
      <c r="A47" s="1353" t="inlineStr">
        <is>
          <t xml:space="preserve"> Printers </t>
        </is>
      </c>
      <c r="B47" s="1335" t="n"/>
      <c r="C47" s="1336" t="n"/>
      <c r="D47" s="1336" t="inlineStr">
        <is>
          <t xml:space="preserve">                   -   </t>
        </is>
      </c>
      <c r="E47" s="1337" t="inlineStr">
        <is>
          <t xml:space="preserve">                   -   </t>
        </is>
      </c>
      <c r="F47" s="1337" t="inlineStr">
        <is>
          <t xml:space="preserve">                   -   </t>
        </is>
      </c>
      <c r="G47" s="1337" t="inlineStr">
        <is>
          <t xml:space="preserve">                   -   </t>
        </is>
      </c>
      <c r="H47" s="1337" t="inlineStr">
        <is>
          <t xml:space="preserve">                   -   </t>
        </is>
      </c>
      <c r="I47" s="1337" t="inlineStr">
        <is>
          <t xml:space="preserve">                   -   </t>
        </is>
      </c>
      <c r="J47" s="1337" t="inlineStr">
        <is>
          <t xml:space="preserve">                   -   </t>
        </is>
      </c>
      <c r="K47" s="1337" t="inlineStr">
        <is>
          <t xml:space="preserve">                   -   </t>
        </is>
      </c>
      <c r="L47" s="1337" t="inlineStr">
        <is>
          <t xml:space="preserve">                   -   </t>
        </is>
      </c>
      <c r="M47" s="1337" t="inlineStr">
        <is>
          <t xml:space="preserve">                   -   </t>
        </is>
      </c>
      <c r="N47" s="1337" t="inlineStr">
        <is>
          <t xml:space="preserve">                   -   </t>
        </is>
      </c>
      <c r="O47" s="1337" t="inlineStr">
        <is>
          <t xml:space="preserve">                   -   </t>
        </is>
      </c>
      <c r="P47" s="1338" t="inlineStr">
        <is>
          <t xml:space="preserve">                   -   </t>
        </is>
      </c>
      <c r="Q47" s="248" t="n"/>
      <c r="R47" s="1336" t="inlineStr">
        <is>
          <t xml:space="preserve">                   -   </t>
        </is>
      </c>
      <c r="S47" s="1337" t="inlineStr">
        <is>
          <t xml:space="preserve">                   -   </t>
        </is>
      </c>
      <c r="T47" s="1337" t="inlineStr">
        <is>
          <t xml:space="preserve">                   -   </t>
        </is>
      </c>
      <c r="U47" s="1337" t="inlineStr">
        <is>
          <t xml:space="preserve">                   -   </t>
        </is>
      </c>
      <c r="V47" s="1337" t="inlineStr">
        <is>
          <t xml:space="preserve">                   -   </t>
        </is>
      </c>
      <c r="W47" s="1337" t="inlineStr">
        <is>
          <t xml:space="preserve">                   -   </t>
        </is>
      </c>
      <c r="X47" s="1337" t="inlineStr">
        <is>
          <t xml:space="preserve">                   -   </t>
        </is>
      </c>
      <c r="Y47" s="1337" t="inlineStr">
        <is>
          <t xml:space="preserve">                   -   </t>
        </is>
      </c>
      <c r="Z47" s="1337" t="inlineStr">
        <is>
          <t xml:space="preserve">                   -   </t>
        </is>
      </c>
      <c r="AA47" s="1337" t="inlineStr">
        <is>
          <t xml:space="preserve">                   -   </t>
        </is>
      </c>
      <c r="AB47" s="1337" t="inlineStr">
        <is>
          <t xml:space="preserve">                   -   </t>
        </is>
      </c>
      <c r="AC47" s="1337" t="inlineStr">
        <is>
          <t xml:space="preserve">                   -   </t>
        </is>
      </c>
      <c r="AD47" s="1338">
        <f>SUM(R47:AC47)</f>
        <v/>
      </c>
      <c r="AE47" s="248" t="n"/>
      <c r="AF47" s="1336" t="inlineStr">
        <is>
          <t xml:space="preserve">                   -   </t>
        </is>
      </c>
      <c r="AG47" s="1337" t="inlineStr">
        <is>
          <t xml:space="preserve">                   -   </t>
        </is>
      </c>
      <c r="AH47" s="1337" t="inlineStr">
        <is>
          <t xml:space="preserve">                   -   </t>
        </is>
      </c>
      <c r="AI47" s="1337" t="inlineStr">
        <is>
          <t xml:space="preserve">                   -   </t>
        </is>
      </c>
      <c r="AJ47" s="1337" t="inlineStr">
        <is>
          <t xml:space="preserve">                   -   </t>
        </is>
      </c>
      <c r="AK47" s="1337" t="inlineStr">
        <is>
          <t xml:space="preserve">                   -   </t>
        </is>
      </c>
      <c r="AL47" s="1337" t="inlineStr">
        <is>
          <t xml:space="preserve">                   -   </t>
        </is>
      </c>
      <c r="AM47" s="1337" t="inlineStr">
        <is>
          <t xml:space="preserve">                   -   </t>
        </is>
      </c>
      <c r="AN47" s="1337" t="inlineStr">
        <is>
          <t xml:space="preserve">                   -   </t>
        </is>
      </c>
      <c r="AO47" s="1337" t="inlineStr">
        <is>
          <t xml:space="preserve">                   -   </t>
        </is>
      </c>
      <c r="AP47" s="1337" t="inlineStr">
        <is>
          <t xml:space="preserve">                   -   </t>
        </is>
      </c>
      <c r="AQ47" s="1337" t="inlineStr">
        <is>
          <t xml:space="preserve">                   -   </t>
        </is>
      </c>
      <c r="AR47" s="1338">
        <f>SUM(AF47:AQ47)</f>
        <v/>
      </c>
      <c r="AS47" s="236" t="n"/>
      <c r="AT47" s="1336" t="inlineStr">
        <is>
          <t xml:space="preserve">                   -   </t>
        </is>
      </c>
      <c r="AU47" s="1337" t="inlineStr">
        <is>
          <t xml:space="preserve">                   -   </t>
        </is>
      </c>
      <c r="AV47" s="1337" t="inlineStr">
        <is>
          <t xml:space="preserve">                   -   </t>
        </is>
      </c>
      <c r="AW47" s="1337" t="inlineStr">
        <is>
          <t xml:space="preserve">                   -   </t>
        </is>
      </c>
      <c r="AX47" s="1337" t="inlineStr">
        <is>
          <t xml:space="preserve">                   -   </t>
        </is>
      </c>
      <c r="AY47" s="1337" t="inlineStr">
        <is>
          <t xml:space="preserve">                   -   </t>
        </is>
      </c>
      <c r="AZ47" s="1337" t="inlineStr">
        <is>
          <t xml:space="preserve">                   -   </t>
        </is>
      </c>
      <c r="BA47" s="1337" t="inlineStr">
        <is>
          <t xml:space="preserve">                   -   </t>
        </is>
      </c>
      <c r="BB47" s="1337" t="inlineStr">
        <is>
          <t xml:space="preserve">                   -   </t>
        </is>
      </c>
      <c r="BC47" s="1337" t="inlineStr">
        <is>
          <t xml:space="preserve">                   -   </t>
        </is>
      </c>
      <c r="BD47" s="1337" t="inlineStr">
        <is>
          <t xml:space="preserve">                   -   </t>
        </is>
      </c>
      <c r="BE47" s="1337" t="inlineStr">
        <is>
          <t xml:space="preserve">                   -   </t>
        </is>
      </c>
      <c r="BF47" s="1338">
        <f>SUM(AT47:BE47)</f>
        <v/>
      </c>
      <c r="BG47" s="236" t="n"/>
      <c r="BH47" s="236" t="n"/>
      <c r="BI47" s="236" t="n"/>
      <c r="BJ47" s="236" t="n"/>
      <c r="BK47" s="236" t="n"/>
      <c r="BL47" s="236" t="n"/>
      <c r="BM47" s="236" t="n"/>
      <c r="BN47" s="236" t="n"/>
      <c r="BO47" s="236" t="n"/>
      <c r="BP47" s="236" t="n"/>
      <c r="BQ47" s="236" t="n"/>
      <c r="BR47" s="236" t="n"/>
      <c r="BS47" s="236" t="n"/>
      <c r="BT47" s="236" t="n"/>
      <c r="BU47" s="236" t="n"/>
      <c r="BV47" s="236" t="n"/>
      <c r="BW47" s="236" t="n"/>
      <c r="BX47" s="236" t="n"/>
      <c r="BY47" s="236" t="n"/>
      <c r="BZ47" s="236" t="n"/>
      <c r="CA47" s="236" t="n"/>
      <c r="CB47" s="236" t="n"/>
      <c r="CC47" s="236" t="n"/>
      <c r="CD47" s="236" t="n"/>
      <c r="CE47" s="236" t="n"/>
      <c r="CF47" s="236" t="n"/>
      <c r="CG47" s="236" t="n"/>
    </row>
    <row r="48" ht="23" customHeight="1">
      <c r="A48" s="1354" t="inlineStr">
        <is>
          <t xml:space="preserve">   </t>
        </is>
      </c>
      <c r="B48" s="1335" t="n"/>
      <c r="C48" s="1336" t="n"/>
      <c r="D48" s="1336" t="inlineStr">
        <is>
          <t xml:space="preserve">                   -   </t>
        </is>
      </c>
      <c r="E48" s="1337" t="inlineStr">
        <is>
          <t xml:space="preserve">                   -   </t>
        </is>
      </c>
      <c r="F48" s="1337" t="inlineStr">
        <is>
          <t xml:space="preserve">                   -   </t>
        </is>
      </c>
      <c r="G48" s="1337" t="inlineStr">
        <is>
          <t xml:space="preserve">                   -   </t>
        </is>
      </c>
      <c r="H48" s="1337" t="inlineStr">
        <is>
          <t xml:space="preserve">                   -   </t>
        </is>
      </c>
      <c r="I48" s="1337" t="inlineStr">
        <is>
          <t xml:space="preserve">                   -   </t>
        </is>
      </c>
      <c r="J48" s="1337" t="inlineStr">
        <is>
          <t xml:space="preserve">                   -   </t>
        </is>
      </c>
      <c r="K48" s="1337" t="inlineStr">
        <is>
          <t xml:space="preserve">                   -   </t>
        </is>
      </c>
      <c r="L48" s="1337" t="inlineStr">
        <is>
          <t xml:space="preserve">                   -   </t>
        </is>
      </c>
      <c r="M48" s="1337" t="inlineStr">
        <is>
          <t xml:space="preserve">                   -   </t>
        </is>
      </c>
      <c r="N48" s="1337" t="inlineStr">
        <is>
          <t xml:space="preserve">                   -   </t>
        </is>
      </c>
      <c r="O48" s="1337" t="inlineStr">
        <is>
          <t xml:space="preserve">                   -   </t>
        </is>
      </c>
      <c r="P48" s="1338" t="inlineStr">
        <is>
          <t xml:space="preserve">                   -   </t>
        </is>
      </c>
      <c r="Q48" s="248" t="n"/>
      <c r="R48" s="1336" t="inlineStr">
        <is>
          <t xml:space="preserve">                   -   </t>
        </is>
      </c>
      <c r="S48" s="1337" t="inlineStr">
        <is>
          <t xml:space="preserve">                   -   </t>
        </is>
      </c>
      <c r="T48" s="1337" t="inlineStr">
        <is>
          <t xml:space="preserve">                   -   </t>
        </is>
      </c>
      <c r="U48" s="1337" t="inlineStr">
        <is>
          <t xml:space="preserve">                   -   </t>
        </is>
      </c>
      <c r="V48" s="1337" t="inlineStr">
        <is>
          <t xml:space="preserve">                   -   </t>
        </is>
      </c>
      <c r="W48" s="1337" t="inlineStr">
        <is>
          <t xml:space="preserve">                   -   </t>
        </is>
      </c>
      <c r="X48" s="1337" t="inlineStr">
        <is>
          <t xml:space="preserve">                   -   </t>
        </is>
      </c>
      <c r="Y48" s="1337" t="inlineStr">
        <is>
          <t xml:space="preserve">                   -   </t>
        </is>
      </c>
      <c r="Z48" s="1337" t="inlineStr">
        <is>
          <t xml:space="preserve">                   -   </t>
        </is>
      </c>
      <c r="AA48" s="1337" t="inlineStr">
        <is>
          <t xml:space="preserve">                   -   </t>
        </is>
      </c>
      <c r="AB48" s="1337" t="inlineStr">
        <is>
          <t xml:space="preserve">                   -   </t>
        </is>
      </c>
      <c r="AC48" s="1337" t="inlineStr">
        <is>
          <t xml:space="preserve">                   -   </t>
        </is>
      </c>
      <c r="AD48" s="1338">
        <f>SUM(R48:AC48)</f>
        <v/>
      </c>
      <c r="AE48" s="248" t="n"/>
      <c r="AF48" s="1336" t="inlineStr">
        <is>
          <t xml:space="preserve">                   -   </t>
        </is>
      </c>
      <c r="AG48" s="1337" t="inlineStr">
        <is>
          <t xml:space="preserve">                   -   </t>
        </is>
      </c>
      <c r="AH48" s="1337" t="inlineStr">
        <is>
          <t xml:space="preserve">                   -   </t>
        </is>
      </c>
      <c r="AI48" s="1337" t="inlineStr">
        <is>
          <t xml:space="preserve">                   -   </t>
        </is>
      </c>
      <c r="AJ48" s="1337" t="inlineStr">
        <is>
          <t xml:space="preserve">                   -   </t>
        </is>
      </c>
      <c r="AK48" s="1337" t="inlineStr">
        <is>
          <t xml:space="preserve">                   -   </t>
        </is>
      </c>
      <c r="AL48" s="1337" t="inlineStr">
        <is>
          <t xml:space="preserve">                   -   </t>
        </is>
      </c>
      <c r="AM48" s="1337" t="inlineStr">
        <is>
          <t xml:space="preserve">                   -   </t>
        </is>
      </c>
      <c r="AN48" s="1337" t="inlineStr">
        <is>
          <t xml:space="preserve">                   -   </t>
        </is>
      </c>
      <c r="AO48" s="1337" t="inlineStr">
        <is>
          <t xml:space="preserve">                   -   </t>
        </is>
      </c>
      <c r="AP48" s="1337" t="inlineStr">
        <is>
          <t xml:space="preserve">                   -   </t>
        </is>
      </c>
      <c r="AQ48" s="1337" t="inlineStr">
        <is>
          <t xml:space="preserve">                   -   </t>
        </is>
      </c>
      <c r="AR48" s="1338">
        <f>SUM(AF48:AQ48)</f>
        <v/>
      </c>
      <c r="AS48" s="236" t="n"/>
      <c r="AT48" s="1336" t="inlineStr">
        <is>
          <t xml:space="preserve">                   -   </t>
        </is>
      </c>
      <c r="AU48" s="1337" t="inlineStr">
        <is>
          <t xml:space="preserve">                   -   </t>
        </is>
      </c>
      <c r="AV48" s="1337" t="inlineStr">
        <is>
          <t xml:space="preserve">                   -   </t>
        </is>
      </c>
      <c r="AW48" s="1337" t="inlineStr">
        <is>
          <t xml:space="preserve">                   -   </t>
        </is>
      </c>
      <c r="AX48" s="1337" t="inlineStr">
        <is>
          <t xml:space="preserve">                   -   </t>
        </is>
      </c>
      <c r="AY48" s="1337" t="inlineStr">
        <is>
          <t xml:space="preserve">                   -   </t>
        </is>
      </c>
      <c r="AZ48" s="1337" t="inlineStr">
        <is>
          <t xml:space="preserve">                   -   </t>
        </is>
      </c>
      <c r="BA48" s="1337" t="inlineStr">
        <is>
          <t xml:space="preserve">                   -   </t>
        </is>
      </c>
      <c r="BB48" s="1337" t="inlineStr">
        <is>
          <t xml:space="preserve">                   -   </t>
        </is>
      </c>
      <c r="BC48" s="1337" t="inlineStr">
        <is>
          <t xml:space="preserve">                   -   </t>
        </is>
      </c>
      <c r="BD48" s="1337" t="inlineStr">
        <is>
          <t xml:space="preserve">                   -   </t>
        </is>
      </c>
      <c r="BE48" s="1337" t="inlineStr">
        <is>
          <t xml:space="preserve">                   -   </t>
        </is>
      </c>
      <c r="BF48" s="1338">
        <f>SUM(AT48:BE48)</f>
        <v/>
      </c>
      <c r="BG48" s="236" t="n"/>
      <c r="BH48" s="236" t="n"/>
      <c r="BI48" s="236" t="n"/>
      <c r="BJ48" s="236" t="n"/>
      <c r="BK48" s="236" t="n"/>
      <c r="BL48" s="236" t="n"/>
      <c r="BM48" s="236" t="n"/>
      <c r="BN48" s="236" t="n"/>
      <c r="BO48" s="236" t="n"/>
      <c r="BP48" s="236" t="n"/>
      <c r="BQ48" s="236" t="n"/>
      <c r="BR48" s="236" t="n"/>
      <c r="BS48" s="236" t="n"/>
      <c r="BT48" s="236" t="n"/>
      <c r="BU48" s="236" t="n"/>
      <c r="BV48" s="236" t="n"/>
      <c r="BW48" s="236" t="n"/>
      <c r="BX48" s="236" t="n"/>
      <c r="BY48" s="236" t="n"/>
      <c r="BZ48" s="236" t="n"/>
      <c r="CA48" s="236" t="n"/>
      <c r="CB48" s="236" t="n"/>
      <c r="CC48" s="236" t="n"/>
      <c r="CD48" s="236" t="n"/>
      <c r="CE48" s="236" t="n"/>
      <c r="CF48" s="236" t="n"/>
      <c r="CG48" s="236" t="n"/>
    </row>
    <row r="49" ht="23" customHeight="1">
      <c r="A49" s="1353" t="inlineStr">
        <is>
          <t xml:space="preserve">   </t>
        </is>
      </c>
      <c r="B49" s="1335" t="n"/>
      <c r="C49" s="1336" t="n"/>
      <c r="D49" s="1336" t="inlineStr">
        <is>
          <t xml:space="preserve">                   -   </t>
        </is>
      </c>
      <c r="E49" s="1337" t="inlineStr">
        <is>
          <t xml:space="preserve">                   -   </t>
        </is>
      </c>
      <c r="F49" s="1337" t="inlineStr">
        <is>
          <t xml:space="preserve">                   -   </t>
        </is>
      </c>
      <c r="G49" s="1337" t="inlineStr">
        <is>
          <t xml:space="preserve">                   -   </t>
        </is>
      </c>
      <c r="H49" s="1337" t="inlineStr">
        <is>
          <t xml:space="preserve">                   -   </t>
        </is>
      </c>
      <c r="I49" s="1337" t="inlineStr">
        <is>
          <t xml:space="preserve">                   -   </t>
        </is>
      </c>
      <c r="J49" s="1337" t="inlineStr">
        <is>
          <t xml:space="preserve">                   -   </t>
        </is>
      </c>
      <c r="K49" s="1337" t="inlineStr">
        <is>
          <t xml:space="preserve">                   -   </t>
        </is>
      </c>
      <c r="L49" s="1337" t="inlineStr">
        <is>
          <t xml:space="preserve">                   -   </t>
        </is>
      </c>
      <c r="M49" s="1337" t="inlineStr">
        <is>
          <t xml:space="preserve">                   -   </t>
        </is>
      </c>
      <c r="N49" s="1337" t="inlineStr">
        <is>
          <t xml:space="preserve">                   -   </t>
        </is>
      </c>
      <c r="O49" s="1337" t="inlineStr">
        <is>
          <t xml:space="preserve">                   -   </t>
        </is>
      </c>
      <c r="P49" s="1338" t="inlineStr">
        <is>
          <t xml:space="preserve">                   -   </t>
        </is>
      </c>
      <c r="Q49" s="248" t="n"/>
      <c r="R49" s="1336" t="inlineStr">
        <is>
          <t xml:space="preserve">                   -   </t>
        </is>
      </c>
      <c r="S49" s="1337" t="inlineStr">
        <is>
          <t xml:space="preserve">                   -   </t>
        </is>
      </c>
      <c r="T49" s="1337" t="inlineStr">
        <is>
          <t xml:space="preserve">                   -   </t>
        </is>
      </c>
      <c r="U49" s="1337" t="inlineStr">
        <is>
          <t xml:space="preserve">                   -   </t>
        </is>
      </c>
      <c r="V49" s="1337" t="inlineStr">
        <is>
          <t xml:space="preserve">                   -   </t>
        </is>
      </c>
      <c r="W49" s="1337" t="inlineStr">
        <is>
          <t xml:space="preserve">                   -   </t>
        </is>
      </c>
      <c r="X49" s="1337" t="inlineStr">
        <is>
          <t xml:space="preserve">                   -   </t>
        </is>
      </c>
      <c r="Y49" s="1337" t="inlineStr">
        <is>
          <t xml:space="preserve">                   -   </t>
        </is>
      </c>
      <c r="Z49" s="1337" t="inlineStr">
        <is>
          <t xml:space="preserve">                   -   </t>
        </is>
      </c>
      <c r="AA49" s="1337" t="inlineStr">
        <is>
          <t xml:space="preserve">                   -   </t>
        </is>
      </c>
      <c r="AB49" s="1337" t="inlineStr">
        <is>
          <t xml:space="preserve">                   -   </t>
        </is>
      </c>
      <c r="AC49" s="1337" t="inlineStr">
        <is>
          <t xml:space="preserve">                   -   </t>
        </is>
      </c>
      <c r="AD49" s="1338">
        <f>SUM(R49:AC49)</f>
        <v/>
      </c>
      <c r="AE49" s="248" t="n"/>
      <c r="AF49" s="1336" t="inlineStr">
        <is>
          <t xml:space="preserve">                   -   </t>
        </is>
      </c>
      <c r="AG49" s="1337" t="inlineStr">
        <is>
          <t xml:space="preserve">                   -   </t>
        </is>
      </c>
      <c r="AH49" s="1337" t="inlineStr">
        <is>
          <t xml:space="preserve">                   -   </t>
        </is>
      </c>
      <c r="AI49" s="1337" t="inlineStr">
        <is>
          <t xml:space="preserve">                   -   </t>
        </is>
      </c>
      <c r="AJ49" s="1337" t="inlineStr">
        <is>
          <t xml:space="preserve">                   -   </t>
        </is>
      </c>
      <c r="AK49" s="1337" t="inlineStr">
        <is>
          <t xml:space="preserve">                   -   </t>
        </is>
      </c>
      <c r="AL49" s="1337" t="inlineStr">
        <is>
          <t xml:space="preserve">                   -   </t>
        </is>
      </c>
      <c r="AM49" s="1337" t="inlineStr">
        <is>
          <t xml:space="preserve">                   -   </t>
        </is>
      </c>
      <c r="AN49" s="1337" t="inlineStr">
        <is>
          <t xml:space="preserve">                   -   </t>
        </is>
      </c>
      <c r="AO49" s="1337" t="inlineStr">
        <is>
          <t xml:space="preserve">                   -   </t>
        </is>
      </c>
      <c r="AP49" s="1337" t="inlineStr">
        <is>
          <t xml:space="preserve">                   -   </t>
        </is>
      </c>
      <c r="AQ49" s="1337" t="inlineStr">
        <is>
          <t xml:space="preserve">                   -   </t>
        </is>
      </c>
      <c r="AR49" s="1338">
        <f>SUM(AF49:AQ49)</f>
        <v/>
      </c>
      <c r="AS49" s="236" t="n"/>
      <c r="AT49" s="1336" t="inlineStr">
        <is>
          <t xml:space="preserve">                   -   </t>
        </is>
      </c>
      <c r="AU49" s="1337" t="inlineStr">
        <is>
          <t xml:space="preserve">                   -   </t>
        </is>
      </c>
      <c r="AV49" s="1337" t="inlineStr">
        <is>
          <t xml:space="preserve">                   -   </t>
        </is>
      </c>
      <c r="AW49" s="1337" t="inlineStr">
        <is>
          <t xml:space="preserve">                   -   </t>
        </is>
      </c>
      <c r="AX49" s="1337" t="inlineStr">
        <is>
          <t xml:space="preserve">                   -   </t>
        </is>
      </c>
      <c r="AY49" s="1337" t="inlineStr">
        <is>
          <t xml:space="preserve">                   -   </t>
        </is>
      </c>
      <c r="AZ49" s="1337" t="inlineStr">
        <is>
          <t xml:space="preserve">                   -   </t>
        </is>
      </c>
      <c r="BA49" s="1337" t="inlineStr">
        <is>
          <t xml:space="preserve">                   -   </t>
        </is>
      </c>
      <c r="BB49" s="1337" t="inlineStr">
        <is>
          <t xml:space="preserve">                   -   </t>
        </is>
      </c>
      <c r="BC49" s="1337" t="inlineStr">
        <is>
          <t xml:space="preserve">                   -   </t>
        </is>
      </c>
      <c r="BD49" s="1337" t="inlineStr">
        <is>
          <t xml:space="preserve">                   -   </t>
        </is>
      </c>
      <c r="BE49" s="1337" t="inlineStr">
        <is>
          <t xml:space="preserve">                   -   </t>
        </is>
      </c>
      <c r="BF49" s="1338">
        <f>SUM(AT49:BE49)</f>
        <v/>
      </c>
      <c r="BG49" s="236" t="n"/>
      <c r="BH49" s="236" t="n"/>
      <c r="BI49" s="236" t="n"/>
      <c r="BJ49" s="236" t="n"/>
      <c r="BK49" s="236" t="n"/>
      <c r="BL49" s="236" t="n"/>
      <c r="BM49" s="236" t="n"/>
      <c r="BN49" s="236" t="n"/>
      <c r="BO49" s="236" t="n"/>
      <c r="BP49" s="236" t="n"/>
      <c r="BQ49" s="236" t="n"/>
      <c r="BR49" s="236" t="n"/>
      <c r="BS49" s="236" t="n"/>
      <c r="BT49" s="236" t="n"/>
      <c r="BU49" s="236" t="n"/>
      <c r="BV49" s="236" t="n"/>
      <c r="BW49" s="236" t="n"/>
      <c r="BX49" s="236" t="n"/>
      <c r="BY49" s="236" t="n"/>
      <c r="BZ49" s="236" t="n"/>
      <c r="CA49" s="236" t="n"/>
      <c r="CB49" s="236" t="n"/>
      <c r="CC49" s="236" t="n"/>
      <c r="CD49" s="236" t="n"/>
      <c r="CE49" s="236" t="n"/>
      <c r="CF49" s="236" t="n"/>
      <c r="CG49" s="236" t="n"/>
    </row>
    <row r="50" ht="23" customHeight="1">
      <c r="A50" s="1341" t="inlineStr">
        <is>
          <t xml:space="preserve"> Conferences and Partnerships: </t>
        </is>
      </c>
      <c r="B50" s="1335" t="n"/>
      <c r="C50" s="1336" t="n"/>
      <c r="D50" s="1336" t="inlineStr">
        <is>
          <t xml:space="preserve">                   -   </t>
        </is>
      </c>
      <c r="E50" s="1337" t="inlineStr">
        <is>
          <t xml:space="preserve">                   -   </t>
        </is>
      </c>
      <c r="F50" s="1337" t="inlineStr">
        <is>
          <t xml:space="preserve">                   -   </t>
        </is>
      </c>
      <c r="G50" s="1337" t="inlineStr">
        <is>
          <t xml:space="preserve">                   -   </t>
        </is>
      </c>
      <c r="H50" s="1337" t="inlineStr">
        <is>
          <t xml:space="preserve">                   -   </t>
        </is>
      </c>
      <c r="I50" s="1337" t="inlineStr">
        <is>
          <t xml:space="preserve">                   -   </t>
        </is>
      </c>
      <c r="J50" s="1337" t="inlineStr">
        <is>
          <t xml:space="preserve">                   -   </t>
        </is>
      </c>
      <c r="K50" s="1337" t="inlineStr">
        <is>
          <t xml:space="preserve">                   -   </t>
        </is>
      </c>
      <c r="L50" s="1337" t="inlineStr">
        <is>
          <t xml:space="preserve">                   -   </t>
        </is>
      </c>
      <c r="M50" s="1337" t="inlineStr">
        <is>
          <t xml:space="preserve">                   -   </t>
        </is>
      </c>
      <c r="N50" s="1337" t="inlineStr">
        <is>
          <t xml:space="preserve">                   -   </t>
        </is>
      </c>
      <c r="O50" s="1337" t="inlineStr">
        <is>
          <t xml:space="preserve">                   -   </t>
        </is>
      </c>
      <c r="P50" s="1338" t="inlineStr">
        <is>
          <t xml:space="preserve">                   -   </t>
        </is>
      </c>
      <c r="Q50" s="248" t="n"/>
      <c r="R50" s="1336" t="inlineStr">
        <is>
          <t xml:space="preserve">                   -   </t>
        </is>
      </c>
      <c r="S50" s="1337" t="inlineStr">
        <is>
          <t xml:space="preserve">                   -   </t>
        </is>
      </c>
      <c r="T50" s="1337" t="inlineStr">
        <is>
          <t xml:space="preserve">                   -   </t>
        </is>
      </c>
      <c r="U50" s="1337" t="inlineStr">
        <is>
          <t xml:space="preserve">                   -   </t>
        </is>
      </c>
      <c r="V50" s="1337" t="inlineStr">
        <is>
          <t xml:space="preserve">                   -   </t>
        </is>
      </c>
      <c r="W50" s="1337" t="inlineStr">
        <is>
          <t xml:space="preserve">                   -   </t>
        </is>
      </c>
      <c r="X50" s="1337" t="inlineStr">
        <is>
          <t xml:space="preserve">                   -   </t>
        </is>
      </c>
      <c r="Y50" s="1337" t="inlineStr">
        <is>
          <t xml:space="preserve">                   -   </t>
        </is>
      </c>
      <c r="Z50" s="1337" t="inlineStr">
        <is>
          <t xml:space="preserve">                   -   </t>
        </is>
      </c>
      <c r="AA50" s="1337" t="inlineStr">
        <is>
          <t xml:space="preserve">                   -   </t>
        </is>
      </c>
      <c r="AB50" s="1337" t="inlineStr">
        <is>
          <t xml:space="preserve">                   -   </t>
        </is>
      </c>
      <c r="AC50" s="1337" t="inlineStr">
        <is>
          <t xml:space="preserve">                   -   </t>
        </is>
      </c>
      <c r="AD50" s="1338">
        <f>SUM(R50:AC50)</f>
        <v/>
      </c>
      <c r="AE50" s="248" t="n"/>
      <c r="AF50" s="1336" t="inlineStr">
        <is>
          <t xml:space="preserve">                   -   </t>
        </is>
      </c>
      <c r="AG50" s="1337" t="inlineStr">
        <is>
          <t xml:space="preserve">                   -   </t>
        </is>
      </c>
      <c r="AH50" s="1337" t="inlineStr">
        <is>
          <t xml:space="preserve">                   -   </t>
        </is>
      </c>
      <c r="AI50" s="1337" t="inlineStr">
        <is>
          <t xml:space="preserve">                   -   </t>
        </is>
      </c>
      <c r="AJ50" s="1337" t="inlineStr">
        <is>
          <t xml:space="preserve">                   -   </t>
        </is>
      </c>
      <c r="AK50" s="1337" t="inlineStr">
        <is>
          <t xml:space="preserve">                   -   </t>
        </is>
      </c>
      <c r="AL50" s="1337" t="inlineStr">
        <is>
          <t xml:space="preserve">                   -   </t>
        </is>
      </c>
      <c r="AM50" s="1337" t="inlineStr">
        <is>
          <t xml:space="preserve">                   -   </t>
        </is>
      </c>
      <c r="AN50" s="1337" t="inlineStr">
        <is>
          <t xml:space="preserve">                   -   </t>
        </is>
      </c>
      <c r="AO50" s="1337" t="inlineStr">
        <is>
          <t xml:space="preserve">                   -   </t>
        </is>
      </c>
      <c r="AP50" s="1337" t="inlineStr">
        <is>
          <t xml:space="preserve">                   -   </t>
        </is>
      </c>
      <c r="AQ50" s="1337" t="inlineStr">
        <is>
          <t xml:space="preserve">                   -   </t>
        </is>
      </c>
      <c r="AR50" s="1338">
        <f>SUM(AF50:AQ50)</f>
        <v/>
      </c>
      <c r="AS50" s="236" t="n"/>
      <c r="AT50" s="1336" t="inlineStr">
        <is>
          <t xml:space="preserve">                   -   </t>
        </is>
      </c>
      <c r="AU50" s="1337" t="inlineStr">
        <is>
          <t xml:space="preserve">                   -   </t>
        </is>
      </c>
      <c r="AV50" s="1337" t="inlineStr">
        <is>
          <t xml:space="preserve">                   -   </t>
        </is>
      </c>
      <c r="AW50" s="1337" t="inlineStr">
        <is>
          <t xml:space="preserve">                   -   </t>
        </is>
      </c>
      <c r="AX50" s="1337" t="inlineStr">
        <is>
          <t xml:space="preserve">                   -   </t>
        </is>
      </c>
      <c r="AY50" s="1337" t="inlineStr">
        <is>
          <t xml:space="preserve">                   -   </t>
        </is>
      </c>
      <c r="AZ50" s="1337" t="inlineStr">
        <is>
          <t xml:space="preserve">                   -   </t>
        </is>
      </c>
      <c r="BA50" s="1337" t="inlineStr">
        <is>
          <t xml:space="preserve">                   -   </t>
        </is>
      </c>
      <c r="BB50" s="1337" t="inlineStr">
        <is>
          <t xml:space="preserve">                   -   </t>
        </is>
      </c>
      <c r="BC50" s="1337" t="inlineStr">
        <is>
          <t xml:space="preserve">                   -   </t>
        </is>
      </c>
      <c r="BD50" s="1337" t="inlineStr">
        <is>
          <t xml:space="preserve">                   -   </t>
        </is>
      </c>
      <c r="BE50" s="1337" t="inlineStr">
        <is>
          <t xml:space="preserve">                   -   </t>
        </is>
      </c>
      <c r="BF50" s="1338">
        <f>SUM(AT50:BE50)</f>
        <v/>
      </c>
      <c r="BG50" s="236" t="n"/>
      <c r="BH50" s="236" t="n"/>
      <c r="BI50" s="236" t="n"/>
      <c r="BJ50" s="236" t="n"/>
      <c r="BK50" s="236" t="n"/>
      <c r="BL50" s="236" t="n"/>
      <c r="BM50" s="236" t="n"/>
      <c r="BN50" s="236" t="n"/>
      <c r="BO50" s="236" t="n"/>
      <c r="BP50" s="236" t="n"/>
      <c r="BQ50" s="236" t="n"/>
      <c r="BR50" s="236" t="n"/>
      <c r="BS50" s="236" t="n"/>
      <c r="BT50" s="236" t="n"/>
      <c r="BU50" s="236" t="n"/>
      <c r="BV50" s="236" t="n"/>
      <c r="BW50" s="236" t="n"/>
      <c r="BX50" s="236" t="n"/>
      <c r="BY50" s="236" t="n"/>
      <c r="BZ50" s="236" t="n"/>
      <c r="CA50" s="236" t="n"/>
      <c r="CB50" s="236" t="n"/>
      <c r="CC50" s="236" t="n"/>
      <c r="CD50" s="236" t="n"/>
      <c r="CE50" s="236" t="n"/>
      <c r="CF50" s="236" t="n"/>
      <c r="CG50" s="236" t="n"/>
    </row>
    <row r="51" ht="23" customHeight="1">
      <c r="A51" s="1355" t="inlineStr">
        <is>
          <t>Hospitality / Real Estate</t>
        </is>
      </c>
      <c r="B51" s="1335" t="n"/>
      <c r="C51" s="1336" t="n"/>
      <c r="D51" s="1337" t="n"/>
      <c r="E51" s="1337" t="n"/>
      <c r="F51" s="1337" t="n"/>
      <c r="G51" s="1337" t="n"/>
      <c r="H51" s="1337" t="n"/>
      <c r="I51" s="1337" t="n"/>
      <c r="J51" s="1337" t="n"/>
      <c r="K51" s="1337" t="n"/>
      <c r="L51" s="1337" t="n"/>
      <c r="M51" s="1337" t="n"/>
      <c r="N51" s="1337" t="n"/>
      <c r="O51" s="1337" t="n"/>
      <c r="P51" s="1338" t="n"/>
      <c r="Q51" s="248" t="n"/>
      <c r="R51" s="1337" t="n"/>
      <c r="S51" s="1337" t="n"/>
      <c r="T51" s="1337" t="n"/>
      <c r="U51" s="1337" t="n"/>
      <c r="V51" s="1337" t="n"/>
      <c r="W51" s="1337" t="n"/>
      <c r="X51" s="1337" t="n"/>
      <c r="Y51" s="1337" t="n"/>
      <c r="Z51" s="1337" t="n"/>
      <c r="AA51" s="1337" t="n"/>
      <c r="AB51" s="1337" t="n"/>
      <c r="AC51" s="1337" t="n"/>
      <c r="AD51" s="1338" t="n"/>
      <c r="AE51" s="248" t="n"/>
      <c r="AF51" s="1336" t="n"/>
      <c r="AG51" s="1337" t="n"/>
      <c r="AH51" s="1337" t="n"/>
      <c r="AI51" s="1337" t="n"/>
      <c r="AJ51" s="1337" t="n"/>
      <c r="AK51" s="1337" t="n"/>
      <c r="AL51" s="1337" t="n"/>
      <c r="AM51" s="1337" t="n"/>
      <c r="AN51" s="1337" t="n"/>
      <c r="AO51" s="1337" t="n"/>
      <c r="AP51" s="1337" t="n"/>
      <c r="AQ51" s="1337" t="n"/>
      <c r="AR51" s="1338" t="n"/>
      <c r="AS51" s="236" t="n"/>
      <c r="AT51" s="1336" t="n"/>
      <c r="AU51" s="1337" t="n"/>
      <c r="AV51" s="1337" t="n"/>
      <c r="AW51" s="1337" t="n"/>
      <c r="AX51" s="1337" t="n"/>
      <c r="AY51" s="1337" t="n"/>
      <c r="AZ51" s="1337" t="n"/>
      <c r="BA51" s="1337" t="n"/>
      <c r="BB51" s="1337" t="n"/>
      <c r="BC51" s="1337" t="n"/>
      <c r="BD51" s="1337" t="n"/>
      <c r="BE51" s="1337" t="n"/>
      <c r="BF51" s="1338" t="n"/>
      <c r="BG51" s="236" t="n"/>
      <c r="BH51" s="236" t="n"/>
      <c r="BI51" s="236" t="n"/>
      <c r="BJ51" s="236" t="n"/>
      <c r="BK51" s="236" t="n"/>
      <c r="BL51" s="236" t="n"/>
      <c r="BM51" s="236" t="n"/>
      <c r="BN51" s="236" t="n"/>
      <c r="BO51" s="236" t="n"/>
      <c r="BP51" s="236" t="n"/>
      <c r="BQ51" s="236" t="n"/>
      <c r="BR51" s="236" t="n"/>
      <c r="BS51" s="236" t="n"/>
      <c r="BT51" s="236" t="n"/>
      <c r="BU51" s="236" t="n"/>
      <c r="BV51" s="236" t="n"/>
      <c r="BW51" s="236" t="n"/>
      <c r="BX51" s="236" t="n"/>
      <c r="BY51" s="236" t="n"/>
      <c r="BZ51" s="236" t="n"/>
      <c r="CA51" s="236" t="n"/>
      <c r="CB51" s="236" t="n"/>
      <c r="CC51" s="236" t="n"/>
      <c r="CD51" s="236" t="n"/>
      <c r="CE51" s="236" t="n"/>
      <c r="CF51" s="236" t="n"/>
      <c r="CG51" s="236" t="n"/>
    </row>
    <row r="52" ht="23" customHeight="1">
      <c r="A52" s="1339" t="inlineStr">
        <is>
          <t xml:space="preserve">ALIS </t>
        </is>
      </c>
      <c r="B52" s="1335" t="n"/>
      <c r="C52" s="1336" t="n"/>
      <c r="D52" s="1337" t="n"/>
      <c r="E52" s="1337" t="n"/>
      <c r="F52" s="1337" t="n"/>
      <c r="G52" s="1337" t="n"/>
      <c r="H52" s="1337" t="n"/>
      <c r="I52" s="1337" t="n">
        <v>6000</v>
      </c>
      <c r="J52" s="1337" t="inlineStr">
        <is>
          <t xml:space="preserve">   </t>
        </is>
      </c>
      <c r="K52" s="1337" t="n"/>
      <c r="L52" s="1337" t="n"/>
      <c r="M52" s="1337" t="n"/>
      <c r="N52" s="1337" t="n"/>
      <c r="O52" s="1337" t="n"/>
      <c r="P52" s="1338" t="n">
        <v>3000</v>
      </c>
      <c r="Q52" s="248" t="n"/>
      <c r="R52" s="1337" t="n"/>
      <c r="S52" s="1337" t="n"/>
      <c r="T52" s="1337" t="n"/>
      <c r="U52" s="1337" t="n"/>
      <c r="V52" s="1337" t="n"/>
      <c r="W52" s="1337" t="n">
        <v>6000</v>
      </c>
      <c r="X52" s="1337" t="inlineStr">
        <is>
          <t xml:space="preserve">   </t>
        </is>
      </c>
      <c r="Y52" s="1337" t="n"/>
      <c r="Z52" s="1337" t="n"/>
      <c r="AA52" s="1337" t="n"/>
      <c r="AB52" s="1337" t="n"/>
      <c r="AC52" s="1337" t="n"/>
      <c r="AD52" s="1338">
        <f>SUM(R52:AC52)</f>
        <v/>
      </c>
      <c r="AE52" s="248" t="n"/>
      <c r="AF52" s="1337" t="n"/>
      <c r="AG52" s="1337" t="n"/>
      <c r="AH52" s="1337" t="n"/>
      <c r="AI52" s="1337" t="n"/>
      <c r="AJ52" s="1337" t="n"/>
      <c r="AK52" s="1337" t="n">
        <v>6000</v>
      </c>
      <c r="AL52" s="1337" t="inlineStr">
        <is>
          <t xml:space="preserve">   </t>
        </is>
      </c>
      <c r="AM52" s="1337" t="n"/>
      <c r="AN52" s="1337" t="n"/>
      <c r="AO52" s="1337" t="n"/>
      <c r="AP52" s="1337" t="n"/>
      <c r="AQ52" s="1337" t="n"/>
      <c r="AR52" s="1338" t="n">
        <v>3000</v>
      </c>
      <c r="AS52" s="236" t="n"/>
      <c r="AT52" s="1337" t="n"/>
      <c r="AU52" s="1337" t="n"/>
      <c r="AV52" s="1337" t="n"/>
      <c r="AW52" s="1337" t="n"/>
      <c r="AX52" s="1337" t="n"/>
      <c r="AY52" s="1337" t="n">
        <v>6000</v>
      </c>
      <c r="AZ52" s="1337" t="inlineStr">
        <is>
          <t xml:space="preserve">   </t>
        </is>
      </c>
      <c r="BA52" s="1337" t="n"/>
      <c r="BB52" s="1337" t="n"/>
      <c r="BC52" s="1337" t="n"/>
      <c r="BD52" s="1337" t="n"/>
      <c r="BE52" s="1337" t="n"/>
      <c r="BF52" s="1338">
        <f>SUM(AT52:BE52)</f>
        <v/>
      </c>
      <c r="BG52" s="236" t="n"/>
      <c r="BH52" s="236" t="n"/>
      <c r="BI52" s="236" t="n"/>
      <c r="BJ52" s="236" t="n"/>
      <c r="BK52" s="236" t="n"/>
      <c r="BL52" s="236" t="n"/>
      <c r="BM52" s="236" t="n"/>
      <c r="BN52" s="236" t="n"/>
      <c r="BO52" s="236" t="n"/>
      <c r="BP52" s="236" t="n"/>
      <c r="BQ52" s="236" t="n"/>
      <c r="BR52" s="236" t="n"/>
      <c r="BS52" s="236" t="n"/>
      <c r="BT52" s="236" t="n"/>
      <c r="BU52" s="236" t="n"/>
      <c r="BV52" s="236" t="n"/>
      <c r="BW52" s="236" t="n"/>
      <c r="BX52" s="236" t="n"/>
      <c r="BY52" s="236" t="n"/>
      <c r="BZ52" s="236" t="n"/>
      <c r="CA52" s="236" t="n"/>
      <c r="CB52" s="236" t="n"/>
      <c r="CC52" s="236" t="n"/>
      <c r="CD52" s="236" t="n"/>
      <c r="CE52" s="236" t="n"/>
      <c r="CF52" s="236" t="n"/>
      <c r="CG52" s="236" t="n"/>
    </row>
    <row r="53" ht="23" customHeight="1">
      <c r="A53" s="1339" t="inlineStr">
        <is>
          <t xml:space="preserve">Lodging Conference </t>
        </is>
      </c>
      <c r="B53" s="1335" t="n"/>
      <c r="C53" s="1336" t="n"/>
      <c r="D53" s="1337" t="n"/>
      <c r="E53" s="1337" t="n"/>
      <c r="F53" s="1337" t="n"/>
      <c r="G53" s="1337" t="n"/>
      <c r="H53" s="1337" t="n"/>
      <c r="I53" s="1337" t="n"/>
      <c r="J53" s="1337" t="n">
        <v>6000</v>
      </c>
      <c r="K53" s="1337" t="n"/>
      <c r="L53" s="1337" t="n"/>
      <c r="M53" s="1337" t="n"/>
      <c r="N53" s="1337" t="n"/>
      <c r="O53" s="1337" t="n"/>
      <c r="P53" s="1338" t="n">
        <v>3000</v>
      </c>
      <c r="Q53" s="248" t="n"/>
      <c r="R53" s="1337" t="n"/>
      <c r="S53" s="1337" t="n"/>
      <c r="T53" s="1337" t="n"/>
      <c r="U53" s="1337" t="n"/>
      <c r="V53" s="1337" t="n"/>
      <c r="W53" s="1337" t="n"/>
      <c r="X53" s="1337" t="n">
        <v>6000</v>
      </c>
      <c r="Y53" s="1337" t="n"/>
      <c r="Z53" s="1337" t="n"/>
      <c r="AA53" s="1337" t="n"/>
      <c r="AB53" s="1337" t="n"/>
      <c r="AC53" s="1337" t="n"/>
      <c r="AD53" s="1338" t="n">
        <v>3000</v>
      </c>
      <c r="AE53" s="248" t="n"/>
      <c r="AF53" s="1337" t="n"/>
      <c r="AG53" s="1337" t="n"/>
      <c r="AH53" s="1337" t="n"/>
      <c r="AI53" s="1337" t="n"/>
      <c r="AJ53" s="1337" t="n"/>
      <c r="AK53" s="1337" t="n"/>
      <c r="AL53" s="1337" t="n">
        <v>6000</v>
      </c>
      <c r="AM53" s="1337" t="n"/>
      <c r="AN53" s="1337" t="n"/>
      <c r="AO53" s="1337" t="n"/>
      <c r="AP53" s="1337" t="n"/>
      <c r="AQ53" s="1337" t="n"/>
      <c r="AR53" s="1338" t="n">
        <v>3000</v>
      </c>
      <c r="AS53" s="236" t="n"/>
      <c r="AT53" s="1337" t="n"/>
      <c r="AU53" s="1337" t="n"/>
      <c r="AV53" s="1337" t="n"/>
      <c r="AW53" s="1337" t="n"/>
      <c r="AX53" s="1337" t="n"/>
      <c r="AY53" s="1337" t="n"/>
      <c r="AZ53" s="1337" t="n">
        <v>6000</v>
      </c>
      <c r="BA53" s="1337" t="n"/>
      <c r="BB53" s="1337" t="n"/>
      <c r="BC53" s="1337" t="n"/>
      <c r="BD53" s="1337" t="n"/>
      <c r="BE53" s="1337" t="n"/>
      <c r="BF53" s="1338">
        <f>SUM(AT53:BE53)</f>
        <v/>
      </c>
      <c r="BG53" s="236" t="n"/>
      <c r="BH53" s="236" t="n"/>
      <c r="BI53" s="236" t="n"/>
      <c r="BJ53" s="236" t="n"/>
      <c r="BK53" s="236" t="n"/>
      <c r="BL53" s="236" t="n"/>
      <c r="BM53" s="236" t="n"/>
      <c r="BN53" s="236" t="n"/>
      <c r="BO53" s="236" t="n"/>
      <c r="BP53" s="236" t="n"/>
      <c r="BQ53" s="236" t="n"/>
      <c r="BR53" s="236" t="n"/>
      <c r="BS53" s="236" t="n"/>
      <c r="BT53" s="236" t="n"/>
      <c r="BU53" s="236" t="n"/>
      <c r="BV53" s="236" t="n"/>
      <c r="BW53" s="236" t="n"/>
      <c r="BX53" s="236" t="n"/>
      <c r="BY53" s="236" t="n"/>
      <c r="BZ53" s="236" t="n"/>
      <c r="CA53" s="236" t="n"/>
      <c r="CB53" s="236" t="n"/>
      <c r="CC53" s="236" t="n"/>
      <c r="CD53" s="236" t="n"/>
      <c r="CE53" s="236" t="n"/>
      <c r="CF53" s="236" t="n"/>
      <c r="CG53" s="236" t="n"/>
    </row>
    <row r="54" ht="23" customHeight="1">
      <c r="A54" s="1339" t="inlineStr">
        <is>
          <t>Hunter</t>
        </is>
      </c>
      <c r="B54" s="1335" t="n"/>
      <c r="C54" s="1336" t="n"/>
      <c r="D54" s="1337" t="n">
        <v>0</v>
      </c>
      <c r="E54" s="1337" t="n">
        <v>0</v>
      </c>
      <c r="F54" s="1337" t="n">
        <v>3000</v>
      </c>
      <c r="G54" s="1337" t="n">
        <v>0</v>
      </c>
      <c r="H54" s="1337" t="n">
        <v>0</v>
      </c>
      <c r="I54" s="1337" t="n">
        <v>0</v>
      </c>
      <c r="J54" s="1337" t="n"/>
      <c r="K54" s="1337" t="n"/>
      <c r="L54" s="1337" t="n"/>
      <c r="M54" s="1337" t="n"/>
      <c r="N54" s="1337" t="n"/>
      <c r="O54" s="1337" t="n"/>
      <c r="P54" s="1338">
        <f>SUM(D54:O54)</f>
        <v/>
      </c>
      <c r="Q54" s="248" t="n"/>
      <c r="R54" s="1337" t="n">
        <v>0</v>
      </c>
      <c r="S54" s="1337" t="n">
        <v>0</v>
      </c>
      <c r="T54" s="1337" t="n">
        <v>3000</v>
      </c>
      <c r="U54" s="1337" t="n">
        <v>0</v>
      </c>
      <c r="V54" s="1337" t="n">
        <v>0</v>
      </c>
      <c r="W54" s="1337" t="n">
        <v>0</v>
      </c>
      <c r="X54" s="1337" t="n"/>
      <c r="Y54" s="1337" t="n"/>
      <c r="Z54" s="1337" t="n"/>
      <c r="AA54" s="1337" t="n"/>
      <c r="AB54" s="1337" t="n"/>
      <c r="AC54" s="1337" t="n"/>
      <c r="AD54" s="1338">
        <f>SUM(R54:AC54)</f>
        <v/>
      </c>
      <c r="AE54" s="248" t="n"/>
      <c r="AF54" s="1337" t="n">
        <v>0</v>
      </c>
      <c r="AG54" s="1337" t="n">
        <v>0</v>
      </c>
      <c r="AH54" s="1337" t="n">
        <v>3000</v>
      </c>
      <c r="AI54" s="1337" t="n">
        <v>0</v>
      </c>
      <c r="AJ54" s="1337" t="n">
        <v>0</v>
      </c>
      <c r="AK54" s="1337" t="n">
        <v>0</v>
      </c>
      <c r="AL54" s="1337" t="n"/>
      <c r="AM54" s="1337" t="n"/>
      <c r="AN54" s="1337" t="n"/>
      <c r="AO54" s="1337" t="n"/>
      <c r="AP54" s="1337" t="n"/>
      <c r="AQ54" s="1337" t="n"/>
      <c r="AR54" s="1338">
        <f>SUM(AF54:AQ54)</f>
        <v/>
      </c>
      <c r="AS54" s="236" t="n"/>
      <c r="AT54" s="1337" t="n">
        <v>0</v>
      </c>
      <c r="AU54" s="1337" t="n">
        <v>0</v>
      </c>
      <c r="AV54" s="1337" t="n">
        <v>3000</v>
      </c>
      <c r="AW54" s="1337" t="n">
        <v>0</v>
      </c>
      <c r="AX54" s="1337" t="n">
        <v>0</v>
      </c>
      <c r="AY54" s="1337" t="n">
        <v>0</v>
      </c>
      <c r="AZ54" s="1337" t="n"/>
      <c r="BA54" s="1337" t="n"/>
      <c r="BB54" s="1337" t="n"/>
      <c r="BC54" s="1337" t="n"/>
      <c r="BD54" s="1337" t="n"/>
      <c r="BE54" s="1337" t="n"/>
      <c r="BF54" s="1338">
        <f>SUM(AT54:BE54)</f>
        <v/>
      </c>
      <c r="BG54" s="236" t="n"/>
      <c r="BH54" s="236" t="n"/>
      <c r="BI54" s="236" t="n"/>
      <c r="BJ54" s="236" t="n"/>
      <c r="BK54" s="236" t="n"/>
      <c r="BL54" s="236" t="n"/>
      <c r="BM54" s="236" t="n"/>
      <c r="BN54" s="236" t="n"/>
      <c r="BO54" s="236" t="n"/>
      <c r="BP54" s="236" t="n"/>
      <c r="BQ54" s="236" t="n"/>
      <c r="BR54" s="236" t="n"/>
      <c r="BS54" s="236" t="n"/>
      <c r="BT54" s="236" t="n"/>
      <c r="BU54" s="236" t="n"/>
      <c r="BV54" s="236" t="n"/>
      <c r="BW54" s="236" t="n"/>
      <c r="BX54" s="236" t="n"/>
      <c r="BY54" s="236" t="n"/>
      <c r="BZ54" s="236" t="n"/>
      <c r="CA54" s="236" t="n"/>
      <c r="CB54" s="236" t="n"/>
      <c r="CC54" s="236" t="n"/>
      <c r="CD54" s="236" t="n"/>
      <c r="CE54" s="236" t="n"/>
      <c r="CF54" s="236" t="n"/>
      <c r="CG54" s="236" t="n"/>
    </row>
    <row r="55" ht="23" customHeight="1">
      <c r="A55" s="1339" t="inlineStr">
        <is>
          <t xml:space="preserve">NYU </t>
        </is>
      </c>
      <c r="B55" s="1335" t="n"/>
      <c r="C55" s="1336" t="n"/>
      <c r="D55" s="1337" t="n"/>
      <c r="E55" s="1337" t="n"/>
      <c r="F55" s="1337" t="n"/>
      <c r="G55" s="1337" t="n"/>
      <c r="H55" s="1337" t="n"/>
      <c r="I55" s="1337" t="n"/>
      <c r="J55" s="1337" t="n"/>
      <c r="K55" s="1337" t="n"/>
      <c r="L55" s="1337" t="n"/>
      <c r="M55" s="1337" t="n"/>
      <c r="N55" s="1337" t="n">
        <v>3000</v>
      </c>
      <c r="O55" s="1337" t="n"/>
      <c r="P55" s="1338" t="n">
        <v>3000</v>
      </c>
      <c r="Q55" s="248" t="n"/>
      <c r="R55" s="1337" t="n"/>
      <c r="S55" s="1337" t="n"/>
      <c r="T55" s="1337" t="n"/>
      <c r="U55" s="1337" t="n"/>
      <c r="V55" s="1337" t="n"/>
      <c r="W55" s="1337" t="n"/>
      <c r="X55" s="1337" t="n"/>
      <c r="Y55" s="1337" t="n"/>
      <c r="Z55" s="1337" t="n"/>
      <c r="AA55" s="1337" t="n"/>
      <c r="AB55" s="1337" t="n">
        <v>3000</v>
      </c>
      <c r="AC55" s="1337" t="n"/>
      <c r="AD55" s="1338" t="n">
        <v>3000</v>
      </c>
      <c r="AE55" s="248" t="n"/>
      <c r="AF55" s="1337" t="n"/>
      <c r="AG55" s="1337" t="n"/>
      <c r="AH55" s="1337" t="n"/>
      <c r="AI55" s="1337" t="n"/>
      <c r="AJ55" s="1337" t="n"/>
      <c r="AK55" s="1337" t="n"/>
      <c r="AL55" s="1337" t="n"/>
      <c r="AM55" s="1337" t="n"/>
      <c r="AN55" s="1337" t="n"/>
      <c r="AO55" s="1337" t="n"/>
      <c r="AP55" s="1337" t="n">
        <v>3000</v>
      </c>
      <c r="AQ55" s="1337" t="n"/>
      <c r="AR55" s="1338" t="n">
        <v>3000</v>
      </c>
      <c r="AS55" s="236" t="n"/>
      <c r="AT55" s="1337" t="n"/>
      <c r="AU55" s="1337" t="n"/>
      <c r="AV55" s="1337" t="n"/>
      <c r="AW55" s="1337" t="n"/>
      <c r="AX55" s="1337" t="n"/>
      <c r="AY55" s="1337" t="n"/>
      <c r="AZ55" s="1337" t="n"/>
      <c r="BA55" s="1337" t="n"/>
      <c r="BB55" s="1337" t="n"/>
      <c r="BC55" s="1337" t="n"/>
      <c r="BD55" s="1337" t="n">
        <v>3000</v>
      </c>
      <c r="BE55" s="1337" t="n"/>
      <c r="BF55" s="1338">
        <f>SUM(AT55:BE55)</f>
        <v/>
      </c>
      <c r="BG55" s="236" t="n"/>
      <c r="BH55" s="236" t="n"/>
      <c r="BI55" s="236" t="n"/>
      <c r="BJ55" s="236" t="n"/>
      <c r="BK55" s="236" t="n"/>
      <c r="BL55" s="236" t="n"/>
      <c r="BM55" s="236" t="n"/>
      <c r="BN55" s="236" t="n"/>
      <c r="BO55" s="236" t="n"/>
      <c r="BP55" s="236" t="n"/>
      <c r="BQ55" s="236" t="n"/>
      <c r="BR55" s="236" t="n"/>
      <c r="BS55" s="236" t="n"/>
      <c r="BT55" s="236" t="n"/>
      <c r="BU55" s="236" t="n"/>
      <c r="BV55" s="236" t="n"/>
      <c r="BW55" s="236" t="n"/>
      <c r="BX55" s="236" t="n"/>
      <c r="BY55" s="236" t="n"/>
      <c r="BZ55" s="236" t="n"/>
      <c r="CA55" s="236" t="n"/>
      <c r="CB55" s="236" t="n"/>
      <c r="CC55" s="236" t="n"/>
      <c r="CD55" s="236" t="n"/>
      <c r="CE55" s="236" t="n"/>
      <c r="CF55" s="236" t="n"/>
      <c r="CG55" s="236" t="n"/>
    </row>
    <row r="56" ht="23" customHeight="1">
      <c r="A56" s="1339" t="inlineStr">
        <is>
          <t>International Luxury / Hitec / HSMAI</t>
        </is>
      </c>
      <c r="B56" s="1335" t="n"/>
      <c r="C56" s="1336" t="n"/>
      <c r="D56" s="1337" t="n"/>
      <c r="E56" s="1337" t="n"/>
      <c r="F56" s="1337" t="n"/>
      <c r="G56" s="1337" t="n"/>
      <c r="H56" s="1337" t="n"/>
      <c r="I56" s="1337" t="n">
        <v>3000</v>
      </c>
      <c r="J56" s="1337" t="n"/>
      <c r="K56" s="1337" t="n"/>
      <c r="L56" s="1337" t="n"/>
      <c r="M56" s="1337" t="n"/>
      <c r="N56" s="1337" t="n"/>
      <c r="O56" s="1337" t="n"/>
      <c r="P56" s="1338">
        <f>SUM(D56:O56)</f>
        <v/>
      </c>
      <c r="Q56" s="248" t="n"/>
      <c r="R56" s="1337" t="n"/>
      <c r="S56" s="1337" t="n"/>
      <c r="T56" s="1337" t="n"/>
      <c r="U56" s="1337" t="n"/>
      <c r="V56" s="1337" t="n"/>
      <c r="W56" s="1337" t="n">
        <v>3000</v>
      </c>
      <c r="X56" s="1337" t="n"/>
      <c r="Y56" s="1337" t="n"/>
      <c r="Z56" s="1337" t="n"/>
      <c r="AA56" s="1337" t="n"/>
      <c r="AB56" s="1337" t="n"/>
      <c r="AC56" s="1337" t="n"/>
      <c r="AD56" s="1338">
        <f>SUM(R56:AC56)</f>
        <v/>
      </c>
      <c r="AE56" s="248" t="n"/>
      <c r="AF56" s="1337" t="n"/>
      <c r="AG56" s="1337" t="n"/>
      <c r="AH56" s="1337" t="n"/>
      <c r="AI56" s="1337" t="n"/>
      <c r="AJ56" s="1337" t="n"/>
      <c r="AK56" s="1337" t="n">
        <v>3000</v>
      </c>
      <c r="AL56" s="1337" t="n"/>
      <c r="AM56" s="1337" t="n"/>
      <c r="AN56" s="1337" t="n"/>
      <c r="AO56" s="1337" t="n"/>
      <c r="AP56" s="1337" t="n"/>
      <c r="AQ56" s="1337" t="n"/>
      <c r="AR56" s="1338">
        <f>SUM(AF56:AQ56)</f>
        <v/>
      </c>
      <c r="AS56" s="236" t="n"/>
      <c r="AT56" s="1337" t="n"/>
      <c r="AU56" s="1337" t="n"/>
      <c r="AV56" s="1337" t="n"/>
      <c r="AW56" s="1337" t="n"/>
      <c r="AX56" s="1337" t="n"/>
      <c r="AY56" s="1337" t="n">
        <v>3000</v>
      </c>
      <c r="AZ56" s="1337" t="n"/>
      <c r="BA56" s="1337" t="n"/>
      <c r="BB56" s="1337" t="n"/>
      <c r="BC56" s="1337" t="n"/>
      <c r="BD56" s="1337" t="n"/>
      <c r="BE56" s="1337" t="n"/>
      <c r="BF56" s="1338">
        <f>SUM(AT56:BE56)</f>
        <v/>
      </c>
      <c r="BG56" s="236" t="n"/>
      <c r="BH56" s="236" t="n"/>
      <c r="BI56" s="236" t="n"/>
      <c r="BJ56" s="236" t="n"/>
      <c r="BK56" s="236" t="n"/>
      <c r="BL56" s="236" t="n"/>
      <c r="BM56" s="236" t="n"/>
      <c r="BN56" s="236" t="n"/>
      <c r="BO56" s="236" t="n"/>
      <c r="BP56" s="236" t="n"/>
      <c r="BQ56" s="236" t="n"/>
      <c r="BR56" s="236" t="n"/>
      <c r="BS56" s="236" t="n"/>
      <c r="BT56" s="236" t="n"/>
      <c r="BU56" s="236" t="n"/>
      <c r="BV56" s="236" t="n"/>
      <c r="BW56" s="236" t="n"/>
      <c r="BX56" s="236" t="n"/>
      <c r="BY56" s="236" t="n"/>
      <c r="BZ56" s="236" t="n"/>
      <c r="CA56" s="236" t="n"/>
      <c r="CB56" s="236" t="n"/>
      <c r="CC56" s="236" t="n"/>
      <c r="CD56" s="236" t="n"/>
      <c r="CE56" s="236" t="n"/>
      <c r="CF56" s="236" t="n"/>
      <c r="CG56" s="236" t="n"/>
    </row>
    <row r="57" ht="23" customHeight="1">
      <c r="A57" s="1339" t="inlineStr">
        <is>
          <t>AHLA</t>
        </is>
      </c>
      <c r="B57" s="1335" t="n"/>
      <c r="C57" s="1336" t="n"/>
      <c r="D57" s="1337" t="n">
        <v>0</v>
      </c>
      <c r="E57" s="1337" t="n"/>
      <c r="F57" s="1337" t="n"/>
      <c r="G57" s="1337" t="n"/>
      <c r="H57" s="1337" t="n"/>
      <c r="I57" s="1337" t="n"/>
      <c r="J57" s="1337" t="n"/>
      <c r="K57" s="1337" t="n"/>
      <c r="L57" s="1337" t="n"/>
      <c r="M57" s="1337" t="n"/>
      <c r="N57" s="1337" t="n"/>
      <c r="O57" s="1337" t="n"/>
      <c r="P57" s="1356">
        <f>SUM(D57:O57)</f>
        <v/>
      </c>
      <c r="Q57" s="248" t="n"/>
      <c r="R57" s="1337" t="n">
        <v>10000</v>
      </c>
      <c r="S57" s="1337" t="n"/>
      <c r="T57" s="1337" t="n"/>
      <c r="U57" s="1337" t="n"/>
      <c r="V57" s="1337" t="n"/>
      <c r="W57" s="1337" t="n"/>
      <c r="X57" s="1337" t="n"/>
      <c r="Y57" s="1337" t="n"/>
      <c r="Z57" s="1337" t="n"/>
      <c r="AA57" s="1337" t="n"/>
      <c r="AB57" s="1337" t="n"/>
      <c r="AC57" s="1337" t="n"/>
      <c r="AD57" s="1356">
        <f>SUM(R57:AC57)</f>
        <v/>
      </c>
      <c r="AE57" s="248" t="n"/>
      <c r="AF57" s="1337" t="n">
        <v>10000</v>
      </c>
      <c r="AG57" s="1337" t="n"/>
      <c r="AH57" s="1337" t="n"/>
      <c r="AI57" s="1337" t="n"/>
      <c r="AJ57" s="1337" t="n"/>
      <c r="AK57" s="1337" t="n"/>
      <c r="AL57" s="1337" t="n"/>
      <c r="AM57" s="1337" t="n"/>
      <c r="AN57" s="1337" t="n"/>
      <c r="AO57" s="1337" t="n"/>
      <c r="AP57" s="1337" t="n"/>
      <c r="AQ57" s="1337" t="n"/>
      <c r="AR57" s="1356">
        <f>SUM(AF57:AQ57)</f>
        <v/>
      </c>
      <c r="AS57" s="236" t="n"/>
      <c r="AT57" s="1337" t="n">
        <v>10000</v>
      </c>
      <c r="AU57" s="1337" t="n"/>
      <c r="AV57" s="1337" t="n"/>
      <c r="AW57" s="1337" t="n"/>
      <c r="AX57" s="1337" t="n"/>
      <c r="AY57" s="1337" t="n"/>
      <c r="AZ57" s="1337" t="n"/>
      <c r="BA57" s="1337" t="n"/>
      <c r="BB57" s="1337" t="n"/>
      <c r="BC57" s="1337" t="n"/>
      <c r="BD57" s="1337" t="n"/>
      <c r="BE57" s="1337" t="n"/>
      <c r="BF57" s="1356">
        <f>SUM(AT57:BE57)</f>
        <v/>
      </c>
      <c r="BG57" s="236" t="n"/>
      <c r="BH57" s="236" t="n"/>
      <c r="BI57" s="236" t="n"/>
      <c r="BJ57" s="236" t="n"/>
      <c r="BK57" s="236" t="n"/>
      <c r="BL57" s="236" t="n"/>
      <c r="BM57" s="236" t="n"/>
      <c r="BN57" s="236" t="n"/>
      <c r="BO57" s="236" t="n"/>
      <c r="BP57" s="236" t="n"/>
      <c r="BQ57" s="236" t="n"/>
      <c r="BR57" s="236" t="n"/>
      <c r="BS57" s="236" t="n"/>
      <c r="BT57" s="236" t="n"/>
      <c r="BU57" s="236" t="n"/>
      <c r="BV57" s="236" t="n"/>
      <c r="BW57" s="236" t="n"/>
      <c r="BX57" s="236" t="n"/>
      <c r="BY57" s="236" t="n"/>
      <c r="BZ57" s="236" t="n"/>
      <c r="CA57" s="236" t="n"/>
      <c r="CB57" s="236" t="n"/>
      <c r="CC57" s="236" t="n"/>
      <c r="CD57" s="236" t="n"/>
      <c r="CE57" s="236" t="n"/>
      <c r="CF57" s="236" t="n"/>
      <c r="CG57" s="236" t="n"/>
    </row>
    <row r="58" ht="23" customHeight="1">
      <c r="A58" s="1339" t="inlineStr">
        <is>
          <t>Sponserships</t>
        </is>
      </c>
      <c r="B58" s="1335" t="n"/>
      <c r="C58" s="1336" t="n"/>
      <c r="D58" s="1337" t="n">
        <v>0</v>
      </c>
      <c r="E58" s="1337" t="n"/>
      <c r="F58" s="1337" t="n">
        <v>0</v>
      </c>
      <c r="G58" s="1337" t="n"/>
      <c r="H58" s="1337" t="n"/>
      <c r="I58" s="1337" t="n">
        <v>0</v>
      </c>
      <c r="J58" s="1337" t="n">
        <v>0</v>
      </c>
      <c r="K58" s="1337" t="n"/>
      <c r="L58" s="1337" t="n"/>
      <c r="M58" s="1337" t="n"/>
      <c r="N58" s="1337" t="n">
        <v>0</v>
      </c>
      <c r="O58" s="1337" t="n"/>
      <c r="P58" s="1356">
        <f>SUM(D58:O58)</f>
        <v/>
      </c>
      <c r="Q58" s="248" t="n"/>
      <c r="R58" s="1337" t="n">
        <v>0</v>
      </c>
      <c r="S58" s="1337" t="n"/>
      <c r="T58" s="1337" t="n">
        <v>0</v>
      </c>
      <c r="U58" s="1337" t="n"/>
      <c r="V58" s="1337" t="n"/>
      <c r="W58" s="1337" t="n">
        <v>0</v>
      </c>
      <c r="X58" s="1337" t="n">
        <v>0</v>
      </c>
      <c r="Y58" s="1337" t="n"/>
      <c r="Z58" s="1337" t="n"/>
      <c r="AA58" s="1337" t="n"/>
      <c r="AB58" s="1337" t="n">
        <v>0</v>
      </c>
      <c r="AC58" s="1337" t="n"/>
      <c r="AD58" s="1356">
        <f>SUM(R58:AC58)</f>
        <v/>
      </c>
      <c r="AE58" s="248" t="n"/>
      <c r="AF58" s="1337" t="n">
        <v>10000</v>
      </c>
      <c r="AG58" s="1337" t="n"/>
      <c r="AH58" s="1337" t="n">
        <v>5000</v>
      </c>
      <c r="AI58" s="1337" t="n"/>
      <c r="AJ58" s="1337" t="n"/>
      <c r="AK58" s="1337" t="n">
        <v>5000</v>
      </c>
      <c r="AL58" s="1337" t="n">
        <v>5000</v>
      </c>
      <c r="AM58" s="1337" t="n"/>
      <c r="AN58" s="1337" t="n"/>
      <c r="AO58" s="1337" t="n"/>
      <c r="AP58" s="1337" t="n">
        <v>5000</v>
      </c>
      <c r="AQ58" s="1337" t="n"/>
      <c r="AR58" s="1356">
        <f>SUM(AF58:AQ58)</f>
        <v/>
      </c>
      <c r="AS58" s="236" t="n"/>
      <c r="AT58" s="1337" t="n">
        <v>10000</v>
      </c>
      <c r="AU58" s="1337" t="n"/>
      <c r="AV58" s="1337" t="n">
        <v>5000</v>
      </c>
      <c r="AW58" s="1337" t="n"/>
      <c r="AX58" s="1337" t="n"/>
      <c r="AY58" s="1337" t="n">
        <v>5000</v>
      </c>
      <c r="AZ58" s="1337" t="n">
        <v>5000</v>
      </c>
      <c r="BA58" s="1337" t="n"/>
      <c r="BB58" s="1337" t="n"/>
      <c r="BC58" s="1337" t="n"/>
      <c r="BD58" s="1337" t="n">
        <v>5000</v>
      </c>
      <c r="BE58" s="1337" t="n"/>
      <c r="BF58" s="1356">
        <f>SUM(AT58:BE58)</f>
        <v/>
      </c>
      <c r="BG58" s="236" t="n"/>
      <c r="BH58" s="236" t="n"/>
      <c r="BI58" s="236" t="n"/>
      <c r="BJ58" s="236" t="n"/>
      <c r="BK58" s="236" t="n"/>
      <c r="BL58" s="236" t="n"/>
      <c r="BM58" s="236" t="n"/>
      <c r="BN58" s="236" t="n"/>
      <c r="BO58" s="236" t="n"/>
      <c r="BP58" s="236" t="n"/>
      <c r="BQ58" s="236" t="n"/>
      <c r="BR58" s="236" t="n"/>
      <c r="BS58" s="236" t="n"/>
      <c r="BT58" s="236" t="n"/>
      <c r="BU58" s="236" t="n"/>
      <c r="BV58" s="236" t="n"/>
      <c r="BW58" s="236" t="n"/>
      <c r="BX58" s="236" t="n"/>
      <c r="BY58" s="236" t="n"/>
      <c r="BZ58" s="236" t="n"/>
      <c r="CA58" s="236" t="n"/>
      <c r="CB58" s="236" t="n"/>
      <c r="CC58" s="236" t="n"/>
      <c r="CD58" s="236" t="n"/>
      <c r="CE58" s="236" t="n"/>
      <c r="CF58" s="236" t="n"/>
      <c r="CG58" s="236" t="n"/>
    </row>
    <row r="59" ht="23" customHeight="1">
      <c r="A59" s="1355" t="inlineStr">
        <is>
          <t>Pharma</t>
        </is>
      </c>
      <c r="B59" s="1335" t="n"/>
      <c r="C59" s="1336" t="n"/>
      <c r="D59" s="1337" t="n"/>
      <c r="E59" s="1337" t="n"/>
      <c r="F59" s="1337" t="n"/>
      <c r="G59" s="1337" t="n"/>
      <c r="H59" s="1337" t="n"/>
      <c r="I59" s="1337" t="n"/>
      <c r="J59" s="1337" t="n"/>
      <c r="K59" s="1337" t="n"/>
      <c r="L59" s="1337" t="n"/>
      <c r="M59" s="1337" t="n"/>
      <c r="N59" s="1337" t="n"/>
      <c r="O59" s="1337" t="n"/>
      <c r="P59" s="1338" t="n"/>
      <c r="Q59" s="248" t="n"/>
      <c r="R59" s="1337" t="n"/>
      <c r="S59" s="1337" t="n"/>
      <c r="T59" s="1337" t="n"/>
      <c r="U59" s="1337" t="n"/>
      <c r="V59" s="1337" t="n"/>
      <c r="W59" s="1337" t="n"/>
      <c r="X59" s="1337" t="n"/>
      <c r="Y59" s="1337" t="n"/>
      <c r="Z59" s="1337" t="n"/>
      <c r="AA59" s="1337" t="n"/>
      <c r="AB59" s="1337" t="n"/>
      <c r="AC59" s="1337" t="n"/>
      <c r="AD59" s="1338" t="n"/>
      <c r="AE59" s="248" t="n"/>
      <c r="AF59" s="1337" t="n"/>
      <c r="AG59" s="1337" t="n"/>
      <c r="AH59" s="1337" t="n"/>
      <c r="AI59" s="1337" t="n"/>
      <c r="AJ59" s="1337" t="n"/>
      <c r="AK59" s="1337" t="n"/>
      <c r="AL59" s="1337" t="n"/>
      <c r="AM59" s="1337" t="n"/>
      <c r="AN59" s="1337" t="n"/>
      <c r="AO59" s="1337" t="n"/>
      <c r="AP59" s="1337" t="n"/>
      <c r="AQ59" s="1337" t="n"/>
      <c r="AR59" s="1338" t="n"/>
      <c r="AS59" s="236" t="n"/>
      <c r="AT59" s="1337" t="n"/>
      <c r="AU59" s="1337" t="n"/>
      <c r="AV59" s="1337" t="n"/>
      <c r="AW59" s="1337" t="n"/>
      <c r="AX59" s="1337" t="n"/>
      <c r="AY59" s="1337" t="n"/>
      <c r="AZ59" s="1337" t="n"/>
      <c r="BA59" s="1337" t="n"/>
      <c r="BB59" s="1337" t="n"/>
      <c r="BC59" s="1337" t="n"/>
      <c r="BD59" s="1337" t="n"/>
      <c r="BE59" s="1337" t="n"/>
      <c r="BF59" s="1338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  <c r="BW59" s="236" t="n"/>
      <c r="BX59" s="236" t="n"/>
      <c r="BY59" s="236" t="n"/>
      <c r="BZ59" s="236" t="n"/>
      <c r="CA59" s="236" t="n"/>
      <c r="CB59" s="236" t="n"/>
      <c r="CC59" s="236" t="n"/>
      <c r="CD59" s="236" t="n"/>
      <c r="CE59" s="236" t="n"/>
      <c r="CF59" s="236" t="n"/>
      <c r="CG59" s="236" t="n"/>
    </row>
    <row r="60" ht="23" customHeight="1">
      <c r="A60" s="1334" t="inlineStr">
        <is>
          <t>Conference</t>
        </is>
      </c>
      <c r="B60" s="1335" t="n"/>
      <c r="C60" s="1336" t="n"/>
      <c r="D60" s="1336" t="n"/>
      <c r="E60" s="1337">
        <f>$D$60</f>
        <v/>
      </c>
      <c r="F60" s="1337">
        <f>$D$60</f>
        <v/>
      </c>
      <c r="G60" s="1337">
        <f>$D$60</f>
        <v/>
      </c>
      <c r="H60" s="1337">
        <f>$D$60</f>
        <v/>
      </c>
      <c r="I60" s="1337">
        <f>$D$60</f>
        <v/>
      </c>
      <c r="J60" s="1337">
        <f>$D$60</f>
        <v/>
      </c>
      <c r="K60" s="1337">
        <f>$D$60</f>
        <v/>
      </c>
      <c r="L60" s="1337">
        <f>$D$60</f>
        <v/>
      </c>
      <c r="M60" s="1337">
        <f>$D$60</f>
        <v/>
      </c>
      <c r="N60" s="1337">
        <f>$D$60</f>
        <v/>
      </c>
      <c r="O60" s="1337">
        <f>$D$60</f>
        <v/>
      </c>
      <c r="P60" s="1338">
        <f>SUM(D60:O60)</f>
        <v/>
      </c>
      <c r="Q60" s="248" t="n"/>
      <c r="R60" s="1336" t="n"/>
      <c r="S60" s="1337" t="n">
        <v>5000</v>
      </c>
      <c r="T60" s="1337">
        <f>$R$60</f>
        <v/>
      </c>
      <c r="U60" s="1337">
        <f>$R$60</f>
        <v/>
      </c>
      <c r="V60" s="1337">
        <f>$R$60</f>
        <v/>
      </c>
      <c r="W60" s="1337">
        <f>$R$60</f>
        <v/>
      </c>
      <c r="X60" s="1337">
        <f>$R$60</f>
        <v/>
      </c>
      <c r="Y60" s="1337">
        <f>$R$60</f>
        <v/>
      </c>
      <c r="Z60" s="1337">
        <f>$R$60</f>
        <v/>
      </c>
      <c r="AA60" s="1337">
        <f>$R$60</f>
        <v/>
      </c>
      <c r="AB60" s="1337">
        <f>$R$60</f>
        <v/>
      </c>
      <c r="AC60" s="1337">
        <f>$R$60</f>
        <v/>
      </c>
      <c r="AD60" s="1338">
        <f>SUM(R60:AC60)</f>
        <v/>
      </c>
      <c r="AE60" s="248" t="n"/>
      <c r="AF60" s="1337" t="n">
        <v>5000</v>
      </c>
      <c r="AG60" s="1337" t="inlineStr">
        <is>
          <t xml:space="preserve"> </t>
        </is>
      </c>
      <c r="AH60" s="1337" t="inlineStr">
        <is>
          <t xml:space="preserve"> </t>
        </is>
      </c>
      <c r="AI60" s="1337" t="inlineStr">
        <is>
          <t xml:space="preserve"> </t>
        </is>
      </c>
      <c r="AJ60" s="1337" t="inlineStr">
        <is>
          <t xml:space="preserve"> </t>
        </is>
      </c>
      <c r="AK60" s="1337" t="inlineStr">
        <is>
          <t xml:space="preserve"> </t>
        </is>
      </c>
      <c r="AL60" s="1337" t="inlineStr">
        <is>
          <t xml:space="preserve"> </t>
        </is>
      </c>
      <c r="AM60" s="1337" t="inlineStr">
        <is>
          <t xml:space="preserve"> </t>
        </is>
      </c>
      <c r="AN60" s="1337" t="inlineStr">
        <is>
          <t xml:space="preserve"> </t>
        </is>
      </c>
      <c r="AO60" s="1337" t="inlineStr">
        <is>
          <t xml:space="preserve"> </t>
        </is>
      </c>
      <c r="AP60" s="1337" t="inlineStr">
        <is>
          <t xml:space="preserve"> </t>
        </is>
      </c>
      <c r="AQ60" s="1337" t="inlineStr">
        <is>
          <t xml:space="preserve"> </t>
        </is>
      </c>
      <c r="AR60" s="1338">
        <f>SUM(AF60:AQ60)</f>
        <v/>
      </c>
      <c r="AS60" s="236" t="n"/>
      <c r="AT60" s="1336" t="n">
        <v>5000</v>
      </c>
      <c r="AU60" s="1337" t="n"/>
      <c r="AV60" s="1337" t="n"/>
      <c r="AW60" s="1337" t="n"/>
      <c r="AX60" s="1337" t="n"/>
      <c r="AY60" s="1337" t="n"/>
      <c r="AZ60" s="1337" t="n"/>
      <c r="BA60" s="1337" t="n"/>
      <c r="BB60" s="1337" t="n"/>
      <c r="BC60" s="1337" t="n"/>
      <c r="BD60" s="1337" t="n"/>
      <c r="BE60" s="1337" t="n"/>
      <c r="BF60" s="1338">
        <f>SUM(AT60:BE60)</f>
        <v/>
      </c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  <c r="BW60" s="236" t="n"/>
      <c r="BX60" s="236" t="n"/>
      <c r="BY60" s="236" t="n"/>
      <c r="BZ60" s="236" t="n"/>
      <c r="CA60" s="236" t="n"/>
      <c r="CB60" s="236" t="n"/>
      <c r="CC60" s="236" t="n"/>
      <c r="CD60" s="236" t="n"/>
      <c r="CE60" s="236" t="n"/>
      <c r="CF60" s="236" t="n"/>
      <c r="CG60" s="236" t="n"/>
    </row>
    <row r="61" ht="23" customHeight="1">
      <c r="A61" s="1334" t="inlineStr">
        <is>
          <t>Sponserships</t>
        </is>
      </c>
      <c r="B61" s="1335" t="n"/>
      <c r="C61" s="1336" t="n"/>
      <c r="D61" s="1336" t="n"/>
      <c r="E61" s="1337">
        <f>$D$61</f>
        <v/>
      </c>
      <c r="F61" s="1337">
        <f>$D$61</f>
        <v/>
      </c>
      <c r="G61" s="1337">
        <f>$D$61</f>
        <v/>
      </c>
      <c r="H61" s="1337">
        <f>$D$61</f>
        <v/>
      </c>
      <c r="I61" s="1337">
        <f>$D$61</f>
        <v/>
      </c>
      <c r="J61" s="1337">
        <f>$D$61</f>
        <v/>
      </c>
      <c r="K61" s="1337">
        <f>$D$61</f>
        <v/>
      </c>
      <c r="L61" s="1337">
        <f>$D$61</f>
        <v/>
      </c>
      <c r="M61" s="1337">
        <f>$D$61</f>
        <v/>
      </c>
      <c r="N61" s="1337">
        <f>$D$61</f>
        <v/>
      </c>
      <c r="O61" s="1337">
        <f>$D$61</f>
        <v/>
      </c>
      <c r="P61" s="1338">
        <f>SUM(D61:O61)</f>
        <v/>
      </c>
      <c r="Q61" s="248" t="n"/>
      <c r="R61" s="1336" t="n"/>
      <c r="S61" s="1337" t="n">
        <v>5000</v>
      </c>
      <c r="T61" s="1337">
        <f>$R$61</f>
        <v/>
      </c>
      <c r="U61" s="1337">
        <f>$R$61</f>
        <v/>
      </c>
      <c r="V61" s="1337">
        <f>$R$61</f>
        <v/>
      </c>
      <c r="W61" s="1337">
        <f>$R$61</f>
        <v/>
      </c>
      <c r="X61" s="1337">
        <f>$R$61</f>
        <v/>
      </c>
      <c r="Y61" s="1337">
        <f>$R$61</f>
        <v/>
      </c>
      <c r="Z61" s="1337">
        <f>$R$61</f>
        <v/>
      </c>
      <c r="AA61" s="1337">
        <f>$R$61</f>
        <v/>
      </c>
      <c r="AB61" s="1337">
        <f>$R$61</f>
        <v/>
      </c>
      <c r="AC61" s="1337">
        <f>$R$61</f>
        <v/>
      </c>
      <c r="AD61" s="1338">
        <f>SUM(R61:AC61)</f>
        <v/>
      </c>
      <c r="AE61" s="248" t="n"/>
      <c r="AF61" s="1337" t="n">
        <v>5000</v>
      </c>
      <c r="AG61" s="1337" t="n"/>
      <c r="AH61" s="1337" t="n"/>
      <c r="AI61" s="1337" t="n"/>
      <c r="AJ61" s="1337" t="n"/>
      <c r="AK61" s="1337" t="n"/>
      <c r="AL61" s="1337" t="n"/>
      <c r="AM61" s="1337" t="n"/>
      <c r="AN61" s="1337" t="n"/>
      <c r="AO61" s="1337" t="n"/>
      <c r="AP61" s="1337" t="n">
        <v>0</v>
      </c>
      <c r="AQ61" s="1337" t="n">
        <v>0</v>
      </c>
      <c r="AR61" s="1338">
        <f>SUM(AF61:AQ61)</f>
        <v/>
      </c>
      <c r="AS61" s="236" t="n"/>
      <c r="AT61" s="1336" t="n">
        <v>5000</v>
      </c>
      <c r="AU61" s="1337" t="n"/>
      <c r="AV61" s="1337" t="n"/>
      <c r="AW61" s="1337" t="n"/>
      <c r="AX61" s="1337" t="n"/>
      <c r="AY61" s="1337" t="n"/>
      <c r="AZ61" s="1337" t="n"/>
      <c r="BA61" s="1337" t="n"/>
      <c r="BB61" s="1337" t="n"/>
      <c r="BC61" s="1337" t="n"/>
      <c r="BD61" s="1337" t="n"/>
      <c r="BE61" s="1337" t="n"/>
      <c r="BF61" s="1338">
        <f>SUM(AT61:BE61)</f>
        <v/>
      </c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  <c r="BW61" s="236" t="n"/>
      <c r="BX61" s="236" t="n"/>
      <c r="BY61" s="236" t="n"/>
      <c r="BZ61" s="236" t="n"/>
      <c r="CA61" s="236" t="n"/>
      <c r="CB61" s="236" t="n"/>
      <c r="CC61" s="236" t="n"/>
      <c r="CD61" s="236" t="n"/>
      <c r="CE61" s="236" t="n"/>
      <c r="CF61" s="236" t="n"/>
      <c r="CG61" s="236" t="n"/>
    </row>
    <row r="62" ht="23" customHeight="1">
      <c r="A62" s="1355" t="inlineStr">
        <is>
          <t>Law</t>
        </is>
      </c>
      <c r="B62" s="1335" t="n"/>
      <c r="C62" s="1336" t="n"/>
      <c r="D62" s="1336" t="n"/>
      <c r="E62" s="1337" t="n"/>
      <c r="F62" s="1337">
        <f>$D$60</f>
        <v/>
      </c>
      <c r="G62" s="1337" t="n"/>
      <c r="H62" s="1337" t="n"/>
      <c r="I62" s="1337" t="n"/>
      <c r="J62" s="1337" t="n"/>
      <c r="K62" s="1337" t="n"/>
      <c r="L62" s="1337" t="n"/>
      <c r="M62" s="1337" t="n"/>
      <c r="N62" s="1337" t="n"/>
      <c r="O62" s="1337" t="n"/>
      <c r="P62" s="1338" t="n"/>
      <c r="Q62" s="248" t="n"/>
      <c r="R62" s="1336" t="n"/>
      <c r="S62" s="1337" t="n"/>
      <c r="T62" s="1337" t="n"/>
      <c r="U62" s="1337" t="n"/>
      <c r="V62" s="1337" t="n"/>
      <c r="W62" s="1337" t="n"/>
      <c r="X62" s="1337" t="n"/>
      <c r="Y62" s="1337" t="n"/>
      <c r="Z62" s="1337" t="n"/>
      <c r="AA62" s="1337" t="n"/>
      <c r="AB62" s="1337" t="n"/>
      <c r="AC62" s="1337" t="n"/>
      <c r="AD62" s="1338" t="n"/>
      <c r="AE62" s="248" t="n"/>
      <c r="AF62" s="1336" t="n"/>
      <c r="AG62" s="1337" t="n"/>
      <c r="AH62" s="1337" t="n"/>
      <c r="AI62" s="1337" t="n"/>
      <c r="AJ62" s="1337" t="n"/>
      <c r="AK62" s="1337" t="n"/>
      <c r="AL62" s="1337" t="n"/>
      <c r="AM62" s="1337" t="n"/>
      <c r="AN62" s="1337" t="n"/>
      <c r="AO62" s="1337" t="n"/>
      <c r="AP62" s="1337" t="n">
        <v>0</v>
      </c>
      <c r="AQ62" s="1337" t="n">
        <v>0</v>
      </c>
      <c r="AR62" s="1338" t="n"/>
      <c r="AS62" s="236" t="n"/>
      <c r="AT62" s="1336" t="n"/>
      <c r="AU62" s="1337" t="n"/>
      <c r="AV62" s="1337" t="n"/>
      <c r="AW62" s="1337" t="n"/>
      <c r="AX62" s="1337" t="n"/>
      <c r="AY62" s="1337" t="n"/>
      <c r="AZ62" s="1337" t="n"/>
      <c r="BA62" s="1337" t="n"/>
      <c r="BB62" s="1337" t="n"/>
      <c r="BC62" s="1337" t="n"/>
      <c r="BD62" s="1337" t="n"/>
      <c r="BE62" s="1337" t="n"/>
      <c r="BF62" s="1338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  <c r="BW62" s="236" t="n"/>
      <c r="BX62" s="236" t="n"/>
      <c r="BY62" s="236" t="n"/>
      <c r="BZ62" s="236" t="n"/>
      <c r="CA62" s="236" t="n"/>
      <c r="CB62" s="236" t="n"/>
      <c r="CC62" s="236" t="n"/>
      <c r="CD62" s="236" t="n"/>
      <c r="CE62" s="236" t="n"/>
      <c r="CF62" s="236" t="n"/>
      <c r="CG62" s="236" t="n"/>
    </row>
    <row r="63" ht="23" customHeight="1">
      <c r="A63" s="1334" t="inlineStr">
        <is>
          <t>Conference</t>
        </is>
      </c>
      <c r="B63" s="1335" t="n"/>
      <c r="C63" s="1336" t="n"/>
      <c r="D63" s="1336" t="n"/>
      <c r="E63" s="1337">
        <f>$D$60</f>
        <v/>
      </c>
      <c r="F63" s="1337">
        <f>$D$60</f>
        <v/>
      </c>
      <c r="G63" s="1337">
        <f>$D$60</f>
        <v/>
      </c>
      <c r="H63" s="1337">
        <f>$D$60</f>
        <v/>
      </c>
      <c r="I63" s="1337">
        <f>$D$60</f>
        <v/>
      </c>
      <c r="J63" s="1337">
        <f>$D$60</f>
        <v/>
      </c>
      <c r="K63" s="1337">
        <f>$D$60</f>
        <v/>
      </c>
      <c r="L63" s="1337">
        <f>$D$60</f>
        <v/>
      </c>
      <c r="M63" s="1337">
        <f>$D$60</f>
        <v/>
      </c>
      <c r="N63" s="1337">
        <f>$D$60</f>
        <v/>
      </c>
      <c r="O63" s="1337">
        <f>$D$60</f>
        <v/>
      </c>
      <c r="P63" s="1338">
        <f>SUM(D63:O63)</f>
        <v/>
      </c>
      <c r="Q63" s="248" t="n"/>
      <c r="R63" s="1336" t="n"/>
      <c r="S63" s="1337">
        <f>$R$60</f>
        <v/>
      </c>
      <c r="T63" s="1337">
        <f>$R$60</f>
        <v/>
      </c>
      <c r="U63" s="1337">
        <f>$R$60</f>
        <v/>
      </c>
      <c r="V63" s="1337">
        <f>$R$60</f>
        <v/>
      </c>
      <c r="W63" s="1337">
        <f>$R$60</f>
        <v/>
      </c>
      <c r="X63" s="1337">
        <f>$R$60</f>
        <v/>
      </c>
      <c r="Y63" s="1337">
        <f>$R$60</f>
        <v/>
      </c>
      <c r="Z63" s="1337">
        <f>$R$60</f>
        <v/>
      </c>
      <c r="AA63" s="1337">
        <f>$R$60</f>
        <v/>
      </c>
      <c r="AB63" s="1337">
        <f>$R$60</f>
        <v/>
      </c>
      <c r="AC63" s="1337">
        <f>$R$60</f>
        <v/>
      </c>
      <c r="AD63" s="1338">
        <f>SUM(R63:AC63)</f>
        <v/>
      </c>
      <c r="AE63" s="248" t="n"/>
      <c r="AF63" s="1336" t="n">
        <v>5000</v>
      </c>
      <c r="AG63" s="1337" t="n"/>
      <c r="AH63" s="1337" t="n"/>
      <c r="AI63" s="1337" t="n"/>
      <c r="AJ63" s="1337" t="n"/>
      <c r="AK63" s="1337" t="n"/>
      <c r="AL63" s="1337" t="n"/>
      <c r="AM63" s="1337" t="n"/>
      <c r="AN63" s="1337" t="n"/>
      <c r="AO63" s="1337" t="n"/>
      <c r="AP63" s="1337" t="n">
        <v>0</v>
      </c>
      <c r="AQ63" s="1337" t="n">
        <v>0</v>
      </c>
      <c r="AR63" s="1338">
        <f>SUM(AF63:AQ63)</f>
        <v/>
      </c>
      <c r="AS63" s="236" t="n"/>
      <c r="AT63" s="1336" t="n">
        <v>5000</v>
      </c>
      <c r="AU63" s="1337" t="n"/>
      <c r="AV63" s="1337" t="n"/>
      <c r="AW63" s="1337" t="n"/>
      <c r="AX63" s="1337" t="n"/>
      <c r="AY63" s="1337" t="n"/>
      <c r="AZ63" s="1337" t="n"/>
      <c r="BA63" s="1337" t="n"/>
      <c r="BB63" s="1337" t="n"/>
      <c r="BC63" s="1337" t="n"/>
      <c r="BD63" s="1337" t="n"/>
      <c r="BE63" s="1337" t="n"/>
      <c r="BF63" s="1338">
        <f>SUM(AT63:BE63)</f>
        <v/>
      </c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  <c r="BW63" s="236" t="n"/>
      <c r="BX63" s="236" t="n"/>
      <c r="BY63" s="236" t="n"/>
      <c r="BZ63" s="236" t="n"/>
      <c r="CA63" s="236" t="n"/>
      <c r="CB63" s="236" t="n"/>
      <c r="CC63" s="236" t="n"/>
      <c r="CD63" s="236" t="n"/>
      <c r="CE63" s="236" t="n"/>
      <c r="CF63" s="236" t="n"/>
      <c r="CG63" s="236" t="n"/>
    </row>
    <row r="64" ht="23" customHeight="1">
      <c r="A64" s="1334" t="inlineStr">
        <is>
          <t>Sponserships</t>
        </is>
      </c>
      <c r="B64" s="1335" t="n"/>
      <c r="C64" s="1336" t="n"/>
      <c r="D64" s="1336" t="n"/>
      <c r="E64" s="1337">
        <f>$D$61</f>
        <v/>
      </c>
      <c r="F64" s="1337">
        <f>$D$61</f>
        <v/>
      </c>
      <c r="G64" s="1337">
        <f>$D$61</f>
        <v/>
      </c>
      <c r="H64" s="1337">
        <f>$D$61</f>
        <v/>
      </c>
      <c r="I64" s="1337">
        <f>$D$61</f>
        <v/>
      </c>
      <c r="J64" s="1337">
        <f>$D$61</f>
        <v/>
      </c>
      <c r="K64" s="1337">
        <f>$D$61</f>
        <v/>
      </c>
      <c r="L64" s="1337">
        <f>$D$61</f>
        <v/>
      </c>
      <c r="M64" s="1337">
        <f>$D$61</f>
        <v/>
      </c>
      <c r="N64" s="1337">
        <f>$D$61</f>
        <v/>
      </c>
      <c r="O64" s="1337">
        <f>$D$61</f>
        <v/>
      </c>
      <c r="P64" s="1338">
        <f>SUM(D64:O64)</f>
        <v/>
      </c>
      <c r="Q64" s="248" t="n"/>
      <c r="R64" s="1336" t="n"/>
      <c r="S64" s="1337">
        <f>$R$61</f>
        <v/>
      </c>
      <c r="T64" s="1337">
        <f>$R$61</f>
        <v/>
      </c>
      <c r="U64" s="1337">
        <f>$R$61</f>
        <v/>
      </c>
      <c r="V64" s="1337">
        <f>$R$61</f>
        <v/>
      </c>
      <c r="W64" s="1337">
        <f>$R$61</f>
        <v/>
      </c>
      <c r="X64" s="1337">
        <f>$R$61</f>
        <v/>
      </c>
      <c r="Y64" s="1337">
        <f>$R$61</f>
        <v/>
      </c>
      <c r="Z64" s="1337">
        <f>$R$61</f>
        <v/>
      </c>
      <c r="AA64" s="1337">
        <f>$R$61</f>
        <v/>
      </c>
      <c r="AB64" s="1337">
        <f>$R$61</f>
        <v/>
      </c>
      <c r="AC64" s="1337">
        <f>$R$61</f>
        <v/>
      </c>
      <c r="AD64" s="1338">
        <f>SUM(R64:AC64)</f>
        <v/>
      </c>
      <c r="AE64" s="248" t="n"/>
      <c r="AF64" s="1336" t="n">
        <v>5000</v>
      </c>
      <c r="AG64" s="1337" t="n"/>
      <c r="AH64" s="1337" t="n"/>
      <c r="AI64" s="1337" t="n"/>
      <c r="AJ64" s="1337" t="n"/>
      <c r="AK64" s="1337" t="n"/>
      <c r="AL64" s="1337" t="n"/>
      <c r="AM64" s="1337" t="n"/>
      <c r="AN64" s="1337" t="n"/>
      <c r="AO64" s="1337" t="n"/>
      <c r="AP64" s="1337" t="n">
        <v>0</v>
      </c>
      <c r="AQ64" s="1337" t="n">
        <v>0</v>
      </c>
      <c r="AR64" s="1338">
        <f>SUM(AF64:AQ64)</f>
        <v/>
      </c>
      <c r="AS64" s="236" t="n"/>
      <c r="AT64" s="1336" t="n">
        <v>5000</v>
      </c>
      <c r="AU64" s="1337" t="n"/>
      <c r="AV64" s="1337" t="n"/>
      <c r="AW64" s="1337" t="n"/>
      <c r="AX64" s="1337" t="n"/>
      <c r="AY64" s="1337" t="n"/>
      <c r="AZ64" s="1337" t="n"/>
      <c r="BA64" s="1337" t="n"/>
      <c r="BB64" s="1337" t="n"/>
      <c r="BC64" s="1337" t="n"/>
      <c r="BD64" s="1337" t="n"/>
      <c r="BE64" s="1337" t="n"/>
      <c r="BF64" s="1338">
        <f>SUM(AT64:BE64)</f>
        <v/>
      </c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  <c r="BW64" s="236" t="n"/>
      <c r="BX64" s="236" t="n"/>
      <c r="BY64" s="236" t="n"/>
      <c r="BZ64" s="236" t="n"/>
      <c r="CA64" s="236" t="n"/>
      <c r="CB64" s="236" t="n"/>
      <c r="CC64" s="236" t="n"/>
      <c r="CD64" s="236" t="n"/>
      <c r="CE64" s="236" t="n"/>
      <c r="CF64" s="236" t="n"/>
      <c r="CG64" s="236" t="n"/>
    </row>
    <row r="65" ht="23" customHeight="1">
      <c r="A65" s="1341" t="inlineStr">
        <is>
          <t xml:space="preserve"> Travel:  </t>
        </is>
      </c>
      <c r="B65" s="1335" t="n"/>
      <c r="C65" s="1336" t="n"/>
      <c r="D65" s="1336" t="n"/>
      <c r="E65" s="1337" t="n"/>
      <c r="F65" s="1337" t="n"/>
      <c r="G65" s="1337" t="n"/>
      <c r="H65" s="1337" t="n"/>
      <c r="I65" s="1337" t="n"/>
      <c r="J65" s="1337" t="n"/>
      <c r="K65" s="1337" t="n"/>
      <c r="L65" s="1337" t="n"/>
      <c r="M65" s="1337" t="n"/>
      <c r="N65" s="1337" t="n"/>
      <c r="O65" s="1337" t="n"/>
      <c r="P65" s="1338" t="inlineStr">
        <is>
          <t xml:space="preserve">                   -   </t>
        </is>
      </c>
      <c r="Q65" s="248" t="n"/>
      <c r="R65" s="1336" t="n"/>
      <c r="S65" s="1337" t="n"/>
      <c r="T65" s="1337" t="n"/>
      <c r="U65" s="1337" t="n"/>
      <c r="V65" s="1337" t="n"/>
      <c r="W65" s="1337" t="n"/>
      <c r="X65" s="1337" t="n"/>
      <c r="Y65" s="1337" t="n"/>
      <c r="Z65" s="1337" t="n"/>
      <c r="AA65" s="1337" t="n"/>
      <c r="AB65" s="1337" t="n"/>
      <c r="AC65" s="1337" t="n"/>
      <c r="AD65" s="1338" t="inlineStr">
        <is>
          <t xml:space="preserve">                        -   </t>
        </is>
      </c>
      <c r="AE65" s="248" t="n"/>
      <c r="AF65" s="1336" t="n"/>
      <c r="AG65" s="1337" t="n"/>
      <c r="AH65" s="1337" t="n"/>
      <c r="AI65" s="1337" t="n"/>
      <c r="AJ65" s="1337" t="n"/>
      <c r="AK65" s="1337" t="n"/>
      <c r="AL65" s="1337" t="n"/>
      <c r="AM65" s="1337" t="n"/>
      <c r="AN65" s="1337" t="n"/>
      <c r="AO65" s="1337" t="n"/>
      <c r="AP65" s="1337" t="n"/>
      <c r="AQ65" s="1337" t="n"/>
      <c r="AR65" s="1338" t="inlineStr">
        <is>
          <t xml:space="preserve">                   -   </t>
        </is>
      </c>
      <c r="AS65" s="236" t="n"/>
      <c r="AT65" s="1336" t="n"/>
      <c r="AU65" s="1337" t="n"/>
      <c r="AV65" s="1337" t="n"/>
      <c r="AW65" s="1337" t="n"/>
      <c r="AX65" s="1337" t="n"/>
      <c r="AY65" s="1337" t="n"/>
      <c r="AZ65" s="1337" t="n"/>
      <c r="BA65" s="1337" t="n"/>
      <c r="BB65" s="1337" t="n"/>
      <c r="BC65" s="1337" t="n"/>
      <c r="BD65" s="1337" t="n"/>
      <c r="BE65" s="1337" t="n"/>
      <c r="BF65" s="1338">
        <f>SUM(AT65:BE65)</f>
        <v/>
      </c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6" t="n"/>
      <c r="BR65" s="236" t="n"/>
      <c r="BS65" s="236" t="n"/>
      <c r="BT65" s="236" t="n"/>
      <c r="BU65" s="236" t="n"/>
      <c r="BV65" s="236" t="n"/>
      <c r="BW65" s="236" t="n"/>
      <c r="BX65" s="236" t="n"/>
      <c r="BY65" s="236" t="n"/>
      <c r="BZ65" s="236" t="n"/>
      <c r="CA65" s="236" t="n"/>
      <c r="CB65" s="236" t="n"/>
      <c r="CC65" s="236" t="n"/>
      <c r="CD65" s="236" t="n"/>
      <c r="CE65" s="236" t="n"/>
      <c r="CF65" s="236" t="n"/>
      <c r="CG65" s="236" t="n"/>
    </row>
    <row r="66" ht="23" customHeight="1">
      <c r="A66" s="1334" t="inlineStr">
        <is>
          <t xml:space="preserve"> Airline </t>
        </is>
      </c>
      <c r="B66" s="1335" t="n"/>
      <c r="C66" s="1336" t="n"/>
      <c r="D66" s="1336" t="n">
        <v>4000</v>
      </c>
      <c r="E66" s="1337">
        <f>$D$66</f>
        <v/>
      </c>
      <c r="F66" s="1337">
        <f>$D$66</f>
        <v/>
      </c>
      <c r="G66" s="1337">
        <f>$D$66</f>
        <v/>
      </c>
      <c r="H66" s="1337">
        <f>$D$66</f>
        <v/>
      </c>
      <c r="I66" s="1337">
        <f>$D$66</f>
        <v/>
      </c>
      <c r="J66" s="1337">
        <f>$D$66</f>
        <v/>
      </c>
      <c r="K66" s="1337">
        <f>$D$66</f>
        <v/>
      </c>
      <c r="L66" s="1337">
        <f>$D$66</f>
        <v/>
      </c>
      <c r="M66" s="1337">
        <f>$D$66</f>
        <v/>
      </c>
      <c r="N66" s="1337">
        <f>$D$66</f>
        <v/>
      </c>
      <c r="O66" s="1337">
        <f>$D$66</f>
        <v/>
      </c>
      <c r="P66" s="1356">
        <f>SUM(D66:O66)</f>
        <v/>
      </c>
      <c r="Q66" s="248" t="n"/>
      <c r="R66" s="1336" t="n">
        <v>4000</v>
      </c>
      <c r="S66" s="1337">
        <f>$R$66</f>
        <v/>
      </c>
      <c r="T66" s="1337">
        <f>$R$66</f>
        <v/>
      </c>
      <c r="U66" s="1337">
        <f>$R$66</f>
        <v/>
      </c>
      <c r="V66" s="1337">
        <f>$R$66</f>
        <v/>
      </c>
      <c r="W66" s="1337">
        <f>$R$66</f>
        <v/>
      </c>
      <c r="X66" s="1337">
        <f>$R$66</f>
        <v/>
      </c>
      <c r="Y66" s="1337">
        <f>$R$66</f>
        <v/>
      </c>
      <c r="Z66" s="1337">
        <f>$R$66</f>
        <v/>
      </c>
      <c r="AA66" s="1337">
        <f>$R$66</f>
        <v/>
      </c>
      <c r="AB66" s="1337">
        <f>$R$66</f>
        <v/>
      </c>
      <c r="AC66" s="1337">
        <f>$R$66</f>
        <v/>
      </c>
      <c r="AD66" s="1356">
        <f>SUM(R66:AC66)</f>
        <v/>
      </c>
      <c r="AE66" s="248" t="n"/>
      <c r="AF66" s="1336" t="n">
        <v>4000</v>
      </c>
      <c r="AG66" s="1337">
        <f>$AF$66</f>
        <v/>
      </c>
      <c r="AH66" s="1337">
        <f>$AF$66</f>
        <v/>
      </c>
      <c r="AI66" s="1337">
        <f>$AF$66</f>
        <v/>
      </c>
      <c r="AJ66" s="1337">
        <f>$AF$66</f>
        <v/>
      </c>
      <c r="AK66" s="1337">
        <f>$AF$66</f>
        <v/>
      </c>
      <c r="AL66" s="1337">
        <f>$AF$66</f>
        <v/>
      </c>
      <c r="AM66" s="1337">
        <f>$AF$66</f>
        <v/>
      </c>
      <c r="AN66" s="1337">
        <f>$AF$66</f>
        <v/>
      </c>
      <c r="AO66" s="1337">
        <f>$AF$66</f>
        <v/>
      </c>
      <c r="AP66" s="1337">
        <f>$AF$66</f>
        <v/>
      </c>
      <c r="AQ66" s="1337" t="n">
        <v>2000</v>
      </c>
      <c r="AR66" s="1356">
        <f>SUM(AF66:AQ66)</f>
        <v/>
      </c>
      <c r="AS66" s="236" t="n"/>
      <c r="AT66" s="1336" t="n">
        <v>4000</v>
      </c>
      <c r="AU66" s="1337">
        <f>$AT$66</f>
        <v/>
      </c>
      <c r="AV66" s="1337">
        <f>$AT$66</f>
        <v/>
      </c>
      <c r="AW66" s="1337">
        <f>$AT$66</f>
        <v/>
      </c>
      <c r="AX66" s="1337">
        <f>$AT$66</f>
        <v/>
      </c>
      <c r="AY66" s="1337">
        <f>$AT$66</f>
        <v/>
      </c>
      <c r="AZ66" s="1337">
        <f>$AT$66</f>
        <v/>
      </c>
      <c r="BA66" s="1337">
        <f>$AT$66</f>
        <v/>
      </c>
      <c r="BB66" s="1337">
        <f>$AT$66</f>
        <v/>
      </c>
      <c r="BC66" s="1337">
        <f>$AT$66</f>
        <v/>
      </c>
      <c r="BD66" s="1337">
        <f>$AT$66</f>
        <v/>
      </c>
      <c r="BE66" s="1337">
        <f>$AT$66</f>
        <v/>
      </c>
      <c r="BF66" s="1356">
        <f>SUM(AT66:BE66)</f>
        <v/>
      </c>
      <c r="BG66" s="236" t="n"/>
      <c r="BH66" s="236" t="n"/>
      <c r="BI66" s="236" t="n"/>
      <c r="BJ66" s="236" t="n"/>
      <c r="BK66" s="236" t="n"/>
      <c r="BL66" s="236" t="n"/>
      <c r="BM66" s="236" t="n"/>
      <c r="BN66" s="236" t="n"/>
      <c r="BO66" s="236" t="n"/>
      <c r="BP66" s="236" t="n"/>
      <c r="BQ66" s="236" t="n"/>
      <c r="BR66" s="236" t="n"/>
      <c r="BS66" s="236" t="n"/>
      <c r="BT66" s="236" t="n"/>
      <c r="BU66" s="236" t="n"/>
      <c r="BV66" s="236" t="n"/>
      <c r="BW66" s="236" t="n"/>
      <c r="BX66" s="236" t="n"/>
      <c r="BY66" s="236" t="n"/>
      <c r="BZ66" s="236" t="n"/>
      <c r="CA66" s="236" t="n"/>
      <c r="CB66" s="236" t="n"/>
      <c r="CC66" s="236" t="n"/>
      <c r="CD66" s="236" t="n"/>
      <c r="CE66" s="236" t="n"/>
      <c r="CF66" s="236" t="n"/>
      <c r="CG66" s="236" t="n"/>
    </row>
    <row r="67" ht="23" customHeight="1">
      <c r="A67" s="1334" t="inlineStr">
        <is>
          <t xml:space="preserve"> Hotel </t>
        </is>
      </c>
      <c r="B67" s="1335" t="n"/>
      <c r="C67" s="1336" t="n"/>
      <c r="D67" s="1336" t="n">
        <v>2000</v>
      </c>
      <c r="E67" s="1336">
        <f>$D$67</f>
        <v/>
      </c>
      <c r="F67" s="1336">
        <f>$D$67</f>
        <v/>
      </c>
      <c r="G67" s="1336">
        <f>$D$67</f>
        <v/>
      </c>
      <c r="H67" s="1336">
        <f>$D$67</f>
        <v/>
      </c>
      <c r="I67" s="1336">
        <f>$D$67</f>
        <v/>
      </c>
      <c r="J67" s="1336">
        <f>$D$67</f>
        <v/>
      </c>
      <c r="K67" s="1336">
        <f>$D$67</f>
        <v/>
      </c>
      <c r="L67" s="1336">
        <f>$D$67</f>
        <v/>
      </c>
      <c r="M67" s="1336">
        <f>$D$67</f>
        <v/>
      </c>
      <c r="N67" s="1336">
        <f>$D$67</f>
        <v/>
      </c>
      <c r="O67" s="1336">
        <f>$D$67</f>
        <v/>
      </c>
      <c r="P67" s="1356" t="n">
        <v>12000</v>
      </c>
      <c r="Q67" s="248" t="n"/>
      <c r="R67" s="1336" t="n">
        <v>1000</v>
      </c>
      <c r="S67" s="1337">
        <f>$R$67</f>
        <v/>
      </c>
      <c r="T67" s="1337">
        <f>$R$67</f>
        <v/>
      </c>
      <c r="U67" s="1337">
        <f>$R$67</f>
        <v/>
      </c>
      <c r="V67" s="1337">
        <f>$R$67</f>
        <v/>
      </c>
      <c r="W67" s="1337">
        <f>$R$67</f>
        <v/>
      </c>
      <c r="X67" s="1337">
        <f>$R$67</f>
        <v/>
      </c>
      <c r="Y67" s="1337">
        <f>$R$67</f>
        <v/>
      </c>
      <c r="Z67" s="1337">
        <f>$R$67</f>
        <v/>
      </c>
      <c r="AA67" s="1337">
        <f>$R$67</f>
        <v/>
      </c>
      <c r="AB67" s="1337">
        <f>$R$67</f>
        <v/>
      </c>
      <c r="AC67" s="1337">
        <f>$R$67</f>
        <v/>
      </c>
      <c r="AD67" s="1356" t="n">
        <v>12000</v>
      </c>
      <c r="AE67" s="248" t="n"/>
      <c r="AF67" s="1336" t="n">
        <v>2000</v>
      </c>
      <c r="AG67" s="1337">
        <f>$AF$67</f>
        <v/>
      </c>
      <c r="AH67" s="1337">
        <f>$AF$67</f>
        <v/>
      </c>
      <c r="AI67" s="1337">
        <f>$AF$67</f>
        <v/>
      </c>
      <c r="AJ67" s="1337">
        <f>$AF$67</f>
        <v/>
      </c>
      <c r="AK67" s="1337">
        <f>$AF$67</f>
        <v/>
      </c>
      <c r="AL67" s="1337">
        <f>$AF$67</f>
        <v/>
      </c>
      <c r="AM67" s="1337">
        <f>$AF$67</f>
        <v/>
      </c>
      <c r="AN67" s="1337">
        <f>$AF$67</f>
        <v/>
      </c>
      <c r="AO67" s="1337">
        <f>$AF$67</f>
        <v/>
      </c>
      <c r="AP67" s="1337">
        <f>$AF$67</f>
        <v/>
      </c>
      <c r="AQ67" s="1336" t="n">
        <v>1000</v>
      </c>
      <c r="AR67" s="1356" t="n">
        <v>12000</v>
      </c>
      <c r="AS67" s="236" t="n"/>
      <c r="AT67" s="1336" t="n">
        <v>2000</v>
      </c>
      <c r="AU67" s="1336">
        <f>$AT$67</f>
        <v/>
      </c>
      <c r="AV67" s="1336">
        <f>$AT$67</f>
        <v/>
      </c>
      <c r="AW67" s="1336">
        <f>$AT$67</f>
        <v/>
      </c>
      <c r="AX67" s="1336">
        <f>$AT$67</f>
        <v/>
      </c>
      <c r="AY67" s="1336">
        <f>$AT$67</f>
        <v/>
      </c>
      <c r="AZ67" s="1336">
        <f>$AT$67</f>
        <v/>
      </c>
      <c r="BA67" s="1336">
        <f>$AT$67</f>
        <v/>
      </c>
      <c r="BB67" s="1336">
        <f>$AT$67</f>
        <v/>
      </c>
      <c r="BC67" s="1336">
        <f>$AT$67</f>
        <v/>
      </c>
      <c r="BD67" s="1336">
        <f>$AT$67</f>
        <v/>
      </c>
      <c r="BE67" s="1336">
        <f>$AT$67</f>
        <v/>
      </c>
      <c r="BF67" s="1356" t="n">
        <v>12000</v>
      </c>
      <c r="BG67" s="236" t="n"/>
      <c r="BH67" s="236" t="n"/>
      <c r="BI67" s="236" t="n"/>
      <c r="BJ67" s="236" t="n"/>
      <c r="BK67" s="236" t="n"/>
      <c r="BL67" s="236" t="n"/>
      <c r="BM67" s="236" t="n"/>
      <c r="BN67" s="236" t="n"/>
      <c r="BO67" s="236" t="n"/>
      <c r="BP67" s="236" t="n"/>
      <c r="BQ67" s="236" t="n"/>
      <c r="BR67" s="236" t="n"/>
      <c r="BS67" s="236" t="n"/>
      <c r="BT67" s="236" t="n"/>
      <c r="BU67" s="236" t="n"/>
      <c r="BV67" s="236" t="n"/>
      <c r="BW67" s="236" t="n"/>
      <c r="BX67" s="236" t="n"/>
      <c r="BY67" s="236" t="n"/>
      <c r="BZ67" s="236" t="n"/>
      <c r="CA67" s="236" t="n"/>
      <c r="CB67" s="236" t="n"/>
      <c r="CC67" s="236" t="n"/>
      <c r="CD67" s="236" t="n"/>
      <c r="CE67" s="236" t="n"/>
      <c r="CF67" s="236" t="n"/>
      <c r="CG67" s="236" t="n"/>
    </row>
    <row r="68" ht="23" customHeight="1">
      <c r="A68" s="1357" t="inlineStr">
        <is>
          <t xml:space="preserve"> Transport </t>
        </is>
      </c>
      <c r="B68" s="1335" t="n"/>
      <c r="C68" s="1336" t="n"/>
      <c r="D68" s="1336" t="n">
        <v>250</v>
      </c>
      <c r="E68" s="1336">
        <f>$D$68</f>
        <v/>
      </c>
      <c r="F68" s="1336">
        <f>$D$68</f>
        <v/>
      </c>
      <c r="G68" s="1336">
        <f>$D$68</f>
        <v/>
      </c>
      <c r="H68" s="1336">
        <f>$D$68</f>
        <v/>
      </c>
      <c r="I68" s="1336">
        <f>$D$68</f>
        <v/>
      </c>
      <c r="J68" s="1336">
        <f>$D$68</f>
        <v/>
      </c>
      <c r="K68" s="1336">
        <f>$D$68</f>
        <v/>
      </c>
      <c r="L68" s="1336">
        <f>$D$68</f>
        <v/>
      </c>
      <c r="M68" s="1336">
        <f>$D$68</f>
        <v/>
      </c>
      <c r="N68" s="1336">
        <f>$D$68</f>
        <v/>
      </c>
      <c r="O68" s="1336">
        <f>$D$68</f>
        <v/>
      </c>
      <c r="P68" s="1356">
        <f>SUM(D68:O68)</f>
        <v/>
      </c>
      <c r="Q68" s="248" t="n"/>
      <c r="R68" s="1336" t="n">
        <v>250</v>
      </c>
      <c r="S68" s="1337">
        <f>$R$68</f>
        <v/>
      </c>
      <c r="T68" s="1337">
        <f>$R$68</f>
        <v/>
      </c>
      <c r="U68" s="1337">
        <f>$R$68</f>
        <v/>
      </c>
      <c r="V68" s="1337">
        <f>$R$68</f>
        <v/>
      </c>
      <c r="W68" s="1337">
        <f>$R$68</f>
        <v/>
      </c>
      <c r="X68" s="1337">
        <f>$R$68</f>
        <v/>
      </c>
      <c r="Y68" s="1337">
        <f>$R$68</f>
        <v/>
      </c>
      <c r="Z68" s="1337">
        <f>$R$68</f>
        <v/>
      </c>
      <c r="AA68" s="1337">
        <f>$R$68</f>
        <v/>
      </c>
      <c r="AB68" s="1337">
        <f>$R$68</f>
        <v/>
      </c>
      <c r="AC68" s="1337">
        <f>$R$68</f>
        <v/>
      </c>
      <c r="AD68" s="1356">
        <f>SUM(R68:AC68)</f>
        <v/>
      </c>
      <c r="AE68" s="248" t="n"/>
      <c r="AF68" s="1336" t="n">
        <v>250</v>
      </c>
      <c r="AG68" s="1337">
        <f>$AF$68</f>
        <v/>
      </c>
      <c r="AH68" s="1337">
        <f>$AF$68</f>
        <v/>
      </c>
      <c r="AI68" s="1337">
        <f>$AF$68</f>
        <v/>
      </c>
      <c r="AJ68" s="1337">
        <f>$AF$68</f>
        <v/>
      </c>
      <c r="AK68" s="1337">
        <f>$AF$68</f>
        <v/>
      </c>
      <c r="AL68" s="1337">
        <f>$AF$68</f>
        <v/>
      </c>
      <c r="AM68" s="1337">
        <f>$AF$68</f>
        <v/>
      </c>
      <c r="AN68" s="1337">
        <f>$AF$68</f>
        <v/>
      </c>
      <c r="AO68" s="1337">
        <f>$AF$68</f>
        <v/>
      </c>
      <c r="AP68" s="1337">
        <f>$AF$68</f>
        <v/>
      </c>
      <c r="AQ68" s="1336" t="n">
        <v>250</v>
      </c>
      <c r="AR68" s="1356">
        <f>SUM(AF68:AQ68)</f>
        <v/>
      </c>
      <c r="AS68" s="236" t="n"/>
      <c r="AT68" s="1336" t="n">
        <v>250</v>
      </c>
      <c r="AU68" s="1336">
        <f>$AT$68</f>
        <v/>
      </c>
      <c r="AV68" s="1336">
        <f>$AT$68</f>
        <v/>
      </c>
      <c r="AW68" s="1336">
        <f>$AT$68</f>
        <v/>
      </c>
      <c r="AX68" s="1336">
        <f>$AT$68</f>
        <v/>
      </c>
      <c r="AY68" s="1336">
        <f>$AT$68</f>
        <v/>
      </c>
      <c r="AZ68" s="1336">
        <f>$AT$68</f>
        <v/>
      </c>
      <c r="BA68" s="1336">
        <f>$AT$68</f>
        <v/>
      </c>
      <c r="BB68" s="1336">
        <f>$AT$68</f>
        <v/>
      </c>
      <c r="BC68" s="1336">
        <f>$AT$68</f>
        <v/>
      </c>
      <c r="BD68" s="1336">
        <f>$AT$68</f>
        <v/>
      </c>
      <c r="BE68" s="1336">
        <f>$AT$68</f>
        <v/>
      </c>
      <c r="BF68" s="1356">
        <f>SUM(AT68:BE68)</f>
        <v/>
      </c>
      <c r="BG68" s="236" t="n"/>
      <c r="BH68" s="236" t="n"/>
      <c r="BI68" s="236" t="n"/>
      <c r="BJ68" s="236" t="n"/>
      <c r="BK68" s="236" t="n"/>
      <c r="BL68" s="236" t="n"/>
      <c r="BM68" s="236" t="n"/>
      <c r="BN68" s="236" t="n"/>
      <c r="BO68" s="236" t="n"/>
      <c r="BP68" s="236" t="n"/>
      <c r="BQ68" s="236" t="n"/>
      <c r="BR68" s="236" t="n"/>
      <c r="BS68" s="236" t="n"/>
      <c r="BT68" s="236" t="n"/>
      <c r="BU68" s="236" t="n"/>
      <c r="BV68" s="236" t="n"/>
      <c r="BW68" s="236" t="n"/>
      <c r="BX68" s="236" t="n"/>
      <c r="BY68" s="236" t="n"/>
      <c r="BZ68" s="236" t="n"/>
      <c r="CA68" s="236" t="n"/>
      <c r="CB68" s="236" t="n"/>
      <c r="CC68" s="236" t="n"/>
      <c r="CD68" s="236" t="n"/>
      <c r="CE68" s="236" t="n"/>
      <c r="CF68" s="236" t="n"/>
      <c r="CG68" s="236" t="n"/>
    </row>
    <row r="69" ht="23" customHeight="1">
      <c r="A69" s="1334" t="inlineStr">
        <is>
          <t xml:space="preserve"> Meals </t>
        </is>
      </c>
      <c r="B69" s="1335" t="n"/>
      <c r="C69" s="1336" t="n"/>
      <c r="D69" s="1336" t="n">
        <v>500</v>
      </c>
      <c r="E69" s="1337">
        <f>$D$69</f>
        <v/>
      </c>
      <c r="F69" s="1337">
        <f>$D$69</f>
        <v/>
      </c>
      <c r="G69" s="1337">
        <f>$D$69</f>
        <v/>
      </c>
      <c r="H69" s="1337">
        <f>$D$69</f>
        <v/>
      </c>
      <c r="I69" s="1337">
        <f>$D$69</f>
        <v/>
      </c>
      <c r="J69" s="1337">
        <f>$D$69</f>
        <v/>
      </c>
      <c r="K69" s="1337">
        <f>$D$69</f>
        <v/>
      </c>
      <c r="L69" s="1337">
        <f>$D$69</f>
        <v/>
      </c>
      <c r="M69" s="1337">
        <f>$D$69</f>
        <v/>
      </c>
      <c r="N69" s="1337">
        <f>$D$69</f>
        <v/>
      </c>
      <c r="O69" s="1337">
        <f>$D$69</f>
        <v/>
      </c>
      <c r="P69" s="1356">
        <f>SUM(D69:O69)</f>
        <v/>
      </c>
      <c r="Q69" s="248" t="n"/>
      <c r="R69" s="1336" t="n">
        <v>500</v>
      </c>
      <c r="S69" s="1337">
        <f>$R$69</f>
        <v/>
      </c>
      <c r="T69" s="1337">
        <f>$R$69</f>
        <v/>
      </c>
      <c r="U69" s="1337">
        <f>$R$69</f>
        <v/>
      </c>
      <c r="V69" s="1337">
        <f>$R$69</f>
        <v/>
      </c>
      <c r="W69" s="1337">
        <f>$R$69</f>
        <v/>
      </c>
      <c r="X69" s="1337">
        <f>$R$69</f>
        <v/>
      </c>
      <c r="Y69" s="1337">
        <f>$R$69</f>
        <v/>
      </c>
      <c r="Z69" s="1337">
        <f>$R$69</f>
        <v/>
      </c>
      <c r="AA69" s="1337">
        <f>$R$69</f>
        <v/>
      </c>
      <c r="AB69" s="1337">
        <f>$R$69</f>
        <v/>
      </c>
      <c r="AC69" s="1337">
        <f>$R$69</f>
        <v/>
      </c>
      <c r="AD69" s="1356">
        <f>SUM(R69:AC69)</f>
        <v/>
      </c>
      <c r="AE69" s="248" t="n"/>
      <c r="AF69" s="1336" t="n">
        <v>500</v>
      </c>
      <c r="AG69" s="1337">
        <f>$AF$69</f>
        <v/>
      </c>
      <c r="AH69" s="1337">
        <f>$AF$69</f>
        <v/>
      </c>
      <c r="AI69" s="1337">
        <f>$AF$69</f>
        <v/>
      </c>
      <c r="AJ69" s="1337">
        <f>$AF$69</f>
        <v/>
      </c>
      <c r="AK69" s="1337">
        <f>$AF$69</f>
        <v/>
      </c>
      <c r="AL69" s="1337">
        <f>$AF$69</f>
        <v/>
      </c>
      <c r="AM69" s="1337">
        <f>$AF$69</f>
        <v/>
      </c>
      <c r="AN69" s="1337">
        <f>$AF$69</f>
        <v/>
      </c>
      <c r="AO69" s="1337">
        <f>$AF$69</f>
        <v/>
      </c>
      <c r="AP69" s="1337">
        <f>$AF$69</f>
        <v/>
      </c>
      <c r="AQ69" s="1337" t="n">
        <v>500</v>
      </c>
      <c r="AR69" s="1356">
        <f>SUM(AF69:AQ69)</f>
        <v/>
      </c>
      <c r="AS69" s="236" t="n"/>
      <c r="AT69" s="1336" t="n">
        <v>500</v>
      </c>
      <c r="AU69" s="1337">
        <f>$AT$69</f>
        <v/>
      </c>
      <c r="AV69" s="1337">
        <f>$AT$69</f>
        <v/>
      </c>
      <c r="AW69" s="1337">
        <f>$AT$69</f>
        <v/>
      </c>
      <c r="AX69" s="1337">
        <f>$AT$69</f>
        <v/>
      </c>
      <c r="AY69" s="1337">
        <f>$AT$69</f>
        <v/>
      </c>
      <c r="AZ69" s="1337">
        <f>$AT$69</f>
        <v/>
      </c>
      <c r="BA69" s="1337">
        <f>$AT$69</f>
        <v/>
      </c>
      <c r="BB69" s="1337">
        <f>$AT$69</f>
        <v/>
      </c>
      <c r="BC69" s="1337">
        <f>$AT$69</f>
        <v/>
      </c>
      <c r="BD69" s="1337">
        <f>$AT$69</f>
        <v/>
      </c>
      <c r="BE69" s="1337">
        <f>$AT$69</f>
        <v/>
      </c>
      <c r="BF69" s="1356">
        <f>SUM(AT69:BE69)</f>
        <v/>
      </c>
      <c r="BG69" s="236" t="n"/>
      <c r="BH69" s="236" t="n"/>
      <c r="BI69" s="236" t="n"/>
      <c r="BJ69" s="236" t="n"/>
      <c r="BK69" s="236" t="n"/>
      <c r="BL69" s="236" t="n"/>
      <c r="BM69" s="236" t="n"/>
      <c r="BN69" s="236" t="n"/>
      <c r="BO69" s="236" t="n"/>
      <c r="BP69" s="236" t="n"/>
      <c r="BQ69" s="236" t="n"/>
      <c r="BR69" s="236" t="n"/>
      <c r="BS69" s="236" t="n"/>
      <c r="BT69" s="236" t="n"/>
      <c r="BU69" s="236" t="n"/>
      <c r="BV69" s="236" t="n"/>
      <c r="BW69" s="236" t="n"/>
      <c r="BX69" s="236" t="n"/>
      <c r="BY69" s="236" t="n"/>
      <c r="BZ69" s="236" t="n"/>
      <c r="CA69" s="236" t="n"/>
      <c r="CB69" s="236" t="n"/>
      <c r="CC69" s="236" t="n"/>
      <c r="CD69" s="236" t="n"/>
      <c r="CE69" s="236" t="n"/>
      <c r="CF69" s="236" t="n"/>
      <c r="CG69" s="236" t="n"/>
    </row>
    <row r="70" ht="23" customHeight="1">
      <c r="A70" s="1334" t="inlineStr">
        <is>
          <t xml:space="preserve"> Entertainment </t>
        </is>
      </c>
      <c r="B70" s="1335" t="n"/>
      <c r="C70" s="1336" t="n"/>
      <c r="D70" s="1336" t="n">
        <v>500</v>
      </c>
      <c r="E70" s="1336">
        <f>$D$70</f>
        <v/>
      </c>
      <c r="F70" s="1336">
        <f>$D$70</f>
        <v/>
      </c>
      <c r="G70" s="1336">
        <f>$D$70</f>
        <v/>
      </c>
      <c r="H70" s="1336">
        <f>$D$70</f>
        <v/>
      </c>
      <c r="I70" s="1336">
        <f>$D$70</f>
        <v/>
      </c>
      <c r="J70" s="1336">
        <f>$D$70</f>
        <v/>
      </c>
      <c r="K70" s="1336">
        <f>$D$70</f>
        <v/>
      </c>
      <c r="L70" s="1336">
        <f>$D$70</f>
        <v/>
      </c>
      <c r="M70" s="1336">
        <f>$D$70</f>
        <v/>
      </c>
      <c r="N70" s="1336">
        <f>$D$70</f>
        <v/>
      </c>
      <c r="O70" s="1336">
        <f>$D$70</f>
        <v/>
      </c>
      <c r="P70" s="1356">
        <f>SUM(D70:O70)</f>
        <v/>
      </c>
      <c r="Q70" s="248" t="n"/>
      <c r="R70" s="1336" t="n">
        <v>1000</v>
      </c>
      <c r="S70" s="1337">
        <f>$R$70</f>
        <v/>
      </c>
      <c r="T70" s="1337">
        <f>$R$70</f>
        <v/>
      </c>
      <c r="U70" s="1337">
        <f>$R$70</f>
        <v/>
      </c>
      <c r="V70" s="1337">
        <f>$R$70</f>
        <v/>
      </c>
      <c r="W70" s="1337">
        <f>$R$70</f>
        <v/>
      </c>
      <c r="X70" s="1337">
        <f>$R$70</f>
        <v/>
      </c>
      <c r="Y70" s="1337">
        <f>$R$70</f>
        <v/>
      </c>
      <c r="Z70" s="1337">
        <f>$R$70</f>
        <v/>
      </c>
      <c r="AA70" s="1337">
        <f>$R$70</f>
        <v/>
      </c>
      <c r="AB70" s="1337">
        <f>$R$70</f>
        <v/>
      </c>
      <c r="AC70" s="1337">
        <f>$R$70</f>
        <v/>
      </c>
      <c r="AD70" s="1356">
        <f>SUM(R70:AC70)</f>
        <v/>
      </c>
      <c r="AE70" s="248" t="n"/>
      <c r="AF70" s="1336" t="n">
        <v>1000</v>
      </c>
      <c r="AG70" s="1337">
        <f>$AF$70</f>
        <v/>
      </c>
      <c r="AH70" s="1337">
        <f>$AF$70</f>
        <v/>
      </c>
      <c r="AI70" s="1337">
        <f>$AF$70</f>
        <v/>
      </c>
      <c r="AJ70" s="1337">
        <f>$AF$70</f>
        <v/>
      </c>
      <c r="AK70" s="1337">
        <f>$AF$70</f>
        <v/>
      </c>
      <c r="AL70" s="1337">
        <f>$AF$70</f>
        <v/>
      </c>
      <c r="AM70" s="1337">
        <f>$AF$70</f>
        <v/>
      </c>
      <c r="AN70" s="1337">
        <f>$AF$70</f>
        <v/>
      </c>
      <c r="AO70" s="1337">
        <f>$AF$70</f>
        <v/>
      </c>
      <c r="AP70" s="1337">
        <f>$AF$70</f>
        <v/>
      </c>
      <c r="AQ70" s="1336" t="n">
        <v>500</v>
      </c>
      <c r="AR70" s="1356">
        <f>SUM(AF70:AQ70)</f>
        <v/>
      </c>
      <c r="AS70" s="236" t="n"/>
      <c r="AT70" s="1336" t="n">
        <v>4000</v>
      </c>
      <c r="AU70" s="1336">
        <f>$AT$70</f>
        <v/>
      </c>
      <c r="AV70" s="1336">
        <f>$AT$70</f>
        <v/>
      </c>
      <c r="AW70" s="1336">
        <f>$AT$70</f>
        <v/>
      </c>
      <c r="AX70" s="1336">
        <f>$AT$70</f>
        <v/>
      </c>
      <c r="AY70" s="1336">
        <f>$AT$70</f>
        <v/>
      </c>
      <c r="AZ70" s="1336">
        <f>$AT$70</f>
        <v/>
      </c>
      <c r="BA70" s="1336">
        <f>$AT$70</f>
        <v/>
      </c>
      <c r="BB70" s="1336">
        <f>$AT$70</f>
        <v/>
      </c>
      <c r="BC70" s="1336">
        <f>$AT$70</f>
        <v/>
      </c>
      <c r="BD70" s="1336">
        <f>$AT$70</f>
        <v/>
      </c>
      <c r="BE70" s="1336">
        <f>$AT$70</f>
        <v/>
      </c>
      <c r="BF70" s="1356">
        <f>SUM(AT70:BE70)</f>
        <v/>
      </c>
      <c r="BG70" s="236" t="n"/>
      <c r="BH70" s="236" t="n"/>
      <c r="BI70" s="236" t="n"/>
      <c r="BJ70" s="236" t="n"/>
      <c r="BK70" s="236" t="n"/>
      <c r="BL70" s="236" t="n"/>
      <c r="BM70" s="236" t="n"/>
      <c r="BN70" s="236" t="n"/>
      <c r="BO70" s="236" t="n"/>
      <c r="BP70" s="236" t="n"/>
      <c r="BQ70" s="236" t="n"/>
      <c r="BR70" s="236" t="n"/>
      <c r="BS70" s="236" t="n"/>
      <c r="BT70" s="236" t="n"/>
      <c r="BU70" s="236" t="n"/>
      <c r="BV70" s="236" t="n"/>
      <c r="BW70" s="236" t="n"/>
      <c r="BX70" s="236" t="n"/>
      <c r="BY70" s="236" t="n"/>
      <c r="BZ70" s="236" t="n"/>
      <c r="CA70" s="236" t="n"/>
      <c r="CB70" s="236" t="n"/>
      <c r="CC70" s="236" t="n"/>
      <c r="CD70" s="236" t="n"/>
      <c r="CE70" s="236" t="n"/>
      <c r="CF70" s="236" t="n"/>
      <c r="CG70" s="236" t="n"/>
    </row>
    <row r="71" ht="23" customHeight="1">
      <c r="A71" s="1353" t="inlineStr">
        <is>
          <t xml:space="preserve">   </t>
        </is>
      </c>
      <c r="B71" s="1335" t="n"/>
      <c r="C71" s="1336" t="n"/>
      <c r="D71" s="1336" t="inlineStr">
        <is>
          <t xml:space="preserve">                   -   </t>
        </is>
      </c>
      <c r="E71" s="1337" t="inlineStr">
        <is>
          <t xml:space="preserve">                   -   </t>
        </is>
      </c>
      <c r="F71" s="1337" t="inlineStr">
        <is>
          <t xml:space="preserve">                   -   </t>
        </is>
      </c>
      <c r="G71" s="1337" t="inlineStr">
        <is>
          <t xml:space="preserve">                   -   </t>
        </is>
      </c>
      <c r="H71" s="1337" t="inlineStr">
        <is>
          <t xml:space="preserve">                   -   </t>
        </is>
      </c>
      <c r="I71" s="1337" t="inlineStr">
        <is>
          <t xml:space="preserve">                   -   </t>
        </is>
      </c>
      <c r="J71" s="1337" t="inlineStr">
        <is>
          <t xml:space="preserve">                   -   </t>
        </is>
      </c>
      <c r="K71" s="1337" t="inlineStr">
        <is>
          <t xml:space="preserve">                   -   </t>
        </is>
      </c>
      <c r="L71" s="1337" t="inlineStr">
        <is>
          <t xml:space="preserve">                   -   </t>
        </is>
      </c>
      <c r="M71" s="1337" t="inlineStr">
        <is>
          <t xml:space="preserve">                   -   </t>
        </is>
      </c>
      <c r="N71" s="1337" t="inlineStr">
        <is>
          <t xml:space="preserve">                   -   </t>
        </is>
      </c>
      <c r="O71" s="1337" t="inlineStr">
        <is>
          <t xml:space="preserve">                   -   </t>
        </is>
      </c>
      <c r="P71" s="1338" t="inlineStr">
        <is>
          <t xml:space="preserve">                   -   </t>
        </is>
      </c>
      <c r="Q71" s="248" t="n"/>
      <c r="R71" s="1336" t="inlineStr">
        <is>
          <t xml:space="preserve">                   -   </t>
        </is>
      </c>
      <c r="S71" s="1337" t="inlineStr">
        <is>
          <t xml:space="preserve">                   -   </t>
        </is>
      </c>
      <c r="T71" s="1337" t="inlineStr">
        <is>
          <t xml:space="preserve">                   -   </t>
        </is>
      </c>
      <c r="U71" s="1337" t="inlineStr">
        <is>
          <t xml:space="preserve">                   -   </t>
        </is>
      </c>
      <c r="V71" s="1337" t="inlineStr">
        <is>
          <t xml:space="preserve">                   -   </t>
        </is>
      </c>
      <c r="W71" s="1337" t="inlineStr">
        <is>
          <t xml:space="preserve">                   -   </t>
        </is>
      </c>
      <c r="X71" s="1337" t="inlineStr">
        <is>
          <t xml:space="preserve">                   -   </t>
        </is>
      </c>
      <c r="Y71" s="1337" t="inlineStr">
        <is>
          <t xml:space="preserve">                   -   </t>
        </is>
      </c>
      <c r="Z71" s="1337" t="inlineStr">
        <is>
          <t xml:space="preserve">                   -   </t>
        </is>
      </c>
      <c r="AA71" s="1337" t="inlineStr">
        <is>
          <t xml:space="preserve">                   -   </t>
        </is>
      </c>
      <c r="AB71" s="1337" t="inlineStr">
        <is>
          <t xml:space="preserve">                   -   </t>
        </is>
      </c>
      <c r="AC71" s="1337" t="inlineStr">
        <is>
          <t xml:space="preserve">                   -   </t>
        </is>
      </c>
      <c r="AD71" s="1338" t="inlineStr">
        <is>
          <t xml:space="preserve">                        -   </t>
        </is>
      </c>
      <c r="AE71" s="248" t="n"/>
      <c r="AF71" s="1336" t="inlineStr">
        <is>
          <t xml:space="preserve">                   -   </t>
        </is>
      </c>
      <c r="AG71" s="1337" t="inlineStr">
        <is>
          <t xml:space="preserve">                   -   </t>
        </is>
      </c>
      <c r="AH71" s="1337" t="inlineStr">
        <is>
          <t xml:space="preserve">                   -   </t>
        </is>
      </c>
      <c r="AI71" s="1337" t="inlineStr">
        <is>
          <t xml:space="preserve">                   -   </t>
        </is>
      </c>
      <c r="AJ71" s="1337" t="inlineStr">
        <is>
          <t xml:space="preserve">                   -   </t>
        </is>
      </c>
      <c r="AK71" s="1337" t="inlineStr">
        <is>
          <t xml:space="preserve">                   -   </t>
        </is>
      </c>
      <c r="AL71" s="1337" t="inlineStr">
        <is>
          <t xml:space="preserve">                   -   </t>
        </is>
      </c>
      <c r="AM71" s="1337" t="inlineStr">
        <is>
          <t xml:space="preserve">                   -   </t>
        </is>
      </c>
      <c r="AN71" s="1337" t="inlineStr">
        <is>
          <t xml:space="preserve">                   -   </t>
        </is>
      </c>
      <c r="AO71" s="1337" t="inlineStr">
        <is>
          <t xml:space="preserve">                   -   </t>
        </is>
      </c>
      <c r="AP71" s="1337" t="inlineStr">
        <is>
          <t xml:space="preserve">                   -   </t>
        </is>
      </c>
      <c r="AQ71" s="1337" t="inlineStr">
        <is>
          <t xml:space="preserve">                   -   </t>
        </is>
      </c>
      <c r="AR71" s="1338" t="inlineStr">
        <is>
          <t xml:space="preserve">                   -   </t>
        </is>
      </c>
      <c r="AS71" s="236" t="n"/>
      <c r="AT71" s="1336" t="inlineStr">
        <is>
          <t xml:space="preserve">                   -   </t>
        </is>
      </c>
      <c r="AU71" s="1337" t="inlineStr">
        <is>
          <t xml:space="preserve">                   -   </t>
        </is>
      </c>
      <c r="AV71" s="1337" t="inlineStr">
        <is>
          <t xml:space="preserve">                   -   </t>
        </is>
      </c>
      <c r="AW71" s="1337" t="inlineStr">
        <is>
          <t xml:space="preserve">                   -   </t>
        </is>
      </c>
      <c r="AX71" s="1337" t="inlineStr">
        <is>
          <t xml:space="preserve">                   -   </t>
        </is>
      </c>
      <c r="AY71" s="1337" t="inlineStr">
        <is>
          <t xml:space="preserve">                   -   </t>
        </is>
      </c>
      <c r="AZ71" s="1337" t="inlineStr">
        <is>
          <t xml:space="preserve">                   -   </t>
        </is>
      </c>
      <c r="BA71" s="1337" t="inlineStr">
        <is>
          <t xml:space="preserve">                   -   </t>
        </is>
      </c>
      <c r="BB71" s="1337" t="inlineStr">
        <is>
          <t xml:space="preserve">                   -   </t>
        </is>
      </c>
      <c r="BC71" s="1337" t="inlineStr">
        <is>
          <t xml:space="preserve">                   -   </t>
        </is>
      </c>
      <c r="BD71" s="1337" t="inlineStr">
        <is>
          <t xml:space="preserve">                   -   </t>
        </is>
      </c>
      <c r="BE71" s="1337" t="inlineStr">
        <is>
          <t xml:space="preserve">                   -   </t>
        </is>
      </c>
      <c r="BF71" s="1338">
        <f>SUM(AT71:BE71)</f>
        <v/>
      </c>
      <c r="BG71" s="236" t="n"/>
      <c r="BH71" s="236" t="n"/>
      <c r="BI71" s="236" t="n"/>
      <c r="BJ71" s="236" t="n"/>
      <c r="BK71" s="236" t="n"/>
      <c r="BL71" s="236" t="n"/>
      <c r="BM71" s="236" t="n"/>
      <c r="BN71" s="236" t="n"/>
      <c r="BO71" s="236" t="n"/>
      <c r="BP71" s="236" t="n"/>
      <c r="BQ71" s="236" t="n"/>
      <c r="BR71" s="236" t="n"/>
      <c r="BS71" s="236" t="n"/>
      <c r="BT71" s="236" t="n"/>
      <c r="BU71" s="236" t="n"/>
      <c r="BV71" s="236" t="n"/>
      <c r="BW71" s="236" t="n"/>
      <c r="BX71" s="236" t="n"/>
      <c r="BY71" s="236" t="n"/>
      <c r="BZ71" s="236" t="n"/>
      <c r="CA71" s="236" t="n"/>
      <c r="CB71" s="236" t="n"/>
      <c r="CC71" s="236" t="n"/>
      <c r="CD71" s="236" t="n"/>
      <c r="CE71" s="236" t="n"/>
      <c r="CF71" s="236" t="n"/>
      <c r="CG71" s="236" t="n"/>
    </row>
    <row r="72" ht="22" customHeight="1">
      <c r="A72" s="1354" t="inlineStr">
        <is>
          <t xml:space="preserve">   </t>
        </is>
      </c>
      <c r="B72" s="1335" t="n"/>
      <c r="C72" s="1336" t="n"/>
      <c r="D72" s="1336" t="inlineStr">
        <is>
          <t xml:space="preserve">                   -   </t>
        </is>
      </c>
      <c r="E72" s="1337" t="inlineStr">
        <is>
          <t xml:space="preserve">                   -   </t>
        </is>
      </c>
      <c r="F72" s="1337" t="inlineStr">
        <is>
          <t xml:space="preserve">                   -   </t>
        </is>
      </c>
      <c r="G72" s="1337" t="inlineStr">
        <is>
          <t xml:space="preserve">                   -   </t>
        </is>
      </c>
      <c r="H72" s="1337" t="inlineStr">
        <is>
          <t xml:space="preserve">                   -   </t>
        </is>
      </c>
      <c r="I72" s="1337" t="inlineStr">
        <is>
          <t xml:space="preserve">                   -   </t>
        </is>
      </c>
      <c r="J72" s="1337" t="inlineStr">
        <is>
          <t xml:space="preserve">                   -   </t>
        </is>
      </c>
      <c r="K72" s="1337" t="inlineStr">
        <is>
          <t xml:space="preserve">                   -   </t>
        </is>
      </c>
      <c r="L72" s="1337" t="inlineStr">
        <is>
          <t xml:space="preserve">                   -   </t>
        </is>
      </c>
      <c r="M72" s="1337" t="inlineStr">
        <is>
          <t xml:space="preserve">                   -   </t>
        </is>
      </c>
      <c r="N72" s="1337" t="inlineStr">
        <is>
          <t xml:space="preserve">                   -   </t>
        </is>
      </c>
      <c r="O72" s="1337" t="inlineStr">
        <is>
          <t xml:space="preserve">                   -   </t>
        </is>
      </c>
      <c r="P72" s="1338" t="inlineStr">
        <is>
          <t xml:space="preserve">                   -   </t>
        </is>
      </c>
      <c r="Q72" s="248" t="n"/>
      <c r="R72" s="1336" t="inlineStr">
        <is>
          <t xml:space="preserve">                   -   </t>
        </is>
      </c>
      <c r="S72" s="1337" t="inlineStr">
        <is>
          <t xml:space="preserve">                   -   </t>
        </is>
      </c>
      <c r="T72" s="1337" t="inlineStr">
        <is>
          <t xml:space="preserve">                   -   </t>
        </is>
      </c>
      <c r="U72" s="1337" t="inlineStr">
        <is>
          <t xml:space="preserve">                   -   </t>
        </is>
      </c>
      <c r="V72" s="1337" t="inlineStr">
        <is>
          <t xml:space="preserve">                   -   </t>
        </is>
      </c>
      <c r="W72" s="1337" t="inlineStr">
        <is>
          <t xml:space="preserve">                   -   </t>
        </is>
      </c>
      <c r="X72" s="1337" t="inlineStr">
        <is>
          <t xml:space="preserve">                   -   </t>
        </is>
      </c>
      <c r="Y72" s="1337" t="inlineStr">
        <is>
          <t xml:space="preserve">                   -   </t>
        </is>
      </c>
      <c r="Z72" s="1337" t="inlineStr">
        <is>
          <t xml:space="preserve">                   -   </t>
        </is>
      </c>
      <c r="AA72" s="1337" t="inlineStr">
        <is>
          <t xml:space="preserve">                   -   </t>
        </is>
      </c>
      <c r="AB72" s="1337" t="inlineStr">
        <is>
          <t xml:space="preserve">                   -   </t>
        </is>
      </c>
      <c r="AC72" s="1337" t="inlineStr">
        <is>
          <t xml:space="preserve">                   -   </t>
        </is>
      </c>
      <c r="AD72" s="1338" t="inlineStr">
        <is>
          <t xml:space="preserve">                        -   </t>
        </is>
      </c>
      <c r="AE72" s="248" t="n"/>
      <c r="AF72" s="1336" t="inlineStr">
        <is>
          <t xml:space="preserve">                   -   </t>
        </is>
      </c>
      <c r="AG72" s="1337" t="inlineStr">
        <is>
          <t xml:space="preserve">                   -   </t>
        </is>
      </c>
      <c r="AH72" s="1337" t="inlineStr">
        <is>
          <t xml:space="preserve">                   -   </t>
        </is>
      </c>
      <c r="AI72" s="1337" t="inlineStr">
        <is>
          <t xml:space="preserve">                   -   </t>
        </is>
      </c>
      <c r="AJ72" s="1337" t="inlineStr">
        <is>
          <t xml:space="preserve">                   -   </t>
        </is>
      </c>
      <c r="AK72" s="1337" t="inlineStr">
        <is>
          <t xml:space="preserve">                   -   </t>
        </is>
      </c>
      <c r="AL72" s="1337" t="inlineStr">
        <is>
          <t xml:space="preserve">                   -   </t>
        </is>
      </c>
      <c r="AM72" s="1337" t="inlineStr">
        <is>
          <t xml:space="preserve">                   -   </t>
        </is>
      </c>
      <c r="AN72" s="1337" t="inlineStr">
        <is>
          <t xml:space="preserve">                   -   </t>
        </is>
      </c>
      <c r="AO72" s="1337" t="inlineStr">
        <is>
          <t xml:space="preserve">                   -   </t>
        </is>
      </c>
      <c r="AP72" s="1337" t="inlineStr">
        <is>
          <t xml:space="preserve">                   -   </t>
        </is>
      </c>
      <c r="AQ72" s="1337" t="inlineStr">
        <is>
          <t xml:space="preserve">                   -   </t>
        </is>
      </c>
      <c r="AR72" s="1338" t="inlineStr">
        <is>
          <t xml:space="preserve">                   -   </t>
        </is>
      </c>
      <c r="AS72" s="236" t="n"/>
      <c r="AT72" s="1336" t="inlineStr">
        <is>
          <t xml:space="preserve">                   -   </t>
        </is>
      </c>
      <c r="AU72" s="1337" t="inlineStr">
        <is>
          <t xml:space="preserve">                   -   </t>
        </is>
      </c>
      <c r="AV72" s="1337" t="inlineStr">
        <is>
          <t xml:space="preserve">                   -   </t>
        </is>
      </c>
      <c r="AW72" s="1337" t="inlineStr">
        <is>
          <t xml:space="preserve">                   -   </t>
        </is>
      </c>
      <c r="AX72" s="1337" t="inlineStr">
        <is>
          <t xml:space="preserve">                   -   </t>
        </is>
      </c>
      <c r="AY72" s="1337" t="inlineStr">
        <is>
          <t xml:space="preserve">                   -   </t>
        </is>
      </c>
      <c r="AZ72" s="1337" t="inlineStr">
        <is>
          <t xml:space="preserve">                   -   </t>
        </is>
      </c>
      <c r="BA72" s="1337" t="inlineStr">
        <is>
          <t xml:space="preserve">                   -   </t>
        </is>
      </c>
      <c r="BB72" s="1337" t="inlineStr">
        <is>
          <t xml:space="preserve">                   -   </t>
        </is>
      </c>
      <c r="BC72" s="1337" t="inlineStr">
        <is>
          <t xml:space="preserve">                   -   </t>
        </is>
      </c>
      <c r="BD72" s="1337" t="inlineStr">
        <is>
          <t xml:space="preserve">                   -   </t>
        </is>
      </c>
      <c r="BE72" s="1337" t="inlineStr">
        <is>
          <t xml:space="preserve">                   -   </t>
        </is>
      </c>
      <c r="BF72" s="1338">
        <f>SUM(AT72:BE72)</f>
        <v/>
      </c>
      <c r="BG72" s="236" t="n"/>
      <c r="BH72" s="236" t="n"/>
      <c r="BI72" s="236" t="n"/>
      <c r="BJ72" s="236" t="n"/>
      <c r="BK72" s="236" t="n"/>
      <c r="BL72" s="236" t="n"/>
      <c r="BM72" s="236" t="n"/>
      <c r="BN72" s="236" t="n"/>
      <c r="BO72" s="236" t="n"/>
      <c r="BP72" s="236" t="n"/>
      <c r="BQ72" s="236" t="n"/>
      <c r="BR72" s="236" t="n"/>
      <c r="BS72" s="236" t="n"/>
      <c r="BT72" s="236" t="n"/>
      <c r="BU72" s="236" t="n"/>
      <c r="BV72" s="236" t="n"/>
      <c r="BW72" s="236" t="n"/>
      <c r="BX72" s="236" t="n"/>
      <c r="BY72" s="236" t="n"/>
      <c r="BZ72" s="236" t="n"/>
      <c r="CA72" s="236" t="n"/>
      <c r="CB72" s="236" t="n"/>
      <c r="CC72" s="236" t="n"/>
      <c r="CD72" s="236" t="n"/>
      <c r="CE72" s="236" t="n"/>
      <c r="CF72" s="236" t="n"/>
      <c r="CG72" s="236" t="n"/>
    </row>
    <row r="73" ht="22" customHeight="1">
      <c r="A73" s="1358" t="inlineStr">
        <is>
          <t xml:space="preserve"> Legal and Professional Services </t>
        </is>
      </c>
      <c r="B73" s="1335" t="n"/>
      <c r="C73" s="1336" t="n"/>
      <c r="D73" s="1336" t="inlineStr">
        <is>
          <t xml:space="preserve">                   -   </t>
        </is>
      </c>
      <c r="E73" s="1337" t="inlineStr">
        <is>
          <t xml:space="preserve">                   -   </t>
        </is>
      </c>
      <c r="F73" s="1337" t="inlineStr">
        <is>
          <t xml:space="preserve">                   -   </t>
        </is>
      </c>
      <c r="G73" s="1337" t="inlineStr">
        <is>
          <t xml:space="preserve">                   -   </t>
        </is>
      </c>
      <c r="H73" s="1337" t="inlineStr">
        <is>
          <t xml:space="preserve">                   -   </t>
        </is>
      </c>
      <c r="I73" s="1337" t="inlineStr">
        <is>
          <t xml:space="preserve">                   -   </t>
        </is>
      </c>
      <c r="J73" s="1337" t="inlineStr">
        <is>
          <t xml:space="preserve">                   -   </t>
        </is>
      </c>
      <c r="K73" s="1337" t="inlineStr">
        <is>
          <t xml:space="preserve">                   -   </t>
        </is>
      </c>
      <c r="L73" s="1337" t="inlineStr">
        <is>
          <t xml:space="preserve">                   -   </t>
        </is>
      </c>
      <c r="M73" s="1337" t="inlineStr">
        <is>
          <t xml:space="preserve">                   -   </t>
        </is>
      </c>
      <c r="N73" s="1337" t="inlineStr">
        <is>
          <t xml:space="preserve">                   -   </t>
        </is>
      </c>
      <c r="O73" s="1337" t="inlineStr">
        <is>
          <t xml:space="preserve">                   -   </t>
        </is>
      </c>
      <c r="P73" s="1338" t="inlineStr">
        <is>
          <t xml:space="preserve">                   -   </t>
        </is>
      </c>
      <c r="Q73" s="248" t="n"/>
      <c r="R73" s="1336" t="inlineStr">
        <is>
          <t xml:space="preserve">                   -   </t>
        </is>
      </c>
      <c r="S73" s="1337" t="inlineStr">
        <is>
          <t xml:space="preserve">                   -   </t>
        </is>
      </c>
      <c r="T73" s="1337" t="inlineStr">
        <is>
          <t xml:space="preserve">                   -   </t>
        </is>
      </c>
      <c r="U73" s="1337" t="inlineStr">
        <is>
          <t xml:space="preserve">                   -   </t>
        </is>
      </c>
      <c r="V73" s="1337" t="inlineStr">
        <is>
          <t xml:space="preserve">                   -   </t>
        </is>
      </c>
      <c r="W73" s="1337" t="inlineStr">
        <is>
          <t xml:space="preserve">                   -   </t>
        </is>
      </c>
      <c r="X73" s="1337" t="inlineStr">
        <is>
          <t xml:space="preserve">                   -   </t>
        </is>
      </c>
      <c r="Y73" s="1337" t="inlineStr">
        <is>
          <t xml:space="preserve">                   -   </t>
        </is>
      </c>
      <c r="Z73" s="1337" t="inlineStr">
        <is>
          <t xml:space="preserve">                   -   </t>
        </is>
      </c>
      <c r="AA73" s="1337" t="inlineStr">
        <is>
          <t xml:space="preserve">                   -   </t>
        </is>
      </c>
      <c r="AB73" s="1337" t="inlineStr">
        <is>
          <t xml:space="preserve">                   -   </t>
        </is>
      </c>
      <c r="AC73" s="1337" t="inlineStr">
        <is>
          <t xml:space="preserve">                   -   </t>
        </is>
      </c>
      <c r="AD73" s="1338" t="inlineStr">
        <is>
          <t xml:space="preserve">                        -   </t>
        </is>
      </c>
      <c r="AE73" s="248" t="n"/>
      <c r="AF73" s="1336" t="inlineStr">
        <is>
          <t xml:space="preserve">                   -   </t>
        </is>
      </c>
      <c r="AG73" s="1337" t="inlineStr">
        <is>
          <t xml:space="preserve">                   -   </t>
        </is>
      </c>
      <c r="AH73" s="1337" t="inlineStr">
        <is>
          <t xml:space="preserve">                   -   </t>
        </is>
      </c>
      <c r="AI73" s="1337" t="inlineStr">
        <is>
          <t xml:space="preserve">                   -   </t>
        </is>
      </c>
      <c r="AJ73" s="1337" t="inlineStr">
        <is>
          <t xml:space="preserve">                   -   </t>
        </is>
      </c>
      <c r="AK73" s="1337" t="inlineStr">
        <is>
          <t xml:space="preserve">                   -   </t>
        </is>
      </c>
      <c r="AL73" s="1337" t="inlineStr">
        <is>
          <t xml:space="preserve">                   -   </t>
        </is>
      </c>
      <c r="AM73" s="1337" t="inlineStr">
        <is>
          <t xml:space="preserve">                   -   </t>
        </is>
      </c>
      <c r="AN73" s="1337" t="inlineStr">
        <is>
          <t xml:space="preserve">                   -   </t>
        </is>
      </c>
      <c r="AO73" s="1337" t="inlineStr">
        <is>
          <t xml:space="preserve">                   -   </t>
        </is>
      </c>
      <c r="AP73" s="1337" t="inlineStr">
        <is>
          <t xml:space="preserve">                   -   </t>
        </is>
      </c>
      <c r="AQ73" s="1337" t="inlineStr">
        <is>
          <t xml:space="preserve">                   -   </t>
        </is>
      </c>
      <c r="AR73" s="1338" t="inlineStr">
        <is>
          <t xml:space="preserve">                   -   </t>
        </is>
      </c>
      <c r="AS73" s="236" t="n"/>
      <c r="AT73" s="1336" t="inlineStr">
        <is>
          <t xml:space="preserve">                   -   </t>
        </is>
      </c>
      <c r="AU73" s="1337" t="inlineStr">
        <is>
          <t xml:space="preserve">                   -   </t>
        </is>
      </c>
      <c r="AV73" s="1337" t="inlineStr">
        <is>
          <t xml:space="preserve">                   -   </t>
        </is>
      </c>
      <c r="AW73" s="1337" t="inlineStr">
        <is>
          <t xml:space="preserve">                   -   </t>
        </is>
      </c>
      <c r="AX73" s="1337" t="inlineStr">
        <is>
          <t xml:space="preserve">                   -   </t>
        </is>
      </c>
      <c r="AY73" s="1337" t="inlineStr">
        <is>
          <t xml:space="preserve">                   -   </t>
        </is>
      </c>
      <c r="AZ73" s="1337" t="inlineStr">
        <is>
          <t xml:space="preserve">                   -   </t>
        </is>
      </c>
      <c r="BA73" s="1337" t="inlineStr">
        <is>
          <t xml:space="preserve">                   -   </t>
        </is>
      </c>
      <c r="BB73" s="1337" t="inlineStr">
        <is>
          <t xml:space="preserve">                   -   </t>
        </is>
      </c>
      <c r="BC73" s="1337" t="inlineStr">
        <is>
          <t xml:space="preserve">                   -   </t>
        </is>
      </c>
      <c r="BD73" s="1337" t="inlineStr">
        <is>
          <t xml:space="preserve">                   -   </t>
        </is>
      </c>
      <c r="BE73" s="1337" t="inlineStr">
        <is>
          <t xml:space="preserve">                   -   </t>
        </is>
      </c>
      <c r="BF73" s="1338">
        <f>SUM(AT73:BE73)</f>
        <v/>
      </c>
    </row>
    <row r="74" ht="12.75" customHeight="1">
      <c r="A74" s="1359" t="inlineStr">
        <is>
          <t xml:space="preserve"> Legal   </t>
        </is>
      </c>
      <c r="B74" s="1335" t="n"/>
      <c r="C74" s="1336" t="n"/>
      <c r="D74" s="1336" t="n"/>
      <c r="E74" s="1337" t="n"/>
      <c r="F74" s="1337" t="n"/>
      <c r="G74" s="1337" t="n"/>
      <c r="H74" s="1337" t="n"/>
      <c r="I74" s="1337" t="n"/>
      <c r="J74" s="1337" t="n"/>
      <c r="K74" s="1337" t="n"/>
      <c r="L74" s="1337" t="n"/>
      <c r="M74" s="1337" t="n"/>
      <c r="N74" s="1337" t="n"/>
      <c r="O74" s="1337" t="n"/>
      <c r="P74" s="1338" t="inlineStr">
        <is>
          <t xml:space="preserve">                   -   </t>
        </is>
      </c>
      <c r="Q74" s="248" t="n"/>
      <c r="R74" s="1336" t="n"/>
      <c r="S74" s="1337" t="n"/>
      <c r="T74" s="1337" t="n"/>
      <c r="U74" s="1337" t="n"/>
      <c r="V74" s="1337" t="n"/>
      <c r="W74" s="1337" t="n"/>
      <c r="X74" s="1337" t="n"/>
      <c r="Y74" s="1337" t="n"/>
      <c r="Z74" s="1337" t="n"/>
      <c r="AA74" s="1337" t="n"/>
      <c r="AB74" s="1337" t="n"/>
      <c r="AC74" s="1337" t="n"/>
      <c r="AD74" s="1338" t="inlineStr">
        <is>
          <t xml:space="preserve">                        -   </t>
        </is>
      </c>
      <c r="AE74" s="248" t="n"/>
      <c r="AF74" s="1336" t="n"/>
      <c r="AG74" s="1337" t="n"/>
      <c r="AH74" s="1337" t="n"/>
      <c r="AI74" s="1337" t="n"/>
      <c r="AJ74" s="1337" t="n"/>
      <c r="AK74" s="1337" t="n"/>
      <c r="AL74" s="1337" t="n"/>
      <c r="AM74" s="1337" t="n"/>
      <c r="AN74" s="1337" t="n"/>
      <c r="AO74" s="1337" t="n"/>
      <c r="AP74" s="1337" t="n"/>
      <c r="AQ74" s="1337" t="n"/>
      <c r="AR74" s="1338" t="inlineStr">
        <is>
          <t xml:space="preserve">                   -   </t>
        </is>
      </c>
      <c r="AS74" s="236" t="n"/>
      <c r="AT74" s="1336" t="n"/>
      <c r="AU74" s="1337" t="n"/>
      <c r="AV74" s="1337" t="n"/>
      <c r="AW74" s="1337" t="n"/>
      <c r="AX74" s="1337" t="n"/>
      <c r="AY74" s="1337" t="n"/>
      <c r="AZ74" s="1337" t="n"/>
      <c r="BA74" s="1337" t="n"/>
      <c r="BB74" s="1337" t="n"/>
      <c r="BC74" s="1337" t="n"/>
      <c r="BD74" s="1337" t="n"/>
      <c r="BE74" s="1337" t="n"/>
      <c r="BF74" s="1338">
        <f>SUM(AT74:BE74)</f>
        <v/>
      </c>
    </row>
    <row r="75" ht="21" customHeight="1">
      <c r="A75" s="1357" t="inlineStr">
        <is>
          <t xml:space="preserve"> Contract / Agreements </t>
        </is>
      </c>
      <c r="B75" s="1335" t="n"/>
      <c r="C75" s="1336" t="n"/>
      <c r="D75" s="1336" t="n">
        <v>1000</v>
      </c>
      <c r="E75" s="1337" t="inlineStr">
        <is>
          <t xml:space="preserve">                   -   </t>
        </is>
      </c>
      <c r="F75" s="1337" t="inlineStr">
        <is>
          <t xml:space="preserve">                   -   </t>
        </is>
      </c>
      <c r="G75" s="1337" t="inlineStr">
        <is>
          <t xml:space="preserve">                   -   </t>
        </is>
      </c>
      <c r="H75" s="1337" t="inlineStr">
        <is>
          <t xml:space="preserve">                   -   </t>
        </is>
      </c>
      <c r="I75" s="1337" t="inlineStr">
        <is>
          <t xml:space="preserve">                   -   </t>
        </is>
      </c>
      <c r="J75" s="1337" t="inlineStr">
        <is>
          <t xml:space="preserve">                   -   </t>
        </is>
      </c>
      <c r="K75" s="1337" t="inlineStr">
        <is>
          <t xml:space="preserve">                   -   </t>
        </is>
      </c>
      <c r="L75" s="1337" t="inlineStr">
        <is>
          <t xml:space="preserve">                   -   </t>
        </is>
      </c>
      <c r="M75" s="1337" t="inlineStr">
        <is>
          <t xml:space="preserve">                   -   </t>
        </is>
      </c>
      <c r="N75" s="1337" t="inlineStr">
        <is>
          <t xml:space="preserve">                   -   </t>
        </is>
      </c>
      <c r="O75" s="1337" t="inlineStr">
        <is>
          <t xml:space="preserve">                   -   </t>
        </is>
      </c>
      <c r="P75" s="1338">
        <f>SUM(D75:O75)</f>
        <v/>
      </c>
      <c r="Q75" s="248" t="n"/>
      <c r="R75" s="1336" t="n">
        <v>2000</v>
      </c>
      <c r="S75" s="1337" t="inlineStr">
        <is>
          <t xml:space="preserve">                   -   </t>
        </is>
      </c>
      <c r="T75" s="1337" t="inlineStr">
        <is>
          <t xml:space="preserve">                   -   </t>
        </is>
      </c>
      <c r="U75" s="1337" t="inlineStr">
        <is>
          <t xml:space="preserve">                   -   </t>
        </is>
      </c>
      <c r="V75" s="1337" t="inlineStr">
        <is>
          <t xml:space="preserve">                   -   </t>
        </is>
      </c>
      <c r="W75" s="1337" t="inlineStr">
        <is>
          <t xml:space="preserve">                   -   </t>
        </is>
      </c>
      <c r="X75" s="1337" t="inlineStr">
        <is>
          <t xml:space="preserve">                   -   </t>
        </is>
      </c>
      <c r="Y75" s="1337" t="inlineStr">
        <is>
          <t xml:space="preserve">                   -   </t>
        </is>
      </c>
      <c r="Z75" s="1337" t="inlineStr">
        <is>
          <t xml:space="preserve">                   -   </t>
        </is>
      </c>
      <c r="AA75" s="1337" t="inlineStr">
        <is>
          <t xml:space="preserve">                   -   </t>
        </is>
      </c>
      <c r="AB75" s="1337" t="inlineStr">
        <is>
          <t xml:space="preserve">                   -   </t>
        </is>
      </c>
      <c r="AC75" s="1337" t="inlineStr">
        <is>
          <t xml:space="preserve">                   -   </t>
        </is>
      </c>
      <c r="AD75" s="1338">
        <f>SUM(R75:AC75)</f>
        <v/>
      </c>
      <c r="AE75" s="248" t="n"/>
      <c r="AF75" s="1336" t="n">
        <v>2000</v>
      </c>
      <c r="AG75" s="1337" t="inlineStr">
        <is>
          <t xml:space="preserve">                   -   </t>
        </is>
      </c>
      <c r="AH75" s="1337" t="inlineStr">
        <is>
          <t xml:space="preserve">                   -   </t>
        </is>
      </c>
      <c r="AI75" s="1337" t="inlineStr">
        <is>
          <t xml:space="preserve">                   -   </t>
        </is>
      </c>
      <c r="AJ75" s="1337" t="inlineStr">
        <is>
          <t xml:space="preserve">                   -   </t>
        </is>
      </c>
      <c r="AK75" s="1337" t="inlineStr">
        <is>
          <t xml:space="preserve">                   -   </t>
        </is>
      </c>
      <c r="AL75" s="1337" t="inlineStr">
        <is>
          <t xml:space="preserve">                   -   </t>
        </is>
      </c>
      <c r="AM75" s="1337" t="inlineStr">
        <is>
          <t xml:space="preserve">                   -   </t>
        </is>
      </c>
      <c r="AN75" s="1337" t="inlineStr">
        <is>
          <t xml:space="preserve">                   -   </t>
        </is>
      </c>
      <c r="AO75" s="1337" t="inlineStr">
        <is>
          <t xml:space="preserve">                   -   </t>
        </is>
      </c>
      <c r="AP75" s="1337" t="inlineStr">
        <is>
          <t xml:space="preserve">                   -   </t>
        </is>
      </c>
      <c r="AQ75" s="1337" t="inlineStr">
        <is>
          <t xml:space="preserve">                   -   </t>
        </is>
      </c>
      <c r="AR75" s="1338">
        <f>SUM(AF75:AQ75)</f>
        <v/>
      </c>
      <c r="AS75" s="236" t="n"/>
      <c r="AT75" s="1336" t="n">
        <v>2000</v>
      </c>
      <c r="AU75" s="1337" t="inlineStr">
        <is>
          <t xml:space="preserve">                   -   </t>
        </is>
      </c>
      <c r="AV75" s="1337" t="inlineStr">
        <is>
          <t xml:space="preserve">                   -   </t>
        </is>
      </c>
      <c r="AW75" s="1337" t="inlineStr">
        <is>
          <t xml:space="preserve">                   -   </t>
        </is>
      </c>
      <c r="AX75" s="1337" t="inlineStr">
        <is>
          <t xml:space="preserve">                   -   </t>
        </is>
      </c>
      <c r="AY75" s="1337" t="inlineStr">
        <is>
          <t xml:space="preserve">                   -   </t>
        </is>
      </c>
      <c r="AZ75" s="1337" t="inlineStr">
        <is>
          <t xml:space="preserve">                   -   </t>
        </is>
      </c>
      <c r="BA75" s="1337" t="inlineStr">
        <is>
          <t xml:space="preserve">                   -   </t>
        </is>
      </c>
      <c r="BB75" s="1337" t="inlineStr">
        <is>
          <t xml:space="preserve">                   -   </t>
        </is>
      </c>
      <c r="BC75" s="1337" t="inlineStr">
        <is>
          <t xml:space="preserve">                   -   </t>
        </is>
      </c>
      <c r="BD75" s="1337" t="inlineStr">
        <is>
          <t xml:space="preserve">                   -   </t>
        </is>
      </c>
      <c r="BE75" s="1337" t="inlineStr">
        <is>
          <t xml:space="preserve">                   -   </t>
        </is>
      </c>
      <c r="BF75" s="1338">
        <f>SUM(AT75:BE75)</f>
        <v/>
      </c>
    </row>
    <row r="76" ht="21" customHeight="1">
      <c r="A76" s="1357" t="inlineStr">
        <is>
          <t xml:space="preserve"> Trademark </t>
        </is>
      </c>
      <c r="B76" s="1335" t="n"/>
      <c r="C76" s="1336" t="n"/>
      <c r="D76" s="1336" t="n"/>
      <c r="E76" s="1337" t="n"/>
      <c r="F76" s="1337" t="n"/>
      <c r="G76" s="1337" t="n"/>
      <c r="H76" s="1337" t="n"/>
      <c r="I76" s="1337" t="n"/>
      <c r="J76" s="1337" t="n"/>
      <c r="K76" s="1337" t="n"/>
      <c r="L76" s="1337" t="n"/>
      <c r="M76" s="1337" t="n"/>
      <c r="N76" s="1337" t="n"/>
      <c r="O76" s="1337" t="n"/>
      <c r="P76" s="1338" t="inlineStr">
        <is>
          <t xml:space="preserve">                   -   </t>
        </is>
      </c>
      <c r="Q76" s="248" t="n"/>
      <c r="R76" s="1336" t="n"/>
      <c r="S76" s="1337" t="n"/>
      <c r="T76" s="1337" t="n"/>
      <c r="U76" s="1337" t="n"/>
      <c r="V76" s="1337" t="n"/>
      <c r="W76" s="1337" t="n"/>
      <c r="X76" s="1337" t="n"/>
      <c r="Y76" s="1337" t="n"/>
      <c r="Z76" s="1337" t="n"/>
      <c r="AA76" s="1337" t="n"/>
      <c r="AB76" s="1337" t="n"/>
      <c r="AC76" s="1337" t="n"/>
      <c r="AD76" s="1338" t="inlineStr">
        <is>
          <t xml:space="preserve">                        -   </t>
        </is>
      </c>
      <c r="AE76" s="248" t="n"/>
      <c r="AF76" s="1336" t="n"/>
      <c r="AG76" s="1337" t="n"/>
      <c r="AH76" s="1337" t="n"/>
      <c r="AI76" s="1337" t="n"/>
      <c r="AJ76" s="1337" t="n"/>
      <c r="AK76" s="1337" t="n"/>
      <c r="AL76" s="1337" t="n"/>
      <c r="AM76" s="1337" t="n"/>
      <c r="AN76" s="1337" t="n"/>
      <c r="AO76" s="1337" t="n"/>
      <c r="AP76" s="1337" t="n"/>
      <c r="AQ76" s="1337" t="n"/>
      <c r="AR76" s="1338" t="inlineStr">
        <is>
          <t xml:space="preserve">                   -   </t>
        </is>
      </c>
      <c r="AS76" s="236" t="n"/>
      <c r="AT76" s="1336" t="n"/>
      <c r="AU76" s="1337" t="n"/>
      <c r="AV76" s="1337" t="n"/>
      <c r="AW76" s="1337" t="n"/>
      <c r="AX76" s="1337" t="n"/>
      <c r="AY76" s="1337" t="n"/>
      <c r="AZ76" s="1337" t="n"/>
      <c r="BA76" s="1337" t="n"/>
      <c r="BB76" s="1337" t="n"/>
      <c r="BC76" s="1337" t="n"/>
      <c r="BD76" s="1337" t="n"/>
      <c r="BE76" s="1337" t="n"/>
      <c r="BF76" s="1338">
        <f>SUM(AT76:BE76)</f>
        <v/>
      </c>
    </row>
    <row r="77" ht="21" customHeight="1">
      <c r="A77" s="1334" t="inlineStr">
        <is>
          <t xml:space="preserve"> </t>
        </is>
      </c>
      <c r="B77" s="1335" t="n"/>
      <c r="C77" s="1336" t="n"/>
      <c r="D77" s="1336" t="inlineStr">
        <is>
          <t xml:space="preserve">   </t>
        </is>
      </c>
      <c r="E77" s="1337" t="inlineStr">
        <is>
          <t xml:space="preserve">                   -   </t>
        </is>
      </c>
      <c r="F77" s="1337" t="inlineStr">
        <is>
          <t xml:space="preserve">                   -   </t>
        </is>
      </c>
      <c r="G77" s="1337" t="inlineStr">
        <is>
          <t xml:space="preserve">                   -   </t>
        </is>
      </c>
      <c r="H77" s="1337" t="inlineStr">
        <is>
          <t xml:space="preserve">                   -   </t>
        </is>
      </c>
      <c r="I77" s="1337" t="inlineStr">
        <is>
          <t xml:space="preserve">                   -   </t>
        </is>
      </c>
      <c r="J77" s="1337" t="inlineStr">
        <is>
          <t xml:space="preserve">                   -   </t>
        </is>
      </c>
      <c r="K77" s="1337" t="inlineStr">
        <is>
          <t xml:space="preserve">                   -   </t>
        </is>
      </c>
      <c r="L77" s="1337" t="inlineStr">
        <is>
          <t xml:space="preserve">                   -   </t>
        </is>
      </c>
      <c r="M77" s="1337" t="inlineStr">
        <is>
          <t xml:space="preserve">                   -   </t>
        </is>
      </c>
      <c r="N77" s="1337" t="inlineStr">
        <is>
          <t xml:space="preserve">                   -   </t>
        </is>
      </c>
      <c r="O77" s="1337" t="inlineStr">
        <is>
          <t xml:space="preserve">                   -   </t>
        </is>
      </c>
      <c r="P77" s="1338" t="inlineStr">
        <is>
          <t xml:space="preserve">   </t>
        </is>
      </c>
      <c r="Q77" s="248" t="n"/>
      <c r="R77" s="1336" t="inlineStr">
        <is>
          <t xml:space="preserve">   </t>
        </is>
      </c>
      <c r="S77" s="1337" t="inlineStr">
        <is>
          <t xml:space="preserve">                   -   </t>
        </is>
      </c>
      <c r="T77" s="1337" t="inlineStr">
        <is>
          <t xml:space="preserve">                   -   </t>
        </is>
      </c>
      <c r="U77" s="1337" t="inlineStr">
        <is>
          <t xml:space="preserve">                   -   </t>
        </is>
      </c>
      <c r="V77" s="1337" t="inlineStr">
        <is>
          <t xml:space="preserve">                   -   </t>
        </is>
      </c>
      <c r="W77" s="1337" t="inlineStr">
        <is>
          <t xml:space="preserve">                   -   </t>
        </is>
      </c>
      <c r="X77" s="1337" t="inlineStr">
        <is>
          <t xml:space="preserve">                   -   </t>
        </is>
      </c>
      <c r="Y77" s="1337" t="inlineStr">
        <is>
          <t xml:space="preserve">                   -   </t>
        </is>
      </c>
      <c r="Z77" s="1337" t="inlineStr">
        <is>
          <t xml:space="preserve">                   -   </t>
        </is>
      </c>
      <c r="AA77" s="1337" t="inlineStr">
        <is>
          <t xml:space="preserve">                   -   </t>
        </is>
      </c>
      <c r="AB77" s="1337" t="inlineStr">
        <is>
          <t xml:space="preserve">                   -   </t>
        </is>
      </c>
      <c r="AC77" s="1337" t="inlineStr">
        <is>
          <t xml:space="preserve">                   -   </t>
        </is>
      </c>
      <c r="AD77" s="1338" t="inlineStr">
        <is>
          <t xml:space="preserve">   </t>
        </is>
      </c>
      <c r="AE77" s="248" t="n"/>
      <c r="AF77" s="1336" t="inlineStr">
        <is>
          <t xml:space="preserve">   </t>
        </is>
      </c>
      <c r="AG77" s="1337" t="inlineStr">
        <is>
          <t xml:space="preserve">                   -   </t>
        </is>
      </c>
      <c r="AH77" s="1337" t="inlineStr">
        <is>
          <t xml:space="preserve">                   -   </t>
        </is>
      </c>
      <c r="AI77" s="1337" t="inlineStr">
        <is>
          <t xml:space="preserve">                   -   </t>
        </is>
      </c>
      <c r="AJ77" s="1337" t="inlineStr">
        <is>
          <t xml:space="preserve">                   -   </t>
        </is>
      </c>
      <c r="AK77" s="1337" t="inlineStr">
        <is>
          <t xml:space="preserve">                   -   </t>
        </is>
      </c>
      <c r="AL77" s="1337" t="inlineStr">
        <is>
          <t xml:space="preserve">                   -   </t>
        </is>
      </c>
      <c r="AM77" s="1337" t="inlineStr">
        <is>
          <t xml:space="preserve">                   -   </t>
        </is>
      </c>
      <c r="AN77" s="1337" t="inlineStr">
        <is>
          <t xml:space="preserve">                   -   </t>
        </is>
      </c>
      <c r="AO77" s="1337" t="inlineStr">
        <is>
          <t xml:space="preserve">                   -   </t>
        </is>
      </c>
      <c r="AP77" s="1337" t="inlineStr">
        <is>
          <t xml:space="preserve">                   -   </t>
        </is>
      </c>
      <c r="AQ77" s="1337" t="inlineStr">
        <is>
          <t xml:space="preserve">                   -   </t>
        </is>
      </c>
      <c r="AR77" s="1338" t="inlineStr">
        <is>
          <t xml:space="preserve">   </t>
        </is>
      </c>
      <c r="AS77" s="236" t="n"/>
      <c r="AT77" s="1336" t="inlineStr">
        <is>
          <t xml:space="preserve">   </t>
        </is>
      </c>
      <c r="AU77" s="1337" t="inlineStr">
        <is>
          <t xml:space="preserve">                   -   </t>
        </is>
      </c>
      <c r="AV77" s="1337" t="inlineStr">
        <is>
          <t xml:space="preserve">                   -   </t>
        </is>
      </c>
      <c r="AW77" s="1337" t="inlineStr">
        <is>
          <t xml:space="preserve">                   -   </t>
        </is>
      </c>
      <c r="AX77" s="1337" t="inlineStr">
        <is>
          <t xml:space="preserve">                   -   </t>
        </is>
      </c>
      <c r="AY77" s="1337" t="inlineStr">
        <is>
          <t xml:space="preserve">                   -   </t>
        </is>
      </c>
      <c r="AZ77" s="1337" t="inlineStr">
        <is>
          <t xml:space="preserve">                   -   </t>
        </is>
      </c>
      <c r="BA77" s="1337" t="inlineStr">
        <is>
          <t xml:space="preserve">                   -   </t>
        </is>
      </c>
      <c r="BB77" s="1337" t="inlineStr">
        <is>
          <t xml:space="preserve">                   -   </t>
        </is>
      </c>
      <c r="BC77" s="1337" t="inlineStr">
        <is>
          <t xml:space="preserve">                   -   </t>
        </is>
      </c>
      <c r="BD77" s="1337" t="inlineStr">
        <is>
          <t xml:space="preserve">                   -   </t>
        </is>
      </c>
      <c r="BE77" s="1337" t="inlineStr">
        <is>
          <t xml:space="preserve">                   -   </t>
        </is>
      </c>
      <c r="BF77" s="1338">
        <f>SUM(AT77:BE77)</f>
        <v/>
      </c>
    </row>
    <row r="78" ht="21" customHeight="1">
      <c r="A78" s="1360" t="inlineStr">
        <is>
          <t xml:space="preserve"> Professional Services </t>
        </is>
      </c>
      <c r="B78" s="1335" t="n"/>
      <c r="C78" s="1336" t="n"/>
      <c r="D78" s="1336" t="n"/>
      <c r="E78" s="1337" t="n"/>
      <c r="F78" s="1337" t="n"/>
      <c r="G78" s="1337" t="n"/>
      <c r="H78" s="1337" t="n"/>
      <c r="I78" s="1337" t="n"/>
      <c r="J78" s="1337" t="n"/>
      <c r="K78" s="1337" t="n"/>
      <c r="L78" s="1337" t="n"/>
      <c r="M78" s="1337" t="n"/>
      <c r="N78" s="1337" t="n"/>
      <c r="O78" s="1337" t="n"/>
      <c r="P78" s="1338" t="inlineStr">
        <is>
          <t xml:space="preserve">                   -   </t>
        </is>
      </c>
      <c r="Q78" s="248" t="n"/>
      <c r="R78" s="1336" t="n"/>
      <c r="S78" s="1337" t="n"/>
      <c r="T78" s="1337" t="n"/>
      <c r="U78" s="1337" t="n"/>
      <c r="V78" s="1337" t="n"/>
      <c r="W78" s="1337" t="n"/>
      <c r="X78" s="1337" t="n"/>
      <c r="Y78" s="1337" t="n"/>
      <c r="Z78" s="1337" t="n"/>
      <c r="AA78" s="1337" t="n"/>
      <c r="AB78" s="1337" t="n"/>
      <c r="AC78" s="1337" t="n"/>
      <c r="AD78" s="1338" t="inlineStr">
        <is>
          <t xml:space="preserve">                        -   </t>
        </is>
      </c>
      <c r="AE78" s="248" t="n"/>
      <c r="AF78" s="1336" t="n"/>
      <c r="AG78" s="1337" t="n"/>
      <c r="AH78" s="1337" t="n"/>
      <c r="AI78" s="1337" t="n"/>
      <c r="AJ78" s="1337" t="n"/>
      <c r="AK78" s="1337" t="n"/>
      <c r="AL78" s="1337" t="n"/>
      <c r="AM78" s="1337" t="n"/>
      <c r="AN78" s="1337" t="n"/>
      <c r="AO78" s="1337" t="n"/>
      <c r="AP78" s="1337" t="n"/>
      <c r="AQ78" s="1337" t="n"/>
      <c r="AR78" s="1338" t="inlineStr">
        <is>
          <t xml:space="preserve">                   -   </t>
        </is>
      </c>
      <c r="AS78" s="236" t="n"/>
      <c r="AT78" s="1336" t="n"/>
      <c r="AU78" s="1337" t="n"/>
      <c r="AV78" s="1337" t="n"/>
      <c r="AW78" s="1337" t="n"/>
      <c r="AX78" s="1337" t="n"/>
      <c r="AY78" s="1337" t="n"/>
      <c r="AZ78" s="1337" t="n"/>
      <c r="BA78" s="1337" t="n"/>
      <c r="BB78" s="1337" t="n"/>
      <c r="BC78" s="1337" t="n"/>
      <c r="BD78" s="1337" t="n"/>
      <c r="BE78" s="1337" t="n"/>
      <c r="BF78" s="1338">
        <f>SUM(AT78:BE78)</f>
        <v/>
      </c>
    </row>
    <row r="79" ht="17" customHeight="1">
      <c r="A79" s="1339" t="inlineStr">
        <is>
          <t>CFO - Fractional</t>
        </is>
      </c>
      <c r="B79" s="1335" t="n"/>
      <c r="C79" s="1336" t="n"/>
      <c r="D79" s="1336" t="n">
        <v>5000</v>
      </c>
      <c r="E79" s="1337" t="n"/>
      <c r="F79" s="1337" t="n"/>
      <c r="G79" s="1337" t="n"/>
      <c r="H79" s="1337" t="n"/>
      <c r="I79" s="1337" t="n"/>
      <c r="J79" s="1337" t="n"/>
      <c r="K79" s="1337" t="n"/>
      <c r="L79" s="1337" t="n"/>
      <c r="M79" s="1337" t="n"/>
      <c r="N79" s="1337" t="n"/>
      <c r="O79" s="1337" t="n"/>
      <c r="P79" s="1338" t="n">
        <v>5000</v>
      </c>
      <c r="Q79" s="248" t="n"/>
      <c r="R79" s="1336" t="n">
        <v>5000</v>
      </c>
      <c r="S79" s="1337" t="n"/>
      <c r="T79" s="1337" t="n"/>
      <c r="U79" s="1337" t="n"/>
      <c r="V79" s="1337" t="n"/>
      <c r="W79" s="1337" t="n"/>
      <c r="X79" s="1337" t="n"/>
      <c r="Y79" s="1337" t="n"/>
      <c r="Z79" s="1337" t="n"/>
      <c r="AA79" s="1337" t="n"/>
      <c r="AB79" s="1337" t="n"/>
      <c r="AC79" s="1337" t="n"/>
      <c r="AD79" s="1338" t="n">
        <v>5000</v>
      </c>
      <c r="AE79" s="248" t="n"/>
      <c r="AF79" s="1336" t="n">
        <v>5000</v>
      </c>
      <c r="AG79" s="1337" t="n"/>
      <c r="AH79" s="1337" t="n"/>
      <c r="AI79" s="1337" t="n"/>
      <c r="AJ79" s="1337" t="n"/>
      <c r="AK79" s="1337" t="n"/>
      <c r="AL79" s="1337" t="n"/>
      <c r="AM79" s="1337" t="n"/>
      <c r="AN79" s="1337" t="n"/>
      <c r="AO79" s="1337" t="n"/>
      <c r="AP79" s="1337" t="n"/>
      <c r="AQ79" s="1337" t="n"/>
      <c r="AR79" s="1338" t="n">
        <v>5000</v>
      </c>
      <c r="AS79" s="236" t="n"/>
      <c r="AT79" s="1336" t="n">
        <v>5000</v>
      </c>
      <c r="AU79" s="1337" t="n"/>
      <c r="AV79" s="1337" t="n"/>
      <c r="AW79" s="1337" t="n"/>
      <c r="AX79" s="1337" t="n"/>
      <c r="AY79" s="1337" t="n"/>
      <c r="AZ79" s="1337" t="n"/>
      <c r="BA79" s="1337" t="n"/>
      <c r="BB79" s="1337" t="n"/>
      <c r="BC79" s="1337" t="n"/>
      <c r="BD79" s="1337" t="n"/>
      <c r="BE79" s="1337" t="n"/>
      <c r="BF79" s="1338">
        <f>SUM(AT79:BE79)</f>
        <v/>
      </c>
    </row>
    <row r="80" ht="17" customHeight="1">
      <c r="A80" s="1339" t="inlineStr">
        <is>
          <t>Human Resources</t>
        </is>
      </c>
      <c r="B80" s="1335" t="n"/>
      <c r="C80" s="1336" t="n"/>
      <c r="D80" s="1336" t="n">
        <v>0</v>
      </c>
      <c r="E80" s="1337" t="n"/>
      <c r="F80" s="1337" t="n"/>
      <c r="G80" s="1337" t="n"/>
      <c r="H80" s="1337" t="n"/>
      <c r="I80" s="1337" t="n"/>
      <c r="J80" s="1337" t="n"/>
      <c r="K80" s="1337" t="n"/>
      <c r="L80" s="1337" t="n"/>
      <c r="M80" s="1337" t="n"/>
      <c r="N80" s="1337" t="n"/>
      <c r="O80" s="1337" t="n"/>
      <c r="P80" s="1338">
        <f>SUM(D80:O80)</f>
        <v/>
      </c>
      <c r="Q80" s="248" t="n"/>
      <c r="R80" s="1336" t="n">
        <v>3000</v>
      </c>
      <c r="S80" s="1337" t="n"/>
      <c r="T80" s="1337" t="n"/>
      <c r="U80" s="1337" t="n"/>
      <c r="V80" s="1337" t="n"/>
      <c r="W80" s="1337" t="n"/>
      <c r="X80" s="1337" t="n"/>
      <c r="Y80" s="1337" t="n"/>
      <c r="Z80" s="1337" t="n"/>
      <c r="AA80" s="1337" t="n"/>
      <c r="AB80" s="1337" t="n"/>
      <c r="AC80" s="1337" t="n"/>
      <c r="AD80" s="1338">
        <f>SUM(R80:AC80)</f>
        <v/>
      </c>
      <c r="AE80" s="248" t="n"/>
      <c r="AF80" s="1336" t="n">
        <v>3000</v>
      </c>
      <c r="AG80" s="1337" t="n"/>
      <c r="AH80" s="1337" t="n"/>
      <c r="AI80" s="1337" t="n"/>
      <c r="AJ80" s="1337" t="n"/>
      <c r="AK80" s="1337" t="n"/>
      <c r="AL80" s="1337" t="n"/>
      <c r="AM80" s="1337" t="n"/>
      <c r="AN80" s="1337" t="n"/>
      <c r="AO80" s="1337" t="n"/>
      <c r="AP80" s="1337" t="n"/>
      <c r="AQ80" s="1337" t="n"/>
      <c r="AR80" s="1338">
        <f>SUM(AF80:AQ80)</f>
        <v/>
      </c>
      <c r="AS80" s="236" t="n"/>
      <c r="AT80" s="1336" t="n">
        <v>3000</v>
      </c>
      <c r="AU80" s="1337" t="n"/>
      <c r="AV80" s="1337" t="n"/>
      <c r="AW80" s="1337" t="n"/>
      <c r="AX80" s="1337" t="n"/>
      <c r="AY80" s="1337" t="n"/>
      <c r="AZ80" s="1337" t="n"/>
      <c r="BA80" s="1337" t="n"/>
      <c r="BB80" s="1337" t="n"/>
      <c r="BC80" s="1337" t="n"/>
      <c r="BD80" s="1337" t="n"/>
      <c r="BE80" s="1337" t="n"/>
      <c r="BF80" s="1338" t="n">
        <v>3000</v>
      </c>
    </row>
    <row r="81" ht="17" customHeight="1">
      <c r="A81" s="1357" t="inlineStr">
        <is>
          <t xml:space="preserve"> Strategic Advisor </t>
        </is>
      </c>
      <c r="B81" s="1335" t="n"/>
      <c r="C81" s="1336" t="inlineStr">
        <is>
          <t xml:space="preserve">   </t>
        </is>
      </c>
      <c r="D81" s="1336" t="n">
        <v>2200</v>
      </c>
      <c r="E81" s="1337" t="n">
        <v>2200</v>
      </c>
      <c r="F81" s="1337" t="n">
        <v>2200</v>
      </c>
      <c r="G81" s="1337" t="n">
        <v>2200</v>
      </c>
      <c r="H81" s="1337" t="n">
        <v>2200</v>
      </c>
      <c r="I81" s="1337" t="n">
        <v>2200</v>
      </c>
      <c r="J81" s="1337" t="n">
        <v>2200</v>
      </c>
      <c r="K81" s="1337" t="n">
        <v>2200</v>
      </c>
      <c r="L81" s="1337" t="n">
        <v>2200</v>
      </c>
      <c r="M81" s="1337" t="n">
        <v>2200</v>
      </c>
      <c r="N81" s="1337" t="n">
        <v>2200</v>
      </c>
      <c r="O81" s="1337" t="n">
        <v>2200</v>
      </c>
      <c r="P81" s="1338" t="n">
        <v>26400</v>
      </c>
      <c r="Q81" s="248" t="n"/>
      <c r="R81" s="1336" t="n">
        <v>2200</v>
      </c>
      <c r="S81" s="1337" t="n">
        <v>2200</v>
      </c>
      <c r="T81" s="1337" t="n">
        <v>2200</v>
      </c>
      <c r="U81" s="1337" t="n">
        <v>2200</v>
      </c>
      <c r="V81" s="1337" t="n">
        <v>2200</v>
      </c>
      <c r="W81" s="1337" t="n">
        <v>2200</v>
      </c>
      <c r="X81" s="1337" t="n">
        <v>2200</v>
      </c>
      <c r="Y81" s="1337" t="n">
        <v>2200</v>
      </c>
      <c r="Z81" s="1337" t="n">
        <v>2200</v>
      </c>
      <c r="AA81" s="1337" t="n">
        <v>2200</v>
      </c>
      <c r="AB81" s="1337" t="n">
        <v>2200</v>
      </c>
      <c r="AC81" s="1337" t="n">
        <v>2200</v>
      </c>
      <c r="AD81" s="1338" t="n">
        <v>26400</v>
      </c>
      <c r="AE81" s="248" t="n"/>
      <c r="AF81" s="1337" t="n">
        <v>2200</v>
      </c>
      <c r="AG81" s="1337" t="n">
        <v>2200</v>
      </c>
      <c r="AH81" s="1337" t="n">
        <v>2200</v>
      </c>
      <c r="AI81" s="1337" t="n">
        <v>2200</v>
      </c>
      <c r="AJ81" s="1337" t="n">
        <v>2200</v>
      </c>
      <c r="AK81" s="1337" t="n">
        <v>2200</v>
      </c>
      <c r="AL81" s="1337" t="n">
        <v>2200</v>
      </c>
      <c r="AM81" s="1337" t="n">
        <v>2200</v>
      </c>
      <c r="AN81" s="1337" t="n">
        <v>2200</v>
      </c>
      <c r="AO81" s="1337" t="n">
        <v>2200</v>
      </c>
      <c r="AP81" s="1337" t="n">
        <v>2200</v>
      </c>
      <c r="AQ81" s="1337" t="n">
        <v>2200</v>
      </c>
      <c r="AR81" s="1338" t="n">
        <v>26400</v>
      </c>
      <c r="AS81" s="236" t="n"/>
      <c r="AT81" s="1337" t="n">
        <v>2200</v>
      </c>
      <c r="AU81" s="1337" t="n">
        <v>2200</v>
      </c>
      <c r="AV81" s="1337" t="n">
        <v>2200</v>
      </c>
      <c r="AW81" s="1337" t="n">
        <v>2200</v>
      </c>
      <c r="AX81" s="1337" t="n">
        <v>2200</v>
      </c>
      <c r="AY81" s="1337" t="n">
        <v>2200</v>
      </c>
      <c r="AZ81" s="1337" t="n">
        <v>2200</v>
      </c>
      <c r="BA81" s="1337" t="n">
        <v>2200</v>
      </c>
      <c r="BB81" s="1337" t="n">
        <v>2200</v>
      </c>
      <c r="BC81" s="1337" t="n">
        <v>2200</v>
      </c>
      <c r="BD81" s="1337" t="n">
        <v>2200</v>
      </c>
      <c r="BE81" s="1337" t="n">
        <v>2200</v>
      </c>
      <c r="BF81" s="1338">
        <f>SUM(AT81:BE81)</f>
        <v/>
      </c>
    </row>
    <row r="82" ht="21" customHeight="1" thickBot="1">
      <c r="A82" s="1354" t="n"/>
      <c r="B82" s="1335" t="n"/>
      <c r="C82" s="1336" t="n"/>
      <c r="D82" s="1361">
        <f>SUM(D19:D81)</f>
        <v/>
      </c>
      <c r="E82" s="1361">
        <f>SUM(E19:E81)</f>
        <v/>
      </c>
      <c r="F82" s="1361">
        <f>SUM(F19:F81)</f>
        <v/>
      </c>
      <c r="G82" s="1361">
        <f>SUM(G19:G81)</f>
        <v/>
      </c>
      <c r="H82" s="1361">
        <f>SUM(H19:H81)</f>
        <v/>
      </c>
      <c r="I82" s="1361">
        <f>SUM(I19:I81)</f>
        <v/>
      </c>
      <c r="J82" s="1361">
        <f>SUM(J19:J81)</f>
        <v/>
      </c>
      <c r="K82" s="1361">
        <f>SUM(K19:K81)</f>
        <v/>
      </c>
      <c r="L82" s="1361">
        <f>SUM(L19:L81)</f>
        <v/>
      </c>
      <c r="M82" s="1361">
        <f>SUM(M19:M81)</f>
        <v/>
      </c>
      <c r="N82" s="1361">
        <f>SUM(N19:N81)</f>
        <v/>
      </c>
      <c r="O82" s="1361">
        <f>SUM(O19:O81)</f>
        <v/>
      </c>
      <c r="P82" s="1362">
        <f>SUM(P6:P81)</f>
        <v/>
      </c>
      <c r="Q82" s="248" t="n"/>
      <c r="R82" s="1361">
        <f>SUM(R19:R81)</f>
        <v/>
      </c>
      <c r="S82" s="1361">
        <f>SUM(S19:S81)</f>
        <v/>
      </c>
      <c r="T82" s="1361">
        <f>SUM(T19:T81)</f>
        <v/>
      </c>
      <c r="U82" s="1361">
        <f>SUM(U19:U81)</f>
        <v/>
      </c>
      <c r="V82" s="1361">
        <f>SUM(V19:V81)</f>
        <v/>
      </c>
      <c r="W82" s="1361">
        <f>SUM(W19:W81)</f>
        <v/>
      </c>
      <c r="X82" s="1361">
        <f>SUM(X19:X81)</f>
        <v/>
      </c>
      <c r="Y82" s="1361">
        <f>SUM(Y19:Y81)</f>
        <v/>
      </c>
      <c r="Z82" s="1361">
        <f>SUM(Z19:Z81)</f>
        <v/>
      </c>
      <c r="AA82" s="1361">
        <f>SUM(AA19:AA81)</f>
        <v/>
      </c>
      <c r="AB82" s="1361">
        <f>SUM(AB19:AB81)</f>
        <v/>
      </c>
      <c r="AC82" s="1361">
        <f>SUM(AC19:AC81)</f>
        <v/>
      </c>
      <c r="AD82" s="1362">
        <f>SUM(AD6:AD81)</f>
        <v/>
      </c>
      <c r="AE82" s="248" t="n"/>
      <c r="AF82" s="1361">
        <f>SUM(AF19:AF81)</f>
        <v/>
      </c>
      <c r="AG82" s="1361">
        <f>SUM(AG19:AG81)</f>
        <v/>
      </c>
      <c r="AH82" s="1361">
        <f>SUM(AH19:AH81)</f>
        <v/>
      </c>
      <c r="AI82" s="1361">
        <f>SUM(AI19:AI81)</f>
        <v/>
      </c>
      <c r="AJ82" s="1361">
        <f>SUM(AJ19:AJ81)</f>
        <v/>
      </c>
      <c r="AK82" s="1361">
        <f>SUM(AK19:AK81)</f>
        <v/>
      </c>
      <c r="AL82" s="1361">
        <f>SUM(AL19:AL81)</f>
        <v/>
      </c>
      <c r="AM82" s="1361">
        <f>SUM(AM19:AM81)</f>
        <v/>
      </c>
      <c r="AN82" s="1361">
        <f>SUM(AN19:AN81)</f>
        <v/>
      </c>
      <c r="AO82" s="1361">
        <f>SUM(AO19:AO81)</f>
        <v/>
      </c>
      <c r="AP82" s="1361">
        <f>SUM(AP19:AP81)</f>
        <v/>
      </c>
      <c r="AQ82" s="1361">
        <f>SUM(AQ19:AQ81)</f>
        <v/>
      </c>
      <c r="AR82" s="1362">
        <f>SUM(AR6:AR81)</f>
        <v/>
      </c>
      <c r="AS82" s="236" t="n"/>
      <c r="AT82" s="1361">
        <f>SUM(AT19:AT81)</f>
        <v/>
      </c>
      <c r="AU82" s="1361">
        <f>SUM(AU19:AU81)</f>
        <v/>
      </c>
      <c r="AV82" s="1361">
        <f>SUM(AV19:AV81)</f>
        <v/>
      </c>
      <c r="AW82" s="1361">
        <f>SUM(AW19:AW81)</f>
        <v/>
      </c>
      <c r="AX82" s="1361">
        <f>SUM(AX19:AX81)</f>
        <v/>
      </c>
      <c r="AY82" s="1361">
        <f>SUM(AY19:AY81)</f>
        <v/>
      </c>
      <c r="AZ82" s="1361">
        <f>SUM(AZ19:AZ81)</f>
        <v/>
      </c>
      <c r="BA82" s="1361">
        <f>SUM(BA19:BA81)</f>
        <v/>
      </c>
      <c r="BB82" s="1361">
        <f>SUM(BB19:BB81)</f>
        <v/>
      </c>
      <c r="BC82" s="1361">
        <f>SUM(BC19:BC81)</f>
        <v/>
      </c>
      <c r="BD82" s="1361">
        <f>SUM(BD19:BD81)</f>
        <v/>
      </c>
      <c r="BE82" s="1361">
        <f>SUM(BE19:BE81)</f>
        <v/>
      </c>
      <c r="BF82" s="1362">
        <f>SUM(BF6:BF81)</f>
        <v/>
      </c>
    </row>
    <row r="83" ht="12.75" customHeight="1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  <c r="AL83" s="46" t="n"/>
      <c r="AM83" s="46" t="n"/>
      <c r="AN83" s="46" t="n"/>
      <c r="AO83" s="46" t="n"/>
      <c r="AP83" s="46" t="n"/>
    </row>
    <row r="84" ht="12.75" customHeight="1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  <c r="AL84" s="46" t="n"/>
      <c r="AM84" s="46" t="n"/>
      <c r="AN84" s="46" t="n"/>
      <c r="AO84" s="46" t="n"/>
      <c r="AP84" s="46" t="n"/>
    </row>
    <row r="85" ht="12.75" customHeight="1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  <c r="AL85" s="46" t="n"/>
      <c r="AM85" s="46" t="n"/>
      <c r="AN85" s="46" t="n"/>
      <c r="AO85" s="46" t="n"/>
      <c r="AP85" s="46" t="n"/>
    </row>
    <row r="86" ht="12.75" customHeight="1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  <c r="AL86" s="46" t="n"/>
      <c r="AM86" s="46" t="n"/>
      <c r="AN86" s="46" t="n"/>
      <c r="AO86" s="46" t="n"/>
      <c r="AP86" s="46" t="n"/>
    </row>
    <row r="87" ht="12.75" customHeight="1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  <c r="AL87" s="46" t="n"/>
      <c r="AM87" s="46" t="n"/>
      <c r="AN87" s="46" t="n"/>
      <c r="AO87" s="46" t="n"/>
      <c r="AP87" s="46" t="n"/>
    </row>
    <row r="88" ht="12.75" customHeight="1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</row>
    <row r="89" ht="12.75" customHeight="1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  <c r="AL89" s="46" t="n"/>
      <c r="AM89" s="46" t="n"/>
      <c r="AN89" s="46" t="n"/>
      <c r="AO89" s="46" t="n"/>
      <c r="AP89" s="46" t="n"/>
    </row>
    <row r="90" ht="12.75" customHeight="1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  <c r="AL90" s="46" t="n"/>
      <c r="AM90" s="46" t="n"/>
      <c r="AN90" s="46" t="n"/>
      <c r="AO90" s="46" t="n"/>
      <c r="AP90" s="46" t="n"/>
    </row>
    <row r="91" ht="12.75" customHeight="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  <c r="AL91" s="46" t="n"/>
      <c r="AM91" s="46" t="n"/>
      <c r="AN91" s="46" t="n"/>
      <c r="AO91" s="46" t="n"/>
      <c r="AP91" s="46" t="n"/>
    </row>
    <row r="92" ht="2.25" customHeight="1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  <c r="AL92" s="46" t="n"/>
      <c r="AM92" s="46" t="n"/>
      <c r="AN92" s="46" t="n"/>
      <c r="AO92" s="46" t="n"/>
      <c r="AP92" s="46" t="n"/>
    </row>
    <row r="93" ht="12.75" customHeight="1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  <c r="AL93" s="46" t="n"/>
      <c r="AM93" s="46" t="n"/>
      <c r="AN93" s="46" t="n"/>
      <c r="AO93" s="46" t="n"/>
      <c r="AP93" s="46" t="n"/>
    </row>
    <row r="94" ht="12.75" customHeight="1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  <c r="AL94" s="46" t="n"/>
      <c r="AM94" s="46" t="n"/>
      <c r="AN94" s="46" t="n"/>
      <c r="AO94" s="46" t="n"/>
      <c r="AP94" s="46" t="n"/>
    </row>
    <row r="95" ht="12.75" customHeight="1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</row>
    <row r="96" ht="2.25" customHeight="1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  <c r="AL96" s="46" t="n"/>
      <c r="AM96" s="46" t="n"/>
      <c r="AN96" s="46" t="n"/>
      <c r="AO96" s="46" t="n"/>
      <c r="AP96" s="46" t="n"/>
    </row>
    <row r="97" ht="12.75" customHeight="1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  <c r="AL97" s="46" t="n"/>
      <c r="AM97" s="46" t="n"/>
      <c r="AN97" s="46" t="n"/>
      <c r="AO97" s="46" t="n"/>
      <c r="AP97" s="46" t="n"/>
    </row>
    <row r="98" ht="12.75" customHeight="1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  <c r="AL98" s="46" t="n"/>
      <c r="AM98" s="46" t="n"/>
      <c r="AN98" s="46" t="n"/>
      <c r="AO98" s="46" t="n"/>
      <c r="AP98" s="46" t="n"/>
    </row>
    <row r="99" ht="12.75" customHeight="1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  <c r="AL99" s="46" t="n"/>
      <c r="AM99" s="46" t="n"/>
      <c r="AN99" s="46" t="n"/>
      <c r="AO99" s="46" t="n"/>
      <c r="AP99" s="46" t="n"/>
    </row>
    <row r="100" ht="12.75" customHeight="1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  <c r="AL100" s="46" t="n"/>
      <c r="AM100" s="46" t="n"/>
      <c r="AN100" s="46" t="n"/>
      <c r="AO100" s="46" t="n"/>
      <c r="AP100" s="46" t="n"/>
    </row>
    <row r="101" ht="12.75" customHeight="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</row>
    <row r="102" ht="12.75" customHeight="1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  <c r="AL102" s="46" t="n"/>
      <c r="AM102" s="46" t="n"/>
      <c r="AN102" s="46" t="n"/>
      <c r="AO102" s="46" t="n"/>
      <c r="AP102" s="46" t="n"/>
    </row>
    <row r="103" ht="12.75" customHeight="1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  <c r="AL103" s="46" t="n"/>
      <c r="AM103" s="46" t="n"/>
      <c r="AN103" s="46" t="n"/>
      <c r="AO103" s="46" t="n"/>
      <c r="AP103" s="46" t="n"/>
    </row>
    <row r="104" ht="12.75" customHeight="1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  <c r="AL104" s="46" t="n"/>
      <c r="AM104" s="46" t="n"/>
      <c r="AN104" s="46" t="n"/>
      <c r="AO104" s="46" t="n"/>
      <c r="AP104" s="46" t="n"/>
    </row>
    <row r="105" ht="12.75" customHeight="1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  <c r="AL105" s="46" t="n"/>
      <c r="AM105" s="46" t="n"/>
      <c r="AN105" s="46" t="n"/>
      <c r="AO105" s="46" t="n"/>
      <c r="AP105" s="46" t="n"/>
    </row>
    <row r="106" ht="12.75" customHeight="1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  <c r="AL106" s="46" t="n"/>
      <c r="AM106" s="46" t="n"/>
      <c r="AN106" s="46" t="n"/>
      <c r="AO106" s="46" t="n"/>
      <c r="AP106" s="46" t="n"/>
    </row>
    <row r="107" ht="12.75" customHeight="1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  <c r="AL107" s="46" t="n"/>
      <c r="AM107" s="46" t="n"/>
      <c r="AN107" s="46" t="n"/>
      <c r="AO107" s="46" t="n"/>
      <c r="AP107" s="46" t="n"/>
    </row>
    <row r="108" ht="12.75" customHeight="1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  <c r="AL108" s="46" t="n"/>
      <c r="AM108" s="46" t="n"/>
      <c r="AN108" s="46" t="n"/>
      <c r="AO108" s="46" t="n"/>
      <c r="AP108" s="46" t="n"/>
    </row>
    <row r="109" ht="12.75" customHeight="1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  <c r="AL109" s="46" t="n"/>
      <c r="AM109" s="46" t="n"/>
      <c r="AN109" s="46" t="n"/>
      <c r="AO109" s="46" t="n"/>
      <c r="AP109" s="46" t="n"/>
    </row>
    <row r="110" ht="12.75" customHeight="1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  <c r="AL110" s="46" t="n"/>
      <c r="AM110" s="46" t="n"/>
      <c r="AN110" s="46" t="n"/>
      <c r="AO110" s="46" t="n"/>
      <c r="AP110" s="46" t="n"/>
    </row>
    <row r="111" ht="12.75" customHeight="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  <c r="AL111" s="46" t="n"/>
      <c r="AM111" s="46" t="n"/>
      <c r="AN111" s="46" t="n"/>
      <c r="AO111" s="46" t="n"/>
      <c r="AP111" s="46" t="n"/>
    </row>
    <row r="112" ht="12.75" customHeight="1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  <c r="AL112" s="46" t="n"/>
      <c r="AM112" s="46" t="n"/>
      <c r="AN112" s="46" t="n"/>
      <c r="AO112" s="46" t="n"/>
      <c r="AP112" s="46" t="n"/>
    </row>
    <row r="113" ht="12.75" customHeight="1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  <c r="AL113" s="46" t="n"/>
      <c r="AM113" s="46" t="n"/>
      <c r="AN113" s="46" t="n"/>
      <c r="AO113" s="46" t="n"/>
      <c r="AP113" s="46" t="n"/>
    </row>
    <row r="114" ht="12.75" customHeight="1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  <c r="AL114" s="46" t="n"/>
      <c r="AM114" s="46" t="n"/>
      <c r="AN114" s="46" t="n"/>
      <c r="AO114" s="46" t="n"/>
      <c r="AP114" s="46" t="n"/>
    </row>
    <row r="115" ht="12.75" customHeight="1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  <c r="AL115" s="46" t="n"/>
      <c r="AM115" s="46" t="n"/>
      <c r="AN115" s="46" t="n"/>
      <c r="AO115" s="46" t="n"/>
      <c r="AP115" s="46" t="n"/>
    </row>
    <row r="116" ht="12.75" customHeight="1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  <c r="AL116" s="46" t="n"/>
      <c r="AM116" s="46" t="n"/>
      <c r="AN116" s="46" t="n"/>
      <c r="AO116" s="46" t="n"/>
      <c r="AP116" s="46" t="n"/>
    </row>
    <row r="117" ht="12.75" customHeight="1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  <c r="AL117" s="46" t="n"/>
      <c r="AM117" s="46" t="n"/>
      <c r="AN117" s="46" t="n"/>
      <c r="AO117" s="46" t="n"/>
      <c r="AP117" s="46" t="n"/>
    </row>
    <row r="118" ht="12.75" customHeight="1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  <c r="AL118" s="46" t="n"/>
      <c r="AM118" s="46" t="n"/>
      <c r="AN118" s="46" t="n"/>
      <c r="AO118" s="46" t="n"/>
      <c r="AP118" s="46" t="n"/>
    </row>
    <row r="119" ht="12.75" customHeight="1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  <c r="AL119" s="46" t="n"/>
      <c r="AM119" s="46" t="n"/>
      <c r="AN119" s="46" t="n"/>
      <c r="AO119" s="46" t="n"/>
      <c r="AP119" s="46" t="n"/>
    </row>
    <row r="120" ht="12.75" customHeight="1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  <c r="AL120" s="46" t="n"/>
      <c r="AM120" s="46" t="n"/>
      <c r="AN120" s="46" t="n"/>
      <c r="AO120" s="46" t="n"/>
      <c r="AP120" s="46" t="n"/>
    </row>
    <row r="121" ht="12.75" customHeight="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  <c r="AL121" s="46" t="n"/>
      <c r="AM121" s="46" t="n"/>
      <c r="AN121" s="46" t="n"/>
      <c r="AO121" s="46" t="n"/>
      <c r="AP121" s="46" t="n"/>
    </row>
    <row r="122" ht="12.75" customHeight="1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  <c r="AL122" s="46" t="n"/>
      <c r="AM122" s="46" t="n"/>
      <c r="AN122" s="46" t="n"/>
      <c r="AO122" s="46" t="n"/>
      <c r="AP122" s="46" t="n"/>
    </row>
    <row r="123" ht="12.75" customHeight="1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  <c r="AL123" s="46" t="n"/>
      <c r="AM123" s="46" t="n"/>
      <c r="AN123" s="46" t="n"/>
      <c r="AO123" s="46" t="n"/>
      <c r="AP123" s="46" t="n"/>
    </row>
    <row r="124" ht="12.75" customHeight="1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  <c r="AL124" s="46" t="n"/>
      <c r="AM124" s="46" t="n"/>
      <c r="AN124" s="46" t="n"/>
      <c r="AO124" s="46" t="n"/>
      <c r="AP124" s="46" t="n"/>
    </row>
    <row r="125" ht="12.75" customHeight="1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  <c r="AL125" s="46" t="n"/>
      <c r="AM125" s="46" t="n"/>
      <c r="AN125" s="46" t="n"/>
      <c r="AO125" s="46" t="n"/>
      <c r="AP125" s="46" t="n"/>
    </row>
    <row r="126" ht="12.75" customHeight="1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  <c r="AL126" s="46" t="n"/>
      <c r="AM126" s="46" t="n"/>
      <c r="AN126" s="46" t="n"/>
      <c r="AO126" s="46" t="n"/>
      <c r="AP126" s="46" t="n"/>
    </row>
    <row r="127" ht="12.75" customHeight="1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  <c r="AL127" s="46" t="n"/>
      <c r="AM127" s="46" t="n"/>
      <c r="AN127" s="46" t="n"/>
      <c r="AO127" s="46" t="n"/>
      <c r="AP127" s="46" t="n"/>
    </row>
    <row r="128" ht="12.75" customHeight="1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  <c r="AL128" s="46" t="n"/>
      <c r="AM128" s="46" t="n"/>
      <c r="AN128" s="46" t="n"/>
      <c r="AO128" s="46" t="n"/>
      <c r="AP128" s="46" t="n"/>
    </row>
    <row r="129" ht="12.75" customHeight="1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  <c r="AL129" s="46" t="n"/>
      <c r="AM129" s="46" t="n"/>
      <c r="AN129" s="46" t="n"/>
      <c r="AO129" s="46" t="n"/>
      <c r="AP129" s="46" t="n"/>
    </row>
    <row r="130" ht="12.75" customHeight="1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  <c r="AL130" s="46" t="n"/>
      <c r="AM130" s="46" t="n"/>
      <c r="AN130" s="46" t="n"/>
      <c r="AO130" s="46" t="n"/>
      <c r="AP130" s="46" t="n"/>
    </row>
    <row r="131" ht="12.75" customHeight="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  <c r="AL131" s="46" t="n"/>
      <c r="AM131" s="46" t="n"/>
      <c r="AN131" s="46" t="n"/>
      <c r="AO131" s="46" t="n"/>
      <c r="AP131" s="46" t="n"/>
    </row>
    <row r="132" ht="12.75" customHeight="1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  <c r="AL132" s="46" t="n"/>
      <c r="AM132" s="46" t="n"/>
      <c r="AN132" s="46" t="n"/>
      <c r="AO132" s="46" t="n"/>
      <c r="AP132" s="46" t="n"/>
    </row>
    <row r="133" ht="12.75" customHeight="1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  <c r="AL133" s="46" t="n"/>
      <c r="AM133" s="46" t="n"/>
      <c r="AN133" s="46" t="n"/>
      <c r="AO133" s="46" t="n"/>
      <c r="AP133" s="46" t="n"/>
    </row>
    <row r="134" ht="1" customHeight="1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  <c r="AL134" s="46" t="n"/>
      <c r="AM134" s="46" t="n"/>
      <c r="AN134" s="46" t="n"/>
      <c r="AO134" s="46" t="n"/>
      <c r="AP134" s="46" t="n"/>
    </row>
    <row r="135" ht="12.75" customHeight="1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  <c r="AL135" s="46" t="n"/>
      <c r="AM135" s="46" t="n"/>
      <c r="AN135" s="46" t="n"/>
      <c r="AO135" s="46" t="n"/>
      <c r="AP135" s="46" t="n"/>
    </row>
    <row r="136" ht="12.75" customHeight="1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  <c r="AL136" s="46" t="n"/>
      <c r="AM136" s="46" t="n"/>
      <c r="AN136" s="46" t="n"/>
      <c r="AO136" s="46" t="n"/>
      <c r="AP136" s="46" t="n"/>
    </row>
    <row r="137" ht="12.75" customHeight="1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  <c r="AL137" s="46" t="n"/>
      <c r="AM137" s="46" t="n"/>
      <c r="AN137" s="46" t="n"/>
      <c r="AO137" s="46" t="n"/>
      <c r="AP137" s="46" t="n"/>
    </row>
    <row r="138" ht="12.75" customHeight="1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  <c r="AL138" s="46" t="n"/>
      <c r="AM138" s="46" t="n"/>
      <c r="AN138" s="46" t="n"/>
      <c r="AO138" s="46" t="n"/>
      <c r="AP138" s="46" t="n"/>
    </row>
    <row r="139" ht="12.75" customHeight="1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</row>
    <row r="140" ht="12.75" customHeight="1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  <c r="AL140" s="46" t="n"/>
      <c r="AM140" s="46" t="n"/>
      <c r="AN140" s="46" t="n"/>
      <c r="AO140" s="46" t="n"/>
      <c r="AP140" s="46" t="n"/>
    </row>
    <row r="141" ht="12.75" customHeight="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  <c r="AL141" s="46" t="n"/>
      <c r="AM141" s="46" t="n"/>
      <c r="AN141" s="46" t="n"/>
      <c r="AO141" s="46" t="n"/>
      <c r="AP141" s="46" t="n"/>
    </row>
    <row r="142" ht="12.75" customHeight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  <c r="AL142" s="46" t="n"/>
      <c r="AM142" s="46" t="n"/>
      <c r="AN142" s="46" t="n"/>
      <c r="AO142" s="46" t="n"/>
      <c r="AP142" s="46" t="n"/>
    </row>
    <row r="143" ht="12.75" customHeight="1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  <c r="AL143" s="46" t="n"/>
      <c r="AM143" s="46" t="n"/>
      <c r="AN143" s="46" t="n"/>
      <c r="AO143" s="46" t="n"/>
      <c r="AP143" s="46" t="n"/>
    </row>
    <row r="144" ht="12.75" customHeight="1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  <c r="AL144" s="46" t="n"/>
      <c r="AM144" s="46" t="n"/>
      <c r="AN144" s="46" t="n"/>
      <c r="AO144" s="46" t="n"/>
      <c r="AP144" s="46" t="n"/>
    </row>
    <row r="145" ht="12.75" customHeight="1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</row>
    <row r="146" ht="12.75" customHeight="1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  <c r="AL146" s="46" t="n"/>
      <c r="AM146" s="46" t="n"/>
      <c r="AN146" s="46" t="n"/>
      <c r="AO146" s="46" t="n"/>
      <c r="AP146" s="46" t="n"/>
    </row>
    <row r="147" ht="12.75" customHeight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  <c r="AL147" s="46" t="n"/>
      <c r="AM147" s="46" t="n"/>
      <c r="AN147" s="46" t="n"/>
      <c r="AO147" s="46" t="n"/>
      <c r="AP147" s="46" t="n"/>
    </row>
    <row r="148" ht="12.75" customHeight="1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  <c r="AL148" s="46" t="n"/>
      <c r="AM148" s="46" t="n"/>
      <c r="AN148" s="46" t="n"/>
      <c r="AO148" s="46" t="n"/>
      <c r="AP148" s="46" t="n"/>
    </row>
    <row r="149" ht="12.75" customHeight="1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  <c r="AL149" s="46" t="n"/>
      <c r="AM149" s="46" t="n"/>
      <c r="AN149" s="46" t="n"/>
      <c r="AO149" s="46" t="n"/>
      <c r="AP149" s="46" t="n"/>
    </row>
    <row r="150" ht="12.75" customHeight="1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6" t="n"/>
      <c r="AI150" s="46" t="n"/>
      <c r="AJ150" s="46" t="n"/>
      <c r="AK150" s="46" t="n"/>
      <c r="AL150" s="46" t="n"/>
      <c r="AM150" s="46" t="n"/>
      <c r="AN150" s="46" t="n"/>
      <c r="AO150" s="46" t="n"/>
      <c r="AP150" s="46" t="n"/>
    </row>
    <row r="151" ht="12.75" customHeight="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6" t="n"/>
      <c r="AI151" s="46" t="n"/>
      <c r="AJ151" s="46" t="n"/>
      <c r="AK151" s="46" t="n"/>
      <c r="AL151" s="46" t="n"/>
      <c r="AM151" s="46" t="n"/>
      <c r="AN151" s="46" t="n"/>
      <c r="AO151" s="46" t="n"/>
      <c r="AP151" s="46" t="n"/>
    </row>
    <row r="152" ht="12.75" customHeight="1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6" t="n"/>
      <c r="AI152" s="46" t="n"/>
      <c r="AJ152" s="46" t="n"/>
      <c r="AK152" s="46" t="n"/>
      <c r="AL152" s="46" t="n"/>
      <c r="AM152" s="46" t="n"/>
      <c r="AN152" s="46" t="n"/>
      <c r="AO152" s="46" t="n"/>
      <c r="AP152" s="46" t="n"/>
    </row>
    <row r="153" ht="12.75" customHeight="1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6" t="n"/>
      <c r="AI153" s="46" t="n"/>
      <c r="AJ153" s="46" t="n"/>
      <c r="AK153" s="46" t="n"/>
      <c r="AL153" s="46" t="n"/>
      <c r="AM153" s="46" t="n"/>
      <c r="AN153" s="46" t="n"/>
      <c r="AO153" s="46" t="n"/>
      <c r="AP153" s="46" t="n"/>
    </row>
    <row r="154" ht="12.75" customHeight="1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6" t="n"/>
      <c r="AI154" s="46" t="n"/>
      <c r="AJ154" s="46" t="n"/>
      <c r="AK154" s="46" t="n"/>
      <c r="AL154" s="46" t="n"/>
      <c r="AM154" s="46" t="n"/>
      <c r="AN154" s="46" t="n"/>
      <c r="AO154" s="46" t="n"/>
      <c r="AP154" s="46" t="n"/>
    </row>
    <row r="155" ht="12.75" customHeight="1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6" t="n"/>
      <c r="AI155" s="46" t="n"/>
      <c r="AJ155" s="46" t="n"/>
      <c r="AK155" s="46" t="n"/>
      <c r="AL155" s="46" t="n"/>
      <c r="AM155" s="46" t="n"/>
      <c r="AN155" s="46" t="n"/>
      <c r="AO155" s="46" t="n"/>
      <c r="AP155" s="46" t="n"/>
    </row>
    <row r="156" ht="12.75" customHeight="1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6" t="n"/>
      <c r="AI156" s="46" t="n"/>
      <c r="AJ156" s="46" t="n"/>
      <c r="AK156" s="46" t="n"/>
      <c r="AL156" s="46" t="n"/>
      <c r="AM156" s="46" t="n"/>
      <c r="AN156" s="46" t="n"/>
      <c r="AO156" s="46" t="n"/>
      <c r="AP156" s="46" t="n"/>
    </row>
    <row r="157" ht="12.75" customHeight="1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6" t="n"/>
      <c r="AI157" s="46" t="n"/>
      <c r="AJ157" s="46" t="n"/>
      <c r="AK157" s="46" t="n"/>
      <c r="AL157" s="46" t="n"/>
      <c r="AM157" s="46" t="n"/>
      <c r="AN157" s="46" t="n"/>
      <c r="AO157" s="46" t="n"/>
      <c r="AP157" s="46" t="n"/>
    </row>
    <row r="158" ht="12.75" customHeight="1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6" t="n"/>
      <c r="AI158" s="46" t="n"/>
      <c r="AJ158" s="46" t="n"/>
      <c r="AK158" s="46" t="n"/>
      <c r="AL158" s="46" t="n"/>
      <c r="AM158" s="46" t="n"/>
      <c r="AN158" s="46" t="n"/>
      <c r="AO158" s="46" t="n"/>
      <c r="AP158" s="46" t="n"/>
    </row>
    <row r="159" ht="12.75" customHeight="1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6" t="n"/>
      <c r="AI159" s="46" t="n"/>
      <c r="AJ159" s="46" t="n"/>
      <c r="AK159" s="46" t="n"/>
      <c r="AL159" s="46" t="n"/>
      <c r="AM159" s="46" t="n"/>
      <c r="AN159" s="46" t="n"/>
      <c r="AO159" s="46" t="n"/>
      <c r="AP159" s="46" t="n"/>
    </row>
    <row r="160" ht="12.75" customHeight="1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6" t="n"/>
      <c r="AI160" s="46" t="n"/>
      <c r="AJ160" s="46" t="n"/>
      <c r="AK160" s="46" t="n"/>
      <c r="AL160" s="46" t="n"/>
      <c r="AM160" s="46" t="n"/>
      <c r="AN160" s="46" t="n"/>
      <c r="AO160" s="46" t="n"/>
      <c r="AP160" s="46" t="n"/>
    </row>
    <row r="161" ht="12.75" customHeight="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6" t="n"/>
      <c r="AI161" s="46" t="n"/>
      <c r="AJ161" s="46" t="n"/>
      <c r="AK161" s="46" t="n"/>
      <c r="AL161" s="46" t="n"/>
      <c r="AM161" s="46" t="n"/>
      <c r="AN161" s="46" t="n"/>
      <c r="AO161" s="46" t="n"/>
      <c r="AP161" s="46" t="n"/>
    </row>
    <row r="162" ht="12.75" customHeight="1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6" t="n"/>
      <c r="AI162" s="46" t="n"/>
      <c r="AJ162" s="46" t="n"/>
      <c r="AK162" s="46" t="n"/>
      <c r="AL162" s="46" t="n"/>
      <c r="AM162" s="46" t="n"/>
      <c r="AN162" s="46" t="n"/>
      <c r="AO162" s="46" t="n"/>
      <c r="AP162" s="46" t="n"/>
    </row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4.5" customHeight="1"/>
    <row r="187" ht="12.75" customHeight="1"/>
    <row r="188" ht="12.75" customHeight="1"/>
    <row r="189" ht="9" customHeight="1"/>
    <row r="190" ht="1" customHeight="1"/>
    <row r="191" ht="1" customHeight="1"/>
    <row r="192" ht="1" customHeight="1"/>
    <row r="193" ht="1" customHeight="1"/>
    <row r="194" ht="1" customHeight="1"/>
    <row r="195" ht="3" customHeight="1"/>
    <row r="196" ht="1" customHeight="1"/>
    <row r="197" ht="1" customHeight="1"/>
    <row r="198" ht="8" customHeight="1"/>
    <row r="199" ht="1" customHeight="1"/>
    <row r="200" ht="1" customHeight="1"/>
    <row r="201" ht="9" customHeight="1"/>
    <row r="202" ht="1" customHeight="1"/>
    <row r="203" ht="1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" customHeight="1"/>
    <row r="212" ht="12.75" customHeight="1"/>
    <row r="213" ht="12.75" customHeight="1"/>
    <row r="214" ht="1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6" customHeight="1"/>
    <row r="223" ht="12.75" customHeight="1"/>
    <row r="224" ht="1" customHeight="1"/>
    <row r="225" ht="12.75" customHeight="1"/>
    <row r="226" ht="12.75" customHeight="1"/>
    <row r="227" ht="12.75" customHeight="1"/>
    <row r="228" ht="12.75" customHeight="1"/>
    <row r="229" ht="4" customHeight="1"/>
    <row r="230" ht="1" customHeight="1"/>
    <row r="231" ht="12.75" customHeight="1"/>
    <row r="232" ht="12.75" customHeight="1"/>
    <row r="233" ht="12.75" customHeight="1"/>
    <row r="234" ht="3" customHeight="1"/>
    <row r="235" ht="1" customHeight="1"/>
    <row r="236" ht="12.75" customHeight="1"/>
    <row r="237" ht="1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2.25" customHeight="1"/>
    <row r="245" ht="4" customHeight="1"/>
    <row r="246" ht="1" customHeight="1"/>
    <row r="247" ht="3" customHeight="1"/>
    <row r="248" ht="1" customHeight="1"/>
    <row r="249" ht="10" customHeight="1"/>
    <row r="250" ht="12.75" customHeight="1"/>
    <row r="251" ht="12.75" customHeight="1"/>
    <row r="252" ht="1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" customHeight="1"/>
    <row r="265" ht="12.75" customHeight="1"/>
    <row r="266" ht="12.75" customHeight="1"/>
    <row r="267" ht="6" customHeight="1"/>
    <row r="268" ht="1" customHeight="1"/>
    <row r="269" ht="12.75" customHeight="1"/>
    <row r="270" ht="2" customHeight="1"/>
    <row r="271" ht="1" customHeight="1"/>
    <row r="272" ht="12.75" customHeight="1"/>
    <row r="273" ht="1" customHeight="1"/>
    <row r="274" ht="4" customHeight="1"/>
    <row r="275" ht="1" customHeight="1"/>
    <row r="276" ht="12.75" customHeight="1"/>
    <row r="277" ht="3" customHeight="1"/>
    <row r="278" ht="1" customHeight="1"/>
    <row r="279" ht="12.75" customHeight="1"/>
    <row r="280" ht="6" customHeight="1"/>
    <row r="281" ht="1" customHeight="1"/>
    <row r="282" ht="12.75" customHeight="1"/>
    <row r="283" ht="1" customHeight="1"/>
    <row r="284" ht="8" customHeight="1"/>
    <row r="285" ht="1" customHeight="1"/>
    <row r="286" ht="7" customHeight="1"/>
    <row r="287" ht="1" customHeight="1"/>
    <row r="288" ht="3" customHeight="1"/>
    <row r="289" ht="1" customHeight="1"/>
    <row r="290" ht="3" customHeight="1"/>
    <row r="291" ht="1" customHeight="1"/>
    <row r="292" ht="5" customHeight="1"/>
    <row r="293" ht="1" customHeight="1"/>
    <row r="294" ht="12.75" customHeight="1"/>
    <row r="295" ht="12.75" customHeight="1"/>
    <row r="296" ht="4" customHeight="1"/>
    <row r="297" ht="1" customHeight="1"/>
    <row r="298" ht="1" customHeight="1"/>
    <row r="299" ht="2" customHeight="1"/>
    <row r="300" ht="1" customHeight="1"/>
    <row r="301" ht="12" customHeight="1"/>
    <row r="302" ht="12.75" customHeight="1"/>
    <row r="303" ht="12.75" customHeight="1"/>
    <row r="304" ht="12.75" customHeight="1"/>
    <row r="305" ht="12.75" customHeight="1"/>
    <row r="306" ht="12.75" customHeight="1"/>
    <row r="315">
      <c r="A315" s="2" t="n"/>
      <c r="B315" s="15" t="n"/>
      <c r="C315" s="2" t="n"/>
    </row>
    <row r="316">
      <c r="A316" s="2" t="n"/>
      <c r="B316" s="15" t="n"/>
      <c r="C316" s="2" t="n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>
  <sheetPr codeName="Sheet2">
    <outlinePr summaryBelow="1" summaryRight="1"/>
    <pageSetUpPr/>
  </sheetPr>
  <dimension ref="A1:EB330"/>
  <sheetViews>
    <sheetView zoomScaleNormal="100" workbookViewId="0">
      <pane xSplit="5" ySplit="3" topLeftCell="AP4" activePane="bottomRight" state="frozen"/>
      <selection pane="topRight" activeCell="E1" sqref="E1"/>
      <selection pane="bottomLeft" activeCell="A4" sqref="A4"/>
      <selection pane="bottomRight" activeCell="AN166" sqref="AN166"/>
    </sheetView>
  </sheetViews>
  <sheetFormatPr baseColWidth="10" defaultColWidth="11.1640625" defaultRowHeight="15" outlineLevelRow="2"/>
  <cols>
    <col collapsed="1" width="33.5" bestFit="1" customWidth="1" min="2" max="2"/>
    <col hidden="1" outlineLevel="1" width="12.83203125" customWidth="1" min="3" max="3"/>
    <col hidden="1" outlineLevel="1" width="20.5" customWidth="1" min="4" max="4"/>
    <col hidden="1" outlineLevel="1" width="6.33203125" customWidth="1" min="5" max="5"/>
    <col collapsed="1" width="13.83203125" customWidth="1" min="6" max="6"/>
    <col width="13" customWidth="1" min="7" max="12"/>
    <col width="14" bestFit="1" customWidth="1" min="14" max="15"/>
    <col width="15" customWidth="1" min="16" max="25"/>
    <col width="15.5" bestFit="1" customWidth="1" min="26" max="26"/>
    <col width="14" bestFit="1" customWidth="1" min="28" max="28"/>
    <col width="12" bestFit="1" customWidth="1" min="29" max="29"/>
    <col width="14" bestFit="1" customWidth="1" min="30" max="30"/>
    <col width="13.1640625" customWidth="1" min="31" max="40"/>
    <col width="12.83203125" bestFit="1" customWidth="1" min="42" max="42"/>
    <col width="12.5" customWidth="1" min="43" max="43"/>
    <col width="13.5" bestFit="1" customWidth="1" min="44" max="46"/>
    <col width="17" customWidth="1" min="47" max="47"/>
    <col width="12.5" customWidth="1" min="48" max="53"/>
    <col width="14" bestFit="1" customWidth="1" min="54" max="54"/>
    <col width="12.1640625" bestFit="1" customWidth="1" min="55" max="55"/>
    <col width="14" bestFit="1" customWidth="1" min="56" max="60"/>
    <col width="12.83203125" bestFit="1" customWidth="1" min="61" max="61"/>
  </cols>
  <sheetData>
    <row r="1" ht="20" customHeight="1" thickBot="1">
      <c r="A1" s="441" t="n"/>
      <c r="B1" s="131" t="n"/>
      <c r="C1" s="132" t="n"/>
      <c r="D1" s="132" t="n"/>
      <c r="E1" s="132" t="n"/>
      <c r="F1" s="133" t="n"/>
      <c r="G1" s="133" t="n"/>
      <c r="H1" s="133" t="n"/>
      <c r="I1" s="133" t="n"/>
      <c r="J1" s="133" t="n"/>
      <c r="K1" s="133" t="n"/>
      <c r="L1" s="135" t="n"/>
      <c r="N1" s="134" t="inlineStr">
        <is>
          <t>Forecast</t>
        </is>
      </c>
      <c r="O1" s="133" t="n"/>
      <c r="P1" s="133" t="n"/>
      <c r="Q1" s="133" t="n"/>
      <c r="R1" s="133" t="n"/>
      <c r="S1" s="131" t="n"/>
      <c r="T1" s="133" t="n"/>
      <c r="U1" s="133" t="n"/>
      <c r="V1" s="133" t="n"/>
      <c r="W1" s="133" t="n"/>
      <c r="X1" s="133" t="n"/>
      <c r="Y1" s="133" t="n"/>
      <c r="Z1" s="135" t="n"/>
      <c r="AB1" s="134" t="inlineStr">
        <is>
          <t>Forecast</t>
        </is>
      </c>
      <c r="AC1" s="133" t="n"/>
      <c r="AD1" s="133" t="n"/>
      <c r="AE1" s="133" t="n"/>
      <c r="AF1" s="133" t="n"/>
      <c r="AG1" s="131" t="n"/>
      <c r="AH1" s="133" t="n"/>
      <c r="AI1" s="133" t="n"/>
      <c r="AJ1" s="133" t="n"/>
      <c r="AK1" s="133" t="n"/>
      <c r="AL1" s="133" t="n"/>
      <c r="AM1" s="133" t="n"/>
      <c r="AN1" s="135" t="n"/>
      <c r="AP1" s="134" t="inlineStr">
        <is>
          <t>Forecast</t>
        </is>
      </c>
      <c r="AQ1" s="133" t="n"/>
      <c r="AR1" s="133" t="n"/>
      <c r="AS1" s="133" t="n"/>
      <c r="AT1" s="133" t="n"/>
      <c r="AU1" s="131" t="n"/>
      <c r="AV1" s="133" t="n"/>
      <c r="AW1" s="133" t="n"/>
      <c r="AX1" s="133" t="n"/>
      <c r="AY1" s="133" t="n"/>
      <c r="AZ1" s="133" t="n"/>
      <c r="BA1" s="133" t="n"/>
      <c r="BB1" s="135" t="n"/>
    </row>
    <row r="2" ht="20" customHeight="1">
      <c r="A2" s="441" t="n"/>
      <c r="B2" s="136" t="inlineStr">
        <is>
          <t xml:space="preserve"> </t>
        </is>
      </c>
      <c r="C2" s="132" t="n"/>
      <c r="D2" s="132" t="n"/>
      <c r="E2" s="132" t="n"/>
      <c r="F2" s="137" t="inlineStr">
        <is>
          <t>Assumptions</t>
        </is>
      </c>
      <c r="G2" s="684" t="inlineStr">
        <is>
          <t>2025</t>
        </is>
      </c>
      <c r="H2" s="1319" t="n"/>
      <c r="I2" s="1319" t="n"/>
      <c r="J2" s="1319" t="n"/>
      <c r="K2" s="1319" t="n"/>
      <c r="L2" s="1319" t="n"/>
      <c r="M2" s="1319" t="n"/>
      <c r="N2" s="1319" t="n"/>
      <c r="O2" s="1319" t="n"/>
      <c r="P2" s="1319" t="n"/>
      <c r="Q2" s="1319" t="n"/>
      <c r="R2" s="1319" t="n"/>
      <c r="S2" s="390" t="n">
        <v>2025</v>
      </c>
      <c r="T2" s="653" t="n"/>
      <c r="U2" s="134" t="n">
        <v>2026</v>
      </c>
      <c r="V2" s="1319" t="n"/>
      <c r="W2" s="1319" t="n"/>
      <c r="X2" s="1319" t="n"/>
      <c r="Y2" s="1319" t="n"/>
      <c r="Z2" s="1319" t="n"/>
      <c r="AA2" s="1319" t="n"/>
      <c r="AB2" s="1319" t="n"/>
      <c r="AC2" s="1319" t="n"/>
      <c r="AD2" s="1319" t="n"/>
      <c r="AE2" s="1319" t="n"/>
      <c r="AF2" s="1319" t="n"/>
      <c r="AG2" s="390" t="n">
        <v>2026</v>
      </c>
      <c r="AH2" s="653" t="n"/>
      <c r="AI2" s="684" t="inlineStr">
        <is>
          <t>2027</t>
        </is>
      </c>
      <c r="AJ2" s="1319" t="n"/>
      <c r="AK2" s="1319" t="n"/>
      <c r="AL2" s="1319" t="n"/>
      <c r="AM2" s="1319" t="n"/>
      <c r="AN2" s="1319" t="n"/>
      <c r="AO2" s="1319" t="n"/>
      <c r="AP2" s="1319" t="n"/>
      <c r="AQ2" s="1319" t="n"/>
      <c r="AR2" s="1319" t="n"/>
      <c r="AS2" s="1319" t="n"/>
      <c r="AT2" s="1319" t="n"/>
      <c r="AU2" s="390" t="n">
        <v>2027</v>
      </c>
      <c r="AV2" s="653" t="n"/>
      <c r="AW2" s="138" t="n">
        <v>2028</v>
      </c>
      <c r="AX2" s="1319" t="n"/>
      <c r="AY2" s="1319" t="n"/>
      <c r="AZ2" s="1319" t="n"/>
      <c r="BA2" s="1319" t="n"/>
      <c r="BB2" s="1319" t="n"/>
      <c r="BC2" s="1319" t="n"/>
      <c r="BD2" s="1319" t="n"/>
      <c r="BE2" s="1319" t="n"/>
      <c r="BF2" s="1319" t="n"/>
      <c r="BG2" s="1319" t="n"/>
      <c r="BH2" s="1319" t="n"/>
      <c r="BI2" s="390" t="n">
        <v>2028</v>
      </c>
    </row>
    <row r="3" ht="20" customHeight="1" thickBot="1">
      <c r="A3" s="441" t="n"/>
      <c r="B3" s="140" t="n"/>
      <c r="C3" s="141" t="inlineStr">
        <is>
          <t>Account</t>
        </is>
      </c>
      <c r="D3" s="141" t="inlineStr">
        <is>
          <t>Account Comments</t>
        </is>
      </c>
      <c r="E3" s="141" t="inlineStr">
        <is>
          <t>Driver</t>
        </is>
      </c>
      <c r="F3" s="142" t="inlineStr">
        <is>
          <t xml:space="preserve"> </t>
        </is>
      </c>
      <c r="G3" s="143" t="n">
        <v>45658</v>
      </c>
      <c r="H3" s="144" t="n">
        <v>45718</v>
      </c>
      <c r="I3" s="144" t="n">
        <v>45717</v>
      </c>
      <c r="J3" s="144" t="n">
        <v>45748</v>
      </c>
      <c r="K3" s="144" t="n">
        <v>45778</v>
      </c>
      <c r="L3" s="144" t="n">
        <v>45809</v>
      </c>
      <c r="M3" s="144" t="n">
        <v>45839</v>
      </c>
      <c r="N3" s="144" t="n">
        <v>45870</v>
      </c>
      <c r="O3" s="144" t="n">
        <v>45901</v>
      </c>
      <c r="P3" s="144" t="n">
        <v>45931</v>
      </c>
      <c r="Q3" s="144" t="n">
        <v>45962</v>
      </c>
      <c r="R3" s="144" t="n">
        <v>45992</v>
      </c>
      <c r="S3" s="391" t="inlineStr">
        <is>
          <t>Total</t>
        </is>
      </c>
      <c r="T3" s="653" t="n"/>
      <c r="U3" s="144" t="n">
        <v>46023</v>
      </c>
      <c r="V3" s="144" t="n">
        <v>46054</v>
      </c>
      <c r="W3" s="144" t="n">
        <v>46082</v>
      </c>
      <c r="X3" s="144" t="n">
        <v>46113</v>
      </c>
      <c r="Y3" s="144" t="n">
        <v>46143</v>
      </c>
      <c r="Z3" s="144" t="n">
        <v>46174</v>
      </c>
      <c r="AA3" s="144" t="n">
        <v>46204</v>
      </c>
      <c r="AB3" s="144" t="n">
        <v>46235</v>
      </c>
      <c r="AC3" s="144" t="n">
        <v>46266</v>
      </c>
      <c r="AD3" s="144" t="n">
        <v>46296</v>
      </c>
      <c r="AE3" s="144" t="n">
        <v>46327</v>
      </c>
      <c r="AF3" s="144" t="n">
        <v>46357</v>
      </c>
      <c r="AG3" s="391" t="inlineStr">
        <is>
          <t>Total</t>
        </is>
      </c>
      <c r="AH3" s="653" t="n"/>
      <c r="AI3" s="143" t="n">
        <v>46388</v>
      </c>
      <c r="AJ3" s="144" t="n">
        <v>46448</v>
      </c>
      <c r="AK3" s="144" t="n">
        <v>46447</v>
      </c>
      <c r="AL3" s="144" t="n">
        <v>46478</v>
      </c>
      <c r="AM3" s="144" t="n">
        <v>46508</v>
      </c>
      <c r="AN3" s="144" t="n">
        <v>46539</v>
      </c>
      <c r="AO3" s="144" t="n">
        <v>46569</v>
      </c>
      <c r="AP3" s="144" t="n">
        <v>46600</v>
      </c>
      <c r="AQ3" s="144" t="n">
        <v>46631</v>
      </c>
      <c r="AR3" s="144" t="n">
        <v>46661</v>
      </c>
      <c r="AS3" s="144" t="n">
        <v>46692</v>
      </c>
      <c r="AT3" s="144" t="n">
        <v>46722</v>
      </c>
      <c r="AU3" s="391" t="inlineStr">
        <is>
          <t>Total</t>
        </is>
      </c>
      <c r="AV3" s="653" t="n"/>
      <c r="AW3" s="143" t="n">
        <v>46753</v>
      </c>
      <c r="AX3" s="144" t="n">
        <v>46784</v>
      </c>
      <c r="AY3" s="144" t="n">
        <v>46813</v>
      </c>
      <c r="AZ3" s="144" t="n">
        <v>46844</v>
      </c>
      <c r="BA3" s="144" t="n">
        <v>46874</v>
      </c>
      <c r="BB3" s="144" t="n">
        <v>46905</v>
      </c>
      <c r="BC3" s="144" t="n">
        <v>46935</v>
      </c>
      <c r="BD3" s="144" t="n">
        <v>46966</v>
      </c>
      <c r="BE3" s="144" t="n">
        <v>46997</v>
      </c>
      <c r="BF3" s="144" t="n">
        <v>47027</v>
      </c>
      <c r="BG3" s="144" t="n">
        <v>47058</v>
      </c>
      <c r="BH3" s="144" t="n">
        <v>46722</v>
      </c>
      <c r="BI3" s="774" t="inlineStr">
        <is>
          <t>Total</t>
        </is>
      </c>
    </row>
    <row r="4" outlineLevel="1" ht="20" customHeight="1">
      <c r="A4" s="441" t="n"/>
      <c r="B4" s="334" t="inlineStr">
        <is>
          <t>Revenue:</t>
        </is>
      </c>
      <c r="C4" s="132" t="n"/>
      <c r="D4" s="145" t="n"/>
      <c r="E4" s="132" t="n"/>
      <c r="F4" s="146" t="inlineStr">
        <is>
          <t xml:space="preserve"> </t>
        </is>
      </c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392" t="n"/>
      <c r="U4" s="147" t="n"/>
      <c r="V4" s="147" t="n"/>
      <c r="W4" s="147" t="n"/>
      <c r="X4" s="147" t="n"/>
      <c r="Y4" s="147" t="n"/>
      <c r="Z4" s="147" t="n"/>
      <c r="AA4" s="147" t="n"/>
      <c r="AB4" s="147" t="n"/>
      <c r="AC4" s="147" t="n"/>
      <c r="AD4" s="147" t="n"/>
      <c r="AE4" s="147" t="n"/>
      <c r="AF4" s="147" t="n"/>
      <c r="AG4" s="392" t="n"/>
      <c r="AI4" s="147" t="n"/>
      <c r="AJ4" s="147" t="n"/>
      <c r="AK4" s="147" t="n"/>
      <c r="AL4" s="147" t="n"/>
      <c r="AM4" s="147" t="n"/>
      <c r="AN4" s="147" t="n"/>
      <c r="AO4" s="147" t="n"/>
      <c r="AP4" s="147" t="n"/>
      <c r="AQ4" s="147" t="n"/>
      <c r="AR4" s="147" t="n"/>
      <c r="AS4" s="147" t="n"/>
      <c r="AT4" s="147" t="n"/>
      <c r="AU4" s="392" t="n"/>
      <c r="AW4" s="147" t="n"/>
      <c r="AX4" s="147" t="n"/>
      <c r="AY4" s="147" t="n"/>
      <c r="AZ4" s="147" t="n"/>
      <c r="BA4" s="147" t="n"/>
      <c r="BB4" s="147" t="n"/>
      <c r="BC4" s="147" t="n"/>
      <c r="BD4" s="147" t="n"/>
      <c r="BE4" s="147" t="n"/>
      <c r="BF4" s="147" t="n"/>
      <c r="BG4" s="147" t="n"/>
      <c r="BH4" s="147" t="n"/>
      <c r="BI4" s="392" t="n"/>
    </row>
    <row r="5" outlineLevel="1" ht="20" customHeight="1">
      <c r="A5" s="441" t="n"/>
      <c r="B5" s="335" t="inlineStr">
        <is>
          <t>Administrative</t>
        </is>
      </c>
      <c r="C5" s="132" t="n"/>
      <c r="D5" s="145" t="n"/>
      <c r="E5" s="132" t="n"/>
      <c r="F5" s="146" t="n"/>
      <c r="G5" s="148" t="n"/>
      <c r="H5" s="148" t="n"/>
      <c r="I5" s="148" t="n"/>
      <c r="J5" s="148" t="n"/>
      <c r="K5" s="148" t="n"/>
      <c r="L5" s="148" t="n"/>
      <c r="M5" s="148" t="n"/>
      <c r="N5" s="148" t="n"/>
      <c r="O5" s="148" t="n"/>
      <c r="P5" s="148" t="n"/>
      <c r="Q5" s="148" t="n"/>
      <c r="R5" s="148" t="n"/>
      <c r="S5" s="392" t="n"/>
      <c r="U5" s="148" t="n"/>
      <c r="V5" s="148" t="n"/>
      <c r="W5" s="148" t="n"/>
      <c r="X5" s="148" t="n"/>
      <c r="Y5" s="148" t="n"/>
      <c r="Z5" s="148" t="n"/>
      <c r="AA5" s="148" t="n"/>
      <c r="AB5" s="148" t="n"/>
      <c r="AC5" s="148" t="n"/>
      <c r="AD5" s="148" t="n"/>
      <c r="AE5" s="148" t="n"/>
      <c r="AF5" s="148" t="n"/>
      <c r="AG5" s="392" t="n"/>
      <c r="AI5" s="148" t="n"/>
      <c r="AJ5" s="148" t="n"/>
      <c r="AK5" s="148" t="n"/>
      <c r="AL5" s="148" t="n"/>
      <c r="AM5" s="148" t="n"/>
      <c r="AN5" s="148" t="n"/>
      <c r="AO5" s="148" t="n"/>
      <c r="AP5" s="148" t="n"/>
      <c r="AQ5" s="148" t="n"/>
      <c r="AR5" s="148" t="n"/>
      <c r="AS5" s="148" t="n"/>
      <c r="AT5" s="148" t="n"/>
      <c r="AU5" s="392" t="n"/>
      <c r="AW5" s="148" t="n"/>
      <c r="AX5" s="148" t="n"/>
      <c r="AY5" s="148" t="n"/>
      <c r="AZ5" s="148" t="n"/>
      <c r="BA5" s="148" t="n"/>
      <c r="BB5" s="148" t="n"/>
      <c r="BC5" s="148" t="n"/>
      <c r="BD5" s="148" t="n"/>
      <c r="BE5" s="148" t="n"/>
      <c r="BF5" s="148" t="n"/>
      <c r="BG5" s="148" t="n"/>
      <c r="BH5" s="148" t="n"/>
      <c r="BI5" s="392" t="n"/>
    </row>
    <row r="6" outlineLevel="1" ht="20" customHeight="1">
      <c r="A6" s="441" t="n"/>
      <c r="B6" s="331" t="inlineStr">
        <is>
          <t>Configuration</t>
        </is>
      </c>
      <c r="C6" s="1363" t="inlineStr">
        <is>
          <t xml:space="preserve"> </t>
        </is>
      </c>
      <c r="D6" s="1364" t="n"/>
      <c r="E6" s="1365" t="n"/>
      <c r="F6" s="1366" t="inlineStr">
        <is>
          <t xml:space="preserve"> </t>
        </is>
      </c>
      <c r="G6" s="337">
        <f>'Revenue 2025'!$D$97</f>
        <v/>
      </c>
      <c r="H6" s="337">
        <f>'Revenue 2025'!$E$97</f>
        <v/>
      </c>
      <c r="I6" s="337">
        <f>'Revenue 2025'!$F$97</f>
        <v/>
      </c>
      <c r="J6" s="337">
        <f>'Revenue 2025'!$G$97</f>
        <v/>
      </c>
      <c r="K6" s="337">
        <f>'Revenue 2025'!$H97</f>
        <v/>
      </c>
      <c r="L6" s="337">
        <f>'Revenue 2025'!$I$97</f>
        <v/>
      </c>
      <c r="M6" s="337">
        <f>'Revenue 2025'!$J$97</f>
        <v/>
      </c>
      <c r="N6" s="337">
        <f>'Revenue 2025'!$K$97</f>
        <v/>
      </c>
      <c r="O6" s="337">
        <f>'Revenue 2025'!$L$97</f>
        <v/>
      </c>
      <c r="P6" s="337">
        <f>'Revenue 2025'!$M$97</f>
        <v/>
      </c>
      <c r="Q6" s="337">
        <f>'Revenue 2025'!$N$97</f>
        <v/>
      </c>
      <c r="R6" s="337">
        <f>'Revenue 2025'!$O$97</f>
        <v/>
      </c>
      <c r="S6" s="1367">
        <f>SUM(G6:R6)</f>
        <v/>
      </c>
      <c r="U6" s="337">
        <f>'Revenue 2026'!$D$103</f>
        <v/>
      </c>
      <c r="V6" s="337">
        <f>'Revenue 2026'!$E$103</f>
        <v/>
      </c>
      <c r="W6" s="337">
        <f>'Revenue 2026'!$F$103</f>
        <v/>
      </c>
      <c r="X6" s="337">
        <f>'Revenue 2026'!$G$103</f>
        <v/>
      </c>
      <c r="Y6" s="337">
        <f>'Revenue 2026'!$H103</f>
        <v/>
      </c>
      <c r="Z6" s="337">
        <f>'Revenue 2026'!$I$103</f>
        <v/>
      </c>
      <c r="AA6" s="337">
        <f>'Revenue 2026'!$J$103</f>
        <v/>
      </c>
      <c r="AB6" s="337">
        <f>'Revenue 2026'!$K$103</f>
        <v/>
      </c>
      <c r="AC6" s="337">
        <f>'Revenue 2026'!$L$103</f>
        <v/>
      </c>
      <c r="AD6" s="337">
        <f>'Revenue 2026'!$M$103</f>
        <v/>
      </c>
      <c r="AE6" s="337">
        <f>'Revenue 2026'!$N$103</f>
        <v/>
      </c>
      <c r="AF6" s="337">
        <f>'Revenue 2026'!$O$103</f>
        <v/>
      </c>
      <c r="AG6" s="1367">
        <f>SUM(U6:AF6)</f>
        <v/>
      </c>
      <c r="AI6" s="337">
        <f>'Revenue 2027'!$D$103</f>
        <v/>
      </c>
      <c r="AJ6" s="337">
        <f>'Revenue 2027'!$E$103</f>
        <v/>
      </c>
      <c r="AK6" s="337">
        <f>'Revenue 2027'!$F$103</f>
        <v/>
      </c>
      <c r="AL6" s="337">
        <f>'Revenue 2027'!$G$103</f>
        <v/>
      </c>
      <c r="AM6" s="337">
        <f>'Revenue 2027'!$H103</f>
        <v/>
      </c>
      <c r="AN6" s="337">
        <f>'Revenue 2027'!$I$103</f>
        <v/>
      </c>
      <c r="AO6" s="337">
        <f>'Revenue 2027'!$J$103</f>
        <v/>
      </c>
      <c r="AP6" s="337">
        <f>'Revenue 2027'!$K$103</f>
        <v/>
      </c>
      <c r="AQ6" s="337">
        <f>'Revenue 2027'!$L$103</f>
        <v/>
      </c>
      <c r="AR6" s="337">
        <f>'Revenue 2027'!$M$103</f>
        <v/>
      </c>
      <c r="AS6" s="337">
        <f>'Revenue 2027'!$N$103</f>
        <v/>
      </c>
      <c r="AT6" s="337">
        <f>'Revenue 2027'!$O$103</f>
        <v/>
      </c>
      <c r="AU6" s="1367">
        <f>SUM(AI6:AT6)</f>
        <v/>
      </c>
      <c r="AW6" s="337">
        <f>'Revenue 2028'!D102</f>
        <v/>
      </c>
      <c r="AX6" s="337">
        <f>'Revenue 2028'!E102</f>
        <v/>
      </c>
      <c r="AY6" s="337">
        <f>'Revenue 2028'!F102</f>
        <v/>
      </c>
      <c r="AZ6" s="337">
        <f>'Revenue 2028'!G102</f>
        <v/>
      </c>
      <c r="BA6" s="337">
        <f>'Revenue 2028'!H102</f>
        <v/>
      </c>
      <c r="BB6" s="337">
        <f>'Revenue 2028'!I102</f>
        <v/>
      </c>
      <c r="BC6" s="337">
        <f>'Revenue 2028'!J102</f>
        <v/>
      </c>
      <c r="BD6" s="337">
        <f>'Revenue 2028'!K102</f>
        <v/>
      </c>
      <c r="BE6" s="337">
        <f>'Revenue 2028'!L102</f>
        <v/>
      </c>
      <c r="BF6" s="337">
        <f>'Revenue 2028'!M102</f>
        <v/>
      </c>
      <c r="BG6" s="337">
        <f>'Revenue 2028'!N102</f>
        <v/>
      </c>
      <c r="BH6" s="337">
        <f>'Revenue 2028'!O102</f>
        <v/>
      </c>
      <c r="BI6" s="1367">
        <f>SUM(AW6:BH6)</f>
        <v/>
      </c>
    </row>
    <row r="7" outlineLevel="1" ht="20" customHeight="1">
      <c r="A7" s="441" t="n"/>
      <c r="B7" s="331" t="inlineStr">
        <is>
          <t>On-Boarding- Administrator</t>
        </is>
      </c>
      <c r="C7" s="1368" t="inlineStr">
        <is>
          <t xml:space="preserve"> </t>
        </is>
      </c>
      <c r="D7" s="1364" t="n"/>
      <c r="E7" s="1365" t="n"/>
      <c r="F7" s="1366" t="n"/>
      <c r="G7" s="1366">
        <f>'Revenue 2025'!$D$103</f>
        <v/>
      </c>
      <c r="H7" s="1366">
        <f>'Revenue 2025'!$E$103</f>
        <v/>
      </c>
      <c r="I7" s="1366">
        <f>'Revenue 2025'!$F$103</f>
        <v/>
      </c>
      <c r="J7" s="1366">
        <f>'Revenue 2025'!$G$103</f>
        <v/>
      </c>
      <c r="K7" s="1366">
        <f>'Revenue 2025'!$H$103</f>
        <v/>
      </c>
      <c r="L7" s="1366">
        <f>'Revenue 2025'!$I$103</f>
        <v/>
      </c>
      <c r="M7" s="1366">
        <f>'Revenue 2025'!$J$103</f>
        <v/>
      </c>
      <c r="N7" s="1366">
        <f>'Revenue 2025'!$K$103</f>
        <v/>
      </c>
      <c r="O7" s="1366">
        <f>'Revenue 2025'!$L$103</f>
        <v/>
      </c>
      <c r="P7" s="1366">
        <f>'Revenue 2025'!$M$103</f>
        <v/>
      </c>
      <c r="Q7" s="1366">
        <f>'Revenue 2025'!$N$103</f>
        <v/>
      </c>
      <c r="R7" s="1366">
        <f>'Revenue 2025'!$O$103</f>
        <v/>
      </c>
      <c r="S7" s="1367">
        <f>SUM(G7:R7)</f>
        <v/>
      </c>
      <c r="U7" s="1366">
        <f>'Revenue 2026'!$D$109</f>
        <v/>
      </c>
      <c r="V7" s="1366">
        <f>'Revenue 2026'!$E$109</f>
        <v/>
      </c>
      <c r="W7" s="1366">
        <f>'Revenue 2026'!$F$109</f>
        <v/>
      </c>
      <c r="X7" s="1366">
        <f>'Revenue 2026'!$G$109</f>
        <v/>
      </c>
      <c r="Y7" s="1366">
        <f>'Revenue 2026'!$H$109</f>
        <v/>
      </c>
      <c r="Z7" s="1366">
        <f>'Revenue 2026'!$I$109</f>
        <v/>
      </c>
      <c r="AA7" s="1366">
        <f>'Revenue 2026'!$J$109</f>
        <v/>
      </c>
      <c r="AB7" s="1366">
        <f>'Revenue 2026'!$K$109</f>
        <v/>
      </c>
      <c r="AC7" s="1366">
        <f>'Revenue 2026'!$L$109</f>
        <v/>
      </c>
      <c r="AD7" s="1366">
        <f>'Revenue 2026'!$M$109</f>
        <v/>
      </c>
      <c r="AE7" s="1366">
        <f>'Revenue 2026'!$N$109</f>
        <v/>
      </c>
      <c r="AF7" s="1366">
        <f>'Revenue 2026'!$O$109</f>
        <v/>
      </c>
      <c r="AG7" s="1367">
        <f>SUM(U7:AF7)</f>
        <v/>
      </c>
      <c r="AI7" s="1366">
        <f>'Revenue 2027'!$D$109</f>
        <v/>
      </c>
      <c r="AJ7" s="1366">
        <f>'Revenue 2027'!$E$109</f>
        <v/>
      </c>
      <c r="AK7" s="1366">
        <f>'Revenue 2027'!$F$109</f>
        <v/>
      </c>
      <c r="AL7" s="1366">
        <f>'Revenue 2027'!$G$109</f>
        <v/>
      </c>
      <c r="AM7" s="1366">
        <f>'Revenue 2027'!$H$109</f>
        <v/>
      </c>
      <c r="AN7" s="1366">
        <f>'Revenue 2027'!$I$109</f>
        <v/>
      </c>
      <c r="AO7" s="1366">
        <f>'Revenue 2027'!$J$109</f>
        <v/>
      </c>
      <c r="AP7" s="1366">
        <f>'Revenue 2027'!$K$109</f>
        <v/>
      </c>
      <c r="AQ7" s="1366">
        <f>'Revenue 2027'!$L$109</f>
        <v/>
      </c>
      <c r="AR7" s="1366">
        <f>'Revenue 2027'!$M$109</f>
        <v/>
      </c>
      <c r="AS7" s="1366">
        <f>'Revenue 2027'!$N$109</f>
        <v/>
      </c>
      <c r="AT7" s="1366">
        <f>'Revenue 2027'!$O$109</f>
        <v/>
      </c>
      <c r="AU7" s="1367">
        <f>SUM(AI7:AT7)</f>
        <v/>
      </c>
      <c r="AW7" s="1366">
        <f>'Revenue 2028'!D108</f>
        <v/>
      </c>
      <c r="AX7" s="1366">
        <f>'Revenue 2028'!E108</f>
        <v/>
      </c>
      <c r="AY7" s="1366">
        <f>'Revenue 2028'!F108</f>
        <v/>
      </c>
      <c r="AZ7" s="1366">
        <f>'Revenue 2028'!G108</f>
        <v/>
      </c>
      <c r="BA7" s="1366">
        <f>'Revenue 2028'!H108</f>
        <v/>
      </c>
      <c r="BB7" s="1366">
        <f>'Revenue 2028'!I108</f>
        <v/>
      </c>
      <c r="BC7" s="1366">
        <f>'Revenue 2028'!J108</f>
        <v/>
      </c>
      <c r="BD7" s="1366">
        <f>'Revenue 2028'!K108</f>
        <v/>
      </c>
      <c r="BE7" s="1366">
        <f>'Revenue 2028'!L108</f>
        <v/>
      </c>
      <c r="BF7" s="1366">
        <f>'Revenue 2028'!M108</f>
        <v/>
      </c>
      <c r="BG7" s="1366">
        <f>'Revenue 2028'!N108</f>
        <v/>
      </c>
      <c r="BH7" s="1366">
        <f>'Revenue 2028'!O108</f>
        <v/>
      </c>
      <c r="BI7" s="1367">
        <f>SUM(AW7:BH7)</f>
        <v/>
      </c>
    </row>
    <row r="8" outlineLevel="1" ht="20" customHeight="1">
      <c r="A8" s="441" t="n"/>
      <c r="B8" s="331" t="inlineStr">
        <is>
          <t>On-Boarding Users</t>
        </is>
      </c>
      <c r="C8" s="1368" t="n"/>
      <c r="D8" s="1364" t="n"/>
      <c r="E8" s="1365" t="n"/>
      <c r="F8" s="1366" t="n"/>
      <c r="G8" s="1366">
        <f>'Revenue 2025'!$D$109</f>
        <v/>
      </c>
      <c r="H8" s="1366">
        <f>'Revenue 2025'!$E$109</f>
        <v/>
      </c>
      <c r="I8" s="1366">
        <f>'Revenue 2025'!$F$109</f>
        <v/>
      </c>
      <c r="J8" s="1366">
        <f>'Revenue 2025'!$G$109</f>
        <v/>
      </c>
      <c r="K8" s="1366">
        <f>'Revenue 2025'!$H$109</f>
        <v/>
      </c>
      <c r="L8" s="1366">
        <f>'Revenue 2025'!$I$109</f>
        <v/>
      </c>
      <c r="M8" s="1366">
        <f>'Revenue 2025'!$J$109</f>
        <v/>
      </c>
      <c r="N8" s="1366">
        <f>'Revenue 2025'!$K$109</f>
        <v/>
      </c>
      <c r="O8" s="1366">
        <f>'Revenue 2025'!$L$109</f>
        <v/>
      </c>
      <c r="P8" s="1366">
        <f>'Revenue 2025'!$M$109</f>
        <v/>
      </c>
      <c r="Q8" s="1366">
        <f>'Revenue 2025'!$N$109</f>
        <v/>
      </c>
      <c r="R8" s="1366">
        <f>'Revenue 2025'!$O$109</f>
        <v/>
      </c>
      <c r="S8" s="1367">
        <f>SUM(G8:R8)</f>
        <v/>
      </c>
      <c r="U8" s="1366">
        <f>'Revenue 2026'!$D$115</f>
        <v/>
      </c>
      <c r="V8" s="1366">
        <f>'Revenue 2026'!$E$115</f>
        <v/>
      </c>
      <c r="W8" s="1366">
        <f>'Revenue 2026'!$F$115</f>
        <v/>
      </c>
      <c r="X8" s="1366">
        <f>'Revenue 2026'!$G$115</f>
        <v/>
      </c>
      <c r="Y8" s="1366">
        <f>'Revenue 2026'!$H$115</f>
        <v/>
      </c>
      <c r="Z8" s="1366">
        <f>'Revenue 2026'!$I$115</f>
        <v/>
      </c>
      <c r="AA8" s="1366">
        <f>'Revenue 2026'!$J$115</f>
        <v/>
      </c>
      <c r="AB8" s="1366">
        <f>'Revenue 2026'!$K$115</f>
        <v/>
      </c>
      <c r="AC8" s="1366">
        <f>'Revenue 2026'!$L$115</f>
        <v/>
      </c>
      <c r="AD8" s="1366">
        <f>'Revenue 2026'!$M$115</f>
        <v/>
      </c>
      <c r="AE8" s="1366">
        <f>'Revenue 2026'!$N$115</f>
        <v/>
      </c>
      <c r="AF8" s="1366">
        <f>'Revenue 2026'!$O$115</f>
        <v/>
      </c>
      <c r="AG8" s="1367">
        <f>SUM(U8:AF8)</f>
        <v/>
      </c>
      <c r="AI8" s="1366">
        <f>'Revenue 2027'!$D$115</f>
        <v/>
      </c>
      <c r="AJ8" s="1366">
        <f>'Revenue 2027'!$E$115</f>
        <v/>
      </c>
      <c r="AK8" s="1366">
        <f>'Revenue 2027'!$F$115</f>
        <v/>
      </c>
      <c r="AL8" s="1366">
        <f>'Revenue 2027'!$G$115</f>
        <v/>
      </c>
      <c r="AM8" s="1366">
        <f>'Revenue 2027'!$H$115</f>
        <v/>
      </c>
      <c r="AN8" s="1366">
        <f>'Revenue 2027'!$I$115</f>
        <v/>
      </c>
      <c r="AO8" s="1366">
        <f>'Revenue 2027'!$J$115</f>
        <v/>
      </c>
      <c r="AP8" s="1366">
        <f>'Revenue 2027'!$K$115</f>
        <v/>
      </c>
      <c r="AQ8" s="1366">
        <f>'Revenue 2027'!$L$115</f>
        <v/>
      </c>
      <c r="AR8" s="1366">
        <f>'Revenue 2027'!$M$115</f>
        <v/>
      </c>
      <c r="AS8" s="1366">
        <f>'Revenue 2027'!$N$115</f>
        <v/>
      </c>
      <c r="AT8" s="1366">
        <f>'Revenue 2027'!$O$115</f>
        <v/>
      </c>
      <c r="AU8" s="1367">
        <f>SUM(AI8:AT8)</f>
        <v/>
      </c>
      <c r="AW8" s="1366">
        <f>'Revenue 2028'!D114</f>
        <v/>
      </c>
      <c r="AX8" s="1366">
        <f>'Revenue 2028'!E114</f>
        <v/>
      </c>
      <c r="AY8" s="1366">
        <f>'Revenue 2028'!F114</f>
        <v/>
      </c>
      <c r="AZ8" s="1366">
        <f>'Revenue 2028'!G114</f>
        <v/>
      </c>
      <c r="BA8" s="1366">
        <f>'Revenue 2028'!H114</f>
        <v/>
      </c>
      <c r="BB8" s="1366">
        <f>'Revenue 2028'!I114</f>
        <v/>
      </c>
      <c r="BC8" s="1366">
        <f>'Revenue 2028'!J114</f>
        <v/>
      </c>
      <c r="BD8" s="1366">
        <f>'Revenue 2028'!K114</f>
        <v/>
      </c>
      <c r="BE8" s="1366">
        <f>'Revenue 2028'!L114</f>
        <v/>
      </c>
      <c r="BF8" s="1366">
        <f>'Revenue 2028'!M114</f>
        <v/>
      </c>
      <c r="BG8" s="1366">
        <f>'Revenue 2028'!N114</f>
        <v/>
      </c>
      <c r="BH8" s="1366">
        <f>'Revenue 2028'!O114</f>
        <v/>
      </c>
      <c r="BI8" s="1367">
        <f>SUM(AW8:BH8)</f>
        <v/>
      </c>
    </row>
    <row r="9" outlineLevel="1" ht="20" customHeight="1">
      <c r="A9" s="441" t="n"/>
      <c r="B9" s="331" t="inlineStr">
        <is>
          <t>Import</t>
        </is>
      </c>
      <c r="C9" s="1368" t="n"/>
      <c r="D9" s="1364" t="n"/>
      <c r="E9" s="1365" t="n"/>
      <c r="F9" s="1366" t="n"/>
      <c r="G9" s="1366">
        <f>'Revenue 2025'!$D$115</f>
        <v/>
      </c>
      <c r="H9" s="1366">
        <f>'Revenue 2025'!$E$115</f>
        <v/>
      </c>
      <c r="I9" s="1366">
        <f>'Revenue 2025'!$F$115</f>
        <v/>
      </c>
      <c r="J9" s="1366">
        <f>'Revenue 2025'!$G$115</f>
        <v/>
      </c>
      <c r="K9" s="1366">
        <f>'Revenue 2025'!$H$115</f>
        <v/>
      </c>
      <c r="L9" s="1366">
        <f>'Revenue 2025'!$I$115</f>
        <v/>
      </c>
      <c r="M9" s="1366">
        <f>'Revenue 2025'!$J$115</f>
        <v/>
      </c>
      <c r="N9" s="1366">
        <f>'Revenue 2025'!$K$115</f>
        <v/>
      </c>
      <c r="O9" s="1366">
        <f>'Revenue 2025'!$L$115</f>
        <v/>
      </c>
      <c r="P9" s="1366">
        <f>'Revenue 2025'!$M$115</f>
        <v/>
      </c>
      <c r="Q9" s="1366">
        <f>'Revenue 2025'!$N$115</f>
        <v/>
      </c>
      <c r="R9" s="1366">
        <f>'Revenue 2025'!$O$115</f>
        <v/>
      </c>
      <c r="S9" s="1367">
        <f>SUM(G9:R9)</f>
        <v/>
      </c>
      <c r="U9" s="1366">
        <f>'Revenue 2026'!$D$121</f>
        <v/>
      </c>
      <c r="V9" s="1366">
        <f>'Revenue 2026'!$E$121</f>
        <v/>
      </c>
      <c r="W9" s="1366">
        <f>'Revenue 2026'!$F$121</f>
        <v/>
      </c>
      <c r="X9" s="1366">
        <f>'Revenue 2026'!$G$121</f>
        <v/>
      </c>
      <c r="Y9" s="1366">
        <f>'Revenue 2026'!$H$121</f>
        <v/>
      </c>
      <c r="Z9" s="1366">
        <f>'Revenue 2026'!$I$121</f>
        <v/>
      </c>
      <c r="AA9" s="1366">
        <f>'Revenue 2026'!$J$121</f>
        <v/>
      </c>
      <c r="AB9" s="1366">
        <f>'Revenue 2026'!$K$121</f>
        <v/>
      </c>
      <c r="AC9" s="1366">
        <f>'Revenue 2026'!$L$121</f>
        <v/>
      </c>
      <c r="AD9" s="1366">
        <f>'Revenue 2026'!$M$121</f>
        <v/>
      </c>
      <c r="AE9" s="1366">
        <f>'Revenue 2026'!$N$121</f>
        <v/>
      </c>
      <c r="AF9" s="1366">
        <f>'Revenue 2026'!$O$121</f>
        <v/>
      </c>
      <c r="AG9" s="1367">
        <f>SUM(U9:AF9)</f>
        <v/>
      </c>
      <c r="AI9" s="1366">
        <f>'Revenue 2027'!$D$121</f>
        <v/>
      </c>
      <c r="AJ9" s="1366">
        <f>'Revenue 2027'!$E$121</f>
        <v/>
      </c>
      <c r="AK9" s="1366">
        <f>'Revenue 2027'!$F$121</f>
        <v/>
      </c>
      <c r="AL9" s="1366">
        <f>'Revenue 2027'!$G$121</f>
        <v/>
      </c>
      <c r="AM9" s="1366">
        <f>'Revenue 2027'!$H$121</f>
        <v/>
      </c>
      <c r="AN9" s="1366">
        <f>'Revenue 2027'!$I$121</f>
        <v/>
      </c>
      <c r="AO9" s="1366">
        <f>'Revenue 2027'!$J$121</f>
        <v/>
      </c>
      <c r="AP9" s="1366">
        <f>'Revenue 2027'!$K$121</f>
        <v/>
      </c>
      <c r="AQ9" s="1366">
        <f>'Revenue 2027'!$L$121</f>
        <v/>
      </c>
      <c r="AR9" s="1366">
        <f>'Revenue 2027'!$M$121</f>
        <v/>
      </c>
      <c r="AS9" s="1366">
        <f>'Revenue 2027'!$N$121</f>
        <v/>
      </c>
      <c r="AT9" s="1366">
        <f>'Revenue 2027'!$O$121</f>
        <v/>
      </c>
      <c r="AU9" s="1367">
        <f>SUM(AI9:AT9)</f>
        <v/>
      </c>
      <c r="AW9" s="1366">
        <f>'Revenue 2028'!D120</f>
        <v/>
      </c>
      <c r="AX9" s="1366">
        <f>'Revenue 2028'!E120</f>
        <v/>
      </c>
      <c r="AY9" s="1366">
        <f>'Revenue 2028'!F120</f>
        <v/>
      </c>
      <c r="AZ9" s="1366">
        <f>'Revenue 2028'!G120</f>
        <v/>
      </c>
      <c r="BA9" s="1366">
        <f>'Revenue 2028'!H120</f>
        <v/>
      </c>
      <c r="BB9" s="1366">
        <f>'Revenue 2028'!I120</f>
        <v/>
      </c>
      <c r="BC9" s="1366">
        <f>'Revenue 2028'!J120</f>
        <v/>
      </c>
      <c r="BD9" s="1366">
        <f>'Revenue 2028'!K120</f>
        <v/>
      </c>
      <c r="BE9" s="1366">
        <f>'Revenue 2028'!L120</f>
        <v/>
      </c>
      <c r="BF9" s="1366">
        <f>'Revenue 2028'!M120</f>
        <v/>
      </c>
      <c r="BG9" s="1366">
        <f>'Revenue 2028'!N120</f>
        <v/>
      </c>
      <c r="BH9" s="1366">
        <f>'Revenue 2028'!O120</f>
        <v/>
      </c>
      <c r="BI9" s="1367">
        <f>SUM(AW9:BH9)</f>
        <v/>
      </c>
    </row>
    <row r="10" outlineLevel="1" ht="20" customHeight="1">
      <c r="A10" s="441" t="n"/>
      <c r="B10" s="331" t="inlineStr">
        <is>
          <t>Support</t>
        </is>
      </c>
      <c r="C10" s="1368" t="inlineStr">
        <is>
          <t xml:space="preserve"> </t>
        </is>
      </c>
      <c r="D10" s="1364" t="n"/>
      <c r="E10" s="1365" t="n"/>
      <c r="F10" s="1366" t="n"/>
      <c r="G10" s="1366">
        <f>'Revenue 2025'!$D$158</f>
        <v/>
      </c>
      <c r="H10" s="1366">
        <f>'Revenue 2025'!$D$158</f>
        <v/>
      </c>
      <c r="I10" s="1366">
        <f>'Revenue 2025'!$D$158</f>
        <v/>
      </c>
      <c r="J10" s="1366">
        <f>'Revenue 2025'!$D$158</f>
        <v/>
      </c>
      <c r="K10" s="1366">
        <f>'Revenue 2025'!$D$158</f>
        <v/>
      </c>
      <c r="L10" s="1366">
        <f>'Revenue 2025'!$D$158</f>
        <v/>
      </c>
      <c r="M10" s="1366">
        <f>'Revenue 2025'!$D$158</f>
        <v/>
      </c>
      <c r="N10" s="1366">
        <f>'Revenue 2025'!$D$158</f>
        <v/>
      </c>
      <c r="O10" s="1366">
        <f>'Revenue 2025'!$D$158</f>
        <v/>
      </c>
      <c r="P10" s="1366">
        <f>'Revenue 2025'!$D$158</f>
        <v/>
      </c>
      <c r="Q10" s="1366">
        <f>'Revenue 2025'!$D$158</f>
        <v/>
      </c>
      <c r="R10" s="1366">
        <f>'Revenue 2025'!$D$158</f>
        <v/>
      </c>
      <c r="S10" s="1367">
        <f>SUM(G10:R10)</f>
        <v/>
      </c>
      <c r="U10" s="1366">
        <f>'Revenue 2026'!$D$164</f>
        <v/>
      </c>
      <c r="V10" s="1366">
        <f>'Revenue 2026'!$D$164</f>
        <v/>
      </c>
      <c r="W10" s="1366">
        <f>'Revenue 2026'!$D$164</f>
        <v/>
      </c>
      <c r="X10" s="1366">
        <f>'Revenue 2026'!$D$164</f>
        <v/>
      </c>
      <c r="Y10" s="1366">
        <f>'Revenue 2026'!$D$164</f>
        <v/>
      </c>
      <c r="Z10" s="1366">
        <f>'Revenue 2026'!$D$164</f>
        <v/>
      </c>
      <c r="AA10" s="1366">
        <f>'Revenue 2026'!$D$164</f>
        <v/>
      </c>
      <c r="AB10" s="1366">
        <f>'Revenue 2026'!$D$164</f>
        <v/>
      </c>
      <c r="AC10" s="1366">
        <f>'Revenue 2026'!$D$164</f>
        <v/>
      </c>
      <c r="AD10" s="1366">
        <f>'Revenue 2026'!$D$164</f>
        <v/>
      </c>
      <c r="AE10" s="1366">
        <f>'Revenue 2026'!$D$164</f>
        <v/>
      </c>
      <c r="AF10" s="1366">
        <f>'Revenue 2026'!$D$164</f>
        <v/>
      </c>
      <c r="AG10" s="1367">
        <f>SUM(U10:AF10)</f>
        <v/>
      </c>
      <c r="AI10" s="1366">
        <f>'Revenue 2027'!$D$164</f>
        <v/>
      </c>
      <c r="AJ10" s="1366">
        <f>'Revenue 2027'!$D$164</f>
        <v/>
      </c>
      <c r="AK10" s="1366">
        <f>'Revenue 2027'!$D$164</f>
        <v/>
      </c>
      <c r="AL10" s="1366">
        <f>'Revenue 2027'!$D$164</f>
        <v/>
      </c>
      <c r="AM10" s="1366">
        <f>'Revenue 2027'!$D$164</f>
        <v/>
      </c>
      <c r="AN10" s="1366">
        <f>'Revenue 2027'!$D$164</f>
        <v/>
      </c>
      <c r="AO10" s="1366">
        <f>'Revenue 2027'!$D$164</f>
        <v/>
      </c>
      <c r="AP10" s="1366">
        <f>'Revenue 2027'!$D$164</f>
        <v/>
      </c>
      <c r="AQ10" s="1366">
        <f>'Revenue 2027'!$D$164</f>
        <v/>
      </c>
      <c r="AR10" s="1366">
        <f>'Revenue 2027'!$D$164</f>
        <v/>
      </c>
      <c r="AS10" s="1366">
        <f>'Revenue 2027'!$D$164</f>
        <v/>
      </c>
      <c r="AT10" s="1366">
        <f>'Revenue 2027'!$D$164</f>
        <v/>
      </c>
      <c r="AU10" s="1367">
        <f>SUM(AI10:AT10)</f>
        <v/>
      </c>
      <c r="AW10" s="1366">
        <f>'Revenue 2028'!D163</f>
        <v/>
      </c>
      <c r="AX10" s="1366">
        <f>'Revenue 2028'!E163</f>
        <v/>
      </c>
      <c r="AY10" s="1366">
        <f>'Revenue 2028'!F163</f>
        <v/>
      </c>
      <c r="AZ10" s="1366">
        <f>'Revenue 2028'!G163</f>
        <v/>
      </c>
      <c r="BA10" s="1366">
        <f>'Revenue 2028'!H163</f>
        <v/>
      </c>
      <c r="BB10" s="1366">
        <f>'Revenue 2028'!I163</f>
        <v/>
      </c>
      <c r="BC10" s="1366">
        <f>'Revenue 2028'!J163</f>
        <v/>
      </c>
      <c r="BD10" s="1366">
        <f>'Revenue 2028'!K163</f>
        <v/>
      </c>
      <c r="BE10" s="1366">
        <f>'Revenue 2028'!L163</f>
        <v/>
      </c>
      <c r="BF10" s="1366">
        <f>'Revenue 2028'!M163</f>
        <v/>
      </c>
      <c r="BG10" s="1366">
        <f>'Revenue 2028'!N163</f>
        <v/>
      </c>
      <c r="BH10" s="1366">
        <f>'Revenue 2028'!O163</f>
        <v/>
      </c>
      <c r="BI10" s="1367">
        <f>SUM(AW10:BH10)</f>
        <v/>
      </c>
    </row>
    <row r="11" outlineLevel="1" ht="20" customHeight="1">
      <c r="A11" s="441" t="n"/>
      <c r="B11" s="335" t="inlineStr">
        <is>
          <t>Industry Break Down</t>
        </is>
      </c>
      <c r="C11" s="1368" t="inlineStr">
        <is>
          <t xml:space="preserve"> </t>
        </is>
      </c>
      <c r="D11" s="1364" t="n"/>
      <c r="E11" s="1365" t="n"/>
      <c r="F11" s="1366" t="n"/>
      <c r="G11" s="1366" t="inlineStr">
        <is>
          <t xml:space="preserve"> </t>
        </is>
      </c>
      <c r="H11" s="1366" t="inlineStr">
        <is>
          <t xml:space="preserve"> </t>
        </is>
      </c>
      <c r="I11" s="1366" t="inlineStr">
        <is>
          <t xml:space="preserve"> </t>
        </is>
      </c>
      <c r="J11" s="1366" t="inlineStr">
        <is>
          <t xml:space="preserve"> </t>
        </is>
      </c>
      <c r="K11" s="1366" t="inlineStr">
        <is>
          <t xml:space="preserve"> </t>
        </is>
      </c>
      <c r="L11" s="1366" t="inlineStr">
        <is>
          <t xml:space="preserve"> </t>
        </is>
      </c>
      <c r="M11" s="1366" t="inlineStr">
        <is>
          <t xml:space="preserve"> </t>
        </is>
      </c>
      <c r="N11" s="1366" t="inlineStr">
        <is>
          <t xml:space="preserve"> </t>
        </is>
      </c>
      <c r="O11" s="1366" t="inlineStr">
        <is>
          <t xml:space="preserve"> </t>
        </is>
      </c>
      <c r="P11" s="1366" t="inlineStr">
        <is>
          <t xml:space="preserve"> </t>
        </is>
      </c>
      <c r="Q11" s="1366" t="inlineStr">
        <is>
          <t xml:space="preserve"> </t>
        </is>
      </c>
      <c r="R11" s="1366" t="inlineStr">
        <is>
          <t xml:space="preserve"> </t>
        </is>
      </c>
      <c r="S11" s="1367" t="inlineStr">
        <is>
          <t xml:space="preserve"> </t>
        </is>
      </c>
      <c r="U11" s="1366" t="inlineStr">
        <is>
          <t xml:space="preserve"> </t>
        </is>
      </c>
      <c r="V11" s="1366" t="inlineStr">
        <is>
          <t xml:space="preserve"> </t>
        </is>
      </c>
      <c r="W11" s="1366" t="inlineStr">
        <is>
          <t xml:space="preserve"> </t>
        </is>
      </c>
      <c r="X11" s="1366" t="inlineStr">
        <is>
          <t xml:space="preserve"> </t>
        </is>
      </c>
      <c r="Y11" s="1366" t="inlineStr">
        <is>
          <t xml:space="preserve"> </t>
        </is>
      </c>
      <c r="Z11" s="1366" t="inlineStr">
        <is>
          <t xml:space="preserve"> </t>
        </is>
      </c>
      <c r="AA11" s="1366" t="inlineStr">
        <is>
          <t xml:space="preserve"> </t>
        </is>
      </c>
      <c r="AB11" s="1366" t="inlineStr">
        <is>
          <t xml:space="preserve"> </t>
        </is>
      </c>
      <c r="AC11" s="1366" t="inlineStr">
        <is>
          <t xml:space="preserve"> </t>
        </is>
      </c>
      <c r="AD11" s="1366" t="inlineStr">
        <is>
          <t xml:space="preserve"> </t>
        </is>
      </c>
      <c r="AE11" s="1366" t="inlineStr">
        <is>
          <t xml:space="preserve"> </t>
        </is>
      </c>
      <c r="AF11" s="1366" t="inlineStr">
        <is>
          <t xml:space="preserve"> </t>
        </is>
      </c>
      <c r="AG11" s="1367" t="inlineStr">
        <is>
          <t xml:space="preserve"> </t>
        </is>
      </c>
      <c r="AI11" s="1366" t="inlineStr">
        <is>
          <t xml:space="preserve"> </t>
        </is>
      </c>
      <c r="AJ11" s="1366" t="inlineStr">
        <is>
          <t xml:space="preserve"> </t>
        </is>
      </c>
      <c r="AK11" s="1366" t="inlineStr">
        <is>
          <t xml:space="preserve"> </t>
        </is>
      </c>
      <c r="AL11" s="1366" t="inlineStr">
        <is>
          <t xml:space="preserve"> </t>
        </is>
      </c>
      <c r="AM11" s="1366" t="inlineStr">
        <is>
          <t xml:space="preserve"> </t>
        </is>
      </c>
      <c r="AN11" s="1366" t="inlineStr">
        <is>
          <t xml:space="preserve"> </t>
        </is>
      </c>
      <c r="AO11" s="1366" t="inlineStr">
        <is>
          <t xml:space="preserve"> </t>
        </is>
      </c>
      <c r="AP11" s="1366" t="inlineStr">
        <is>
          <t xml:space="preserve"> </t>
        </is>
      </c>
      <c r="AQ11" s="1366" t="inlineStr">
        <is>
          <t xml:space="preserve"> </t>
        </is>
      </c>
      <c r="AR11" s="1366" t="inlineStr">
        <is>
          <t xml:space="preserve"> </t>
        </is>
      </c>
      <c r="AS11" s="1366" t="inlineStr">
        <is>
          <t xml:space="preserve"> </t>
        </is>
      </c>
      <c r="AT11" s="1366" t="inlineStr">
        <is>
          <t xml:space="preserve"> </t>
        </is>
      </c>
      <c r="AU11" s="1367" t="inlineStr">
        <is>
          <t xml:space="preserve"> </t>
        </is>
      </c>
      <c r="AW11" s="1366" t="inlineStr">
        <is>
          <t xml:space="preserve"> </t>
        </is>
      </c>
      <c r="AX11" s="1366" t="inlineStr">
        <is>
          <t xml:space="preserve"> </t>
        </is>
      </c>
      <c r="AY11" s="1366" t="inlineStr">
        <is>
          <t xml:space="preserve"> </t>
        </is>
      </c>
      <c r="AZ11" s="1366" t="inlineStr">
        <is>
          <t xml:space="preserve"> </t>
        </is>
      </c>
      <c r="BA11" s="1366" t="inlineStr">
        <is>
          <t xml:space="preserve"> </t>
        </is>
      </c>
      <c r="BB11" s="1366" t="inlineStr">
        <is>
          <t xml:space="preserve"> </t>
        </is>
      </c>
      <c r="BC11" s="1366" t="inlineStr">
        <is>
          <t xml:space="preserve"> </t>
        </is>
      </c>
      <c r="BD11" s="1366" t="inlineStr">
        <is>
          <t xml:space="preserve"> </t>
        </is>
      </c>
      <c r="BE11" s="1366" t="inlineStr">
        <is>
          <t xml:space="preserve"> </t>
        </is>
      </c>
      <c r="BF11" s="1366" t="inlineStr">
        <is>
          <t xml:space="preserve"> </t>
        </is>
      </c>
      <c r="BG11" s="1366" t="inlineStr">
        <is>
          <t xml:space="preserve"> </t>
        </is>
      </c>
      <c r="BH11" s="1366" t="inlineStr">
        <is>
          <t xml:space="preserve"> </t>
        </is>
      </c>
      <c r="BI11" s="1367" t="inlineStr">
        <is>
          <t xml:space="preserve"> </t>
        </is>
      </c>
    </row>
    <row r="12" outlineLevel="1" ht="20" customHeight="1">
      <c r="A12" s="441" t="n"/>
      <c r="B12" s="332" t="inlineStr">
        <is>
          <t>Hospitality</t>
        </is>
      </c>
      <c r="C12" s="1368" t="inlineStr">
        <is>
          <t xml:space="preserve"> </t>
        </is>
      </c>
      <c r="D12" s="1364" t="n"/>
      <c r="E12" s="1365" t="n"/>
      <c r="F12" s="1366" t="n"/>
      <c r="G12" s="1366">
        <f>'Revenue 2025'!$D$29</f>
        <v/>
      </c>
      <c r="H12" s="1366">
        <f>'Revenue 2025'!$E$29</f>
        <v/>
      </c>
      <c r="I12" s="1366">
        <f>'Revenue 2025'!$F$29</f>
        <v/>
      </c>
      <c r="J12" s="1366">
        <f>'Revenue 2025'!$G$29</f>
        <v/>
      </c>
      <c r="K12" s="1366">
        <f>'Revenue 2025'!$H$29</f>
        <v/>
      </c>
      <c r="L12" s="1366">
        <f>'Revenue 2025'!$I$29</f>
        <v/>
      </c>
      <c r="M12" s="1366">
        <f>'Revenue 2025'!$J$29</f>
        <v/>
      </c>
      <c r="N12" s="1366">
        <f>'Revenue 2025'!$K$29</f>
        <v/>
      </c>
      <c r="O12" s="1366">
        <f>'Revenue 2025'!$L$29</f>
        <v/>
      </c>
      <c r="P12" s="1366">
        <f>'Revenue 2025'!$M$29</f>
        <v/>
      </c>
      <c r="Q12" s="1366">
        <f>'Revenue 2025'!$N$29</f>
        <v/>
      </c>
      <c r="R12" s="1366">
        <f>'Revenue 2025'!$O$29</f>
        <v/>
      </c>
      <c r="S12" s="1367">
        <f>SUM(G12:R12)</f>
        <v/>
      </c>
      <c r="U12" s="1366">
        <f>'Revenue 2026'!$D$29</f>
        <v/>
      </c>
      <c r="V12" s="1366">
        <f>'Revenue 2026'!$E$29</f>
        <v/>
      </c>
      <c r="W12" s="1366">
        <f>'Revenue 2026'!$F$29</f>
        <v/>
      </c>
      <c r="X12" s="1366">
        <f>'Revenue 2026'!$G$29</f>
        <v/>
      </c>
      <c r="Y12" s="1366">
        <f>'Revenue 2026'!$H$29</f>
        <v/>
      </c>
      <c r="Z12" s="1366">
        <f>'Revenue 2026'!$I$29</f>
        <v/>
      </c>
      <c r="AA12" s="1366">
        <f>'Revenue 2026'!$J$29</f>
        <v/>
      </c>
      <c r="AB12" s="1366">
        <f>'Revenue 2026'!$K$29</f>
        <v/>
      </c>
      <c r="AC12" s="1366">
        <f>'Revenue 2026'!$L$29</f>
        <v/>
      </c>
      <c r="AD12" s="1366">
        <f>'Revenue 2026'!$M$29</f>
        <v/>
      </c>
      <c r="AE12" s="1366">
        <f>'Revenue 2026'!$N$29</f>
        <v/>
      </c>
      <c r="AF12" s="1366">
        <f>'Revenue 2026'!$O$29</f>
        <v/>
      </c>
      <c r="AG12" s="1367">
        <f>SUM(U12:AF12)</f>
        <v/>
      </c>
      <c r="AI12" s="1366">
        <f>'Revenue 2027'!$D$29</f>
        <v/>
      </c>
      <c r="AJ12" s="1366">
        <f>'Revenue 2027'!$E$29</f>
        <v/>
      </c>
      <c r="AK12" s="1366">
        <f>'Revenue 2027'!$F$29</f>
        <v/>
      </c>
      <c r="AL12" s="1366">
        <f>'Revenue 2027'!$G$29</f>
        <v/>
      </c>
      <c r="AM12" s="1366">
        <f>'Revenue 2027'!$H$29</f>
        <v/>
      </c>
      <c r="AN12" s="1366">
        <f>'Revenue 2027'!$I$29</f>
        <v/>
      </c>
      <c r="AO12" s="1366">
        <f>'Revenue 2027'!$J$29</f>
        <v/>
      </c>
      <c r="AP12" s="1366">
        <f>'Revenue 2027'!$K$29</f>
        <v/>
      </c>
      <c r="AQ12" s="1366">
        <f>'Revenue 2027'!$L$29</f>
        <v/>
      </c>
      <c r="AR12" s="1366">
        <f>'Revenue 2027'!$M$29</f>
        <v/>
      </c>
      <c r="AS12" s="1366">
        <f>'Revenue 2027'!$N$29</f>
        <v/>
      </c>
      <c r="AT12" s="1366">
        <f>'Revenue 2027'!$O$29</f>
        <v/>
      </c>
      <c r="AU12" s="1367">
        <f>SUM(AI12:AT12)</f>
        <v/>
      </c>
      <c r="AW12" s="1366">
        <f>'Revenue 2028'!D29</f>
        <v/>
      </c>
      <c r="AX12" s="1366">
        <f>'Revenue 2028'!E29</f>
        <v/>
      </c>
      <c r="AY12" s="1366">
        <f>'Revenue 2028'!F29</f>
        <v/>
      </c>
      <c r="AZ12" s="1366">
        <f>'Revenue 2028'!G29</f>
        <v/>
      </c>
      <c r="BA12" s="1366">
        <f>'Revenue 2028'!H29</f>
        <v/>
      </c>
      <c r="BB12" s="1366">
        <f>'Revenue 2028'!I29</f>
        <v/>
      </c>
      <c r="BC12" s="1366">
        <f>'Revenue 2028'!J29</f>
        <v/>
      </c>
      <c r="BD12" s="1366">
        <f>'Revenue 2028'!K29</f>
        <v/>
      </c>
      <c r="BE12" s="1366">
        <f>'Revenue 2028'!L29</f>
        <v/>
      </c>
      <c r="BF12" s="1366">
        <f>'Revenue 2028'!M29</f>
        <v/>
      </c>
      <c r="BG12" s="1366">
        <f>'Revenue 2028'!N29</f>
        <v/>
      </c>
      <c r="BH12" s="1366">
        <f>'Revenue 2028'!O29</f>
        <v/>
      </c>
      <c r="BI12" s="1367">
        <f>SUM(AW12:BH12)</f>
        <v/>
      </c>
    </row>
    <row r="13" outlineLevel="1" ht="20" customHeight="1">
      <c r="A13" s="441" t="n"/>
      <c r="B13" s="332" t="inlineStr">
        <is>
          <t>Hospitality- Reseller</t>
        </is>
      </c>
      <c r="C13" s="1368" t="n"/>
      <c r="D13" s="1364" t="n"/>
      <c r="E13" s="1365" t="n"/>
      <c r="F13" s="1366" t="n"/>
      <c r="G13" s="1366">
        <f>'Revenue 2025'!$D$35</f>
        <v/>
      </c>
      <c r="H13" s="1366">
        <f>'Revenue 2025'!$E$35</f>
        <v/>
      </c>
      <c r="I13" s="1366">
        <f>'Revenue 2025'!$F35</f>
        <v/>
      </c>
      <c r="J13" s="1366">
        <f>'Revenue 2025'!$G$35</f>
        <v/>
      </c>
      <c r="K13" s="1366">
        <f>'Revenue 2025'!$H$35</f>
        <v/>
      </c>
      <c r="L13" s="1366">
        <f>'Revenue 2025'!$I$35</f>
        <v/>
      </c>
      <c r="M13" s="1366">
        <f>'Revenue 2025'!$J$35</f>
        <v/>
      </c>
      <c r="N13" s="1366">
        <f>'Revenue 2025'!$K$35</f>
        <v/>
      </c>
      <c r="O13" s="1366">
        <f>'Revenue 2025'!$L$35</f>
        <v/>
      </c>
      <c r="P13" s="1366">
        <f>'Revenue 2025'!$M$35</f>
        <v/>
      </c>
      <c r="Q13" s="1366">
        <f>'Revenue 2025'!$N$35</f>
        <v/>
      </c>
      <c r="R13" s="1366">
        <f>'Revenue 2025'!$O$35</f>
        <v/>
      </c>
      <c r="S13" s="1367">
        <f>SUM(G13:R13)</f>
        <v/>
      </c>
      <c r="U13" s="1366">
        <f>'Revenue 2026'!$D$36</f>
        <v/>
      </c>
      <c r="V13" s="1366">
        <f>'Revenue 2026'!$E$36</f>
        <v/>
      </c>
      <c r="W13" s="1366">
        <f>'Revenue 2026'!$F36</f>
        <v/>
      </c>
      <c r="X13" s="1366">
        <f>'Revenue 2026'!$G$36</f>
        <v/>
      </c>
      <c r="Y13" s="1366">
        <f>'Revenue 2026'!$H$36</f>
        <v/>
      </c>
      <c r="Z13" s="1366">
        <f>'Revenue 2026'!$I$36</f>
        <v/>
      </c>
      <c r="AA13" s="1366">
        <f>'Revenue 2026'!$J$36</f>
        <v/>
      </c>
      <c r="AB13" s="1366">
        <f>'Revenue 2026'!$K$36</f>
        <v/>
      </c>
      <c r="AC13" s="1366">
        <f>'Revenue 2026'!$L$36</f>
        <v/>
      </c>
      <c r="AD13" s="1366">
        <f>'Revenue 2026'!$M$36</f>
        <v/>
      </c>
      <c r="AE13" s="1366">
        <f>'Revenue 2026'!$N$36</f>
        <v/>
      </c>
      <c r="AF13" s="1366">
        <f>'Revenue 2026'!$O$36</f>
        <v/>
      </c>
      <c r="AG13" s="1367">
        <f>SUM(U13:AF13)</f>
        <v/>
      </c>
      <c r="AI13" s="1366">
        <f>'Revenue 2027'!$D$36</f>
        <v/>
      </c>
      <c r="AJ13" s="1366">
        <f>'Revenue 2027'!$E$36</f>
        <v/>
      </c>
      <c r="AK13" s="1366">
        <f>'Revenue 2027'!$F36</f>
        <v/>
      </c>
      <c r="AL13" s="1366">
        <f>'Revenue 2027'!$G$36</f>
        <v/>
      </c>
      <c r="AM13" s="1366">
        <f>'Revenue 2027'!$H$36</f>
        <v/>
      </c>
      <c r="AN13" s="1366">
        <f>'Revenue 2027'!$I$36</f>
        <v/>
      </c>
      <c r="AO13" s="1366">
        <f>'Revenue 2027'!$J$36</f>
        <v/>
      </c>
      <c r="AP13" s="1366">
        <f>'Revenue 2027'!$K$36</f>
        <v/>
      </c>
      <c r="AQ13" s="1366">
        <f>'Revenue 2027'!$L$36</f>
        <v/>
      </c>
      <c r="AR13" s="1366">
        <f>'Revenue 2027'!$M$36</f>
        <v/>
      </c>
      <c r="AS13" s="1366">
        <f>'Revenue 2027'!$N$36</f>
        <v/>
      </c>
      <c r="AT13" s="1366">
        <f>'Revenue 2027'!$O$36</f>
        <v/>
      </c>
      <c r="AU13" s="1367">
        <f>SUM(AI13:AT13)</f>
        <v/>
      </c>
      <c r="AW13" s="1366">
        <f>'Revenue 2028'!D36</f>
        <v/>
      </c>
      <c r="AX13" s="1366">
        <f>'Revenue 2028'!E36</f>
        <v/>
      </c>
      <c r="AY13" s="1366">
        <f>'Revenue 2028'!F36</f>
        <v/>
      </c>
      <c r="AZ13" s="1366">
        <f>'Revenue 2028'!G36</f>
        <v/>
      </c>
      <c r="BA13" s="1366">
        <f>'Revenue 2028'!H36</f>
        <v/>
      </c>
      <c r="BB13" s="1366">
        <f>'Revenue 2028'!I36</f>
        <v/>
      </c>
      <c r="BC13" s="1366">
        <f>'Revenue 2028'!J36</f>
        <v/>
      </c>
      <c r="BD13" s="1366">
        <f>'Revenue 2028'!K36</f>
        <v/>
      </c>
      <c r="BE13" s="1366">
        <f>'Revenue 2028'!L36</f>
        <v/>
      </c>
      <c r="BF13" s="1366">
        <f>'Revenue 2028'!M36</f>
        <v/>
      </c>
      <c r="BG13" s="1366">
        <f>'Revenue 2028'!N36</f>
        <v/>
      </c>
      <c r="BH13" s="1366">
        <f>'Revenue 2028'!O36</f>
        <v/>
      </c>
      <c r="BI13" s="1367">
        <f>SUM(AW13:BH13)</f>
        <v/>
      </c>
    </row>
    <row r="14" outlineLevel="1" ht="20" customHeight="1">
      <c r="A14" s="441" t="n"/>
      <c r="B14" s="332" t="inlineStr">
        <is>
          <t>Real Estate Development</t>
        </is>
      </c>
      <c r="C14" s="1368" t="n"/>
      <c r="D14" s="1364" t="n"/>
      <c r="E14" s="1365" t="n"/>
      <c r="F14" s="1366" t="n"/>
      <c r="G14" s="1366">
        <f>'Revenue 2025'!$D$41</f>
        <v/>
      </c>
      <c r="H14" s="1366">
        <f>'Revenue 2025'!$E$41</f>
        <v/>
      </c>
      <c r="I14" s="1366">
        <f>'Revenue 2025'!$F$41</f>
        <v/>
      </c>
      <c r="J14" s="1366">
        <f>'Revenue 2025'!$G$41</f>
        <v/>
      </c>
      <c r="K14" s="1366">
        <f>'Revenue 2025'!$H$41</f>
        <v/>
      </c>
      <c r="L14" s="1366">
        <f>'Revenue 2025'!$I$41</f>
        <v/>
      </c>
      <c r="M14" s="1366">
        <f>'Revenue 2025'!$J$41</f>
        <v/>
      </c>
      <c r="N14" s="1366">
        <f>'Revenue 2025'!$K$41</f>
        <v/>
      </c>
      <c r="O14" s="1366">
        <f>'Revenue 2025'!$L$41</f>
        <v/>
      </c>
      <c r="P14" s="1366">
        <f>'Revenue 2025'!$M$41</f>
        <v/>
      </c>
      <c r="Q14" s="1366">
        <f>'Revenue 2025'!$N$41</f>
        <v/>
      </c>
      <c r="R14" s="1366">
        <f>'Revenue 2025'!$O$41</f>
        <v/>
      </c>
      <c r="S14" s="1367">
        <f>SUM(G14:R14)</f>
        <v/>
      </c>
      <c r="U14" s="1366">
        <f>'Revenue 2026'!$D$43</f>
        <v/>
      </c>
      <c r="V14" s="1366">
        <f>'Revenue 2026'!$E$43</f>
        <v/>
      </c>
      <c r="W14" s="1366">
        <f>'Revenue 2026'!$F$43</f>
        <v/>
      </c>
      <c r="X14" s="1366">
        <f>'Revenue 2026'!$G$43</f>
        <v/>
      </c>
      <c r="Y14" s="1366">
        <f>'Revenue 2026'!$H$43</f>
        <v/>
      </c>
      <c r="Z14" s="1366">
        <f>'Revenue 2026'!$I$43</f>
        <v/>
      </c>
      <c r="AA14" s="1366">
        <f>'Revenue 2026'!$J$43</f>
        <v/>
      </c>
      <c r="AB14" s="1366">
        <f>'Revenue 2026'!$K$43</f>
        <v/>
      </c>
      <c r="AC14" s="1366">
        <f>'Revenue 2026'!$L$43</f>
        <v/>
      </c>
      <c r="AD14" s="1366">
        <f>'Revenue 2026'!$M$43</f>
        <v/>
      </c>
      <c r="AE14" s="1366">
        <f>'Revenue 2026'!$N$43</f>
        <v/>
      </c>
      <c r="AF14" s="1366">
        <f>'Revenue 2026'!$O$43</f>
        <v/>
      </c>
      <c r="AG14" s="1367">
        <f>SUM(U14:AF14)</f>
        <v/>
      </c>
      <c r="AI14" s="1366">
        <f>'Revenue 2027'!$D$43</f>
        <v/>
      </c>
      <c r="AJ14" s="1366">
        <f>'Revenue 2027'!$E$43</f>
        <v/>
      </c>
      <c r="AK14" s="1366">
        <f>'Revenue 2027'!$F$43</f>
        <v/>
      </c>
      <c r="AL14" s="1366">
        <f>'Revenue 2027'!$G$43</f>
        <v/>
      </c>
      <c r="AM14" s="1366">
        <f>'Revenue 2027'!$H$43</f>
        <v/>
      </c>
      <c r="AN14" s="1366">
        <f>'Revenue 2027'!$I$43</f>
        <v/>
      </c>
      <c r="AO14" s="1366">
        <f>'Revenue 2027'!$J$43</f>
        <v/>
      </c>
      <c r="AP14" s="1366">
        <f>'Revenue 2027'!$K$43</f>
        <v/>
      </c>
      <c r="AQ14" s="1366">
        <f>'Revenue 2027'!$L$43</f>
        <v/>
      </c>
      <c r="AR14" s="1366">
        <f>'Revenue 2027'!$M$43</f>
        <v/>
      </c>
      <c r="AS14" s="1366">
        <f>'Revenue 2027'!$N$43</f>
        <v/>
      </c>
      <c r="AT14" s="1366">
        <f>'Revenue 2027'!$O$43</f>
        <v/>
      </c>
      <c r="AU14" s="1367">
        <f>SUM(AI14:AT14)</f>
        <v/>
      </c>
      <c r="AW14" s="1366">
        <f>'Revenue 2028'!D43</f>
        <v/>
      </c>
      <c r="AX14" s="1366">
        <f>'Revenue 2028'!E43</f>
        <v/>
      </c>
      <c r="AY14" s="1366">
        <f>'Revenue 2028'!F43</f>
        <v/>
      </c>
      <c r="AZ14" s="1366">
        <f>'Revenue 2028'!G43</f>
        <v/>
      </c>
      <c r="BA14" s="1366">
        <f>'Revenue 2028'!H43</f>
        <v/>
      </c>
      <c r="BB14" s="1366">
        <f>'Revenue 2028'!I43</f>
        <v/>
      </c>
      <c r="BC14" s="1366">
        <f>'Revenue 2028'!J43</f>
        <v/>
      </c>
      <c r="BD14" s="1366">
        <f>'Revenue 2028'!K43</f>
        <v/>
      </c>
      <c r="BE14" s="1366">
        <f>'Revenue 2028'!L43</f>
        <v/>
      </c>
      <c r="BF14" s="1366">
        <f>'Revenue 2028'!M43</f>
        <v/>
      </c>
      <c r="BG14" s="1366">
        <f>'Revenue 2028'!N43</f>
        <v/>
      </c>
      <c r="BH14" s="1366">
        <f>'Revenue 2028'!O43</f>
        <v/>
      </c>
      <c r="BI14" s="1367">
        <f>SUM(AW14:BH14)</f>
        <v/>
      </c>
    </row>
    <row r="15" outlineLevel="1" ht="20" customHeight="1">
      <c r="A15" s="441" t="n"/>
      <c r="B15" s="332" t="inlineStr">
        <is>
          <t>Real Estate Development- Reseller</t>
        </is>
      </c>
      <c r="C15" s="1368" t="n"/>
      <c r="D15" s="1364" t="n"/>
      <c r="E15" s="1365" t="n"/>
      <c r="F15" s="1366" t="n"/>
      <c r="G15" s="1366">
        <f>'Revenue 2025'!$D$47</f>
        <v/>
      </c>
      <c r="H15" s="1366">
        <f>'Revenue 2025'!$E$47</f>
        <v/>
      </c>
      <c r="I15" s="1366">
        <f>'Revenue 2025'!$F$47</f>
        <v/>
      </c>
      <c r="J15" s="1366">
        <f>'Revenue 2025'!$G$47</f>
        <v/>
      </c>
      <c r="K15" s="1366">
        <f>'Revenue 2025'!$H$47</f>
        <v/>
      </c>
      <c r="L15" s="1366">
        <f>'Revenue 2025'!$I$47</f>
        <v/>
      </c>
      <c r="M15" s="1366">
        <f>'Revenue 2025'!$J$47</f>
        <v/>
      </c>
      <c r="N15" s="1366">
        <f>'Revenue 2025'!$K$47</f>
        <v/>
      </c>
      <c r="O15" s="1366">
        <f>'Revenue 2025'!$L$47</f>
        <v/>
      </c>
      <c r="P15" s="1366">
        <f>'Revenue 2025'!$M$47</f>
        <v/>
      </c>
      <c r="Q15" s="1366">
        <f>'Revenue 2025'!$N$47</f>
        <v/>
      </c>
      <c r="R15" s="1366">
        <f>'Revenue 2025'!$O$47</f>
        <v/>
      </c>
      <c r="S15" s="1367">
        <f>SUM(G15:R15)</f>
        <v/>
      </c>
      <c r="U15" s="1366">
        <f>'Revenue 2026'!$D$50</f>
        <v/>
      </c>
      <c r="V15" s="1366">
        <f>'Revenue 2026'!$E$50</f>
        <v/>
      </c>
      <c r="W15" s="1366">
        <f>'Revenue 2026'!$F$50</f>
        <v/>
      </c>
      <c r="X15" s="1366">
        <f>'Revenue 2026'!$G$50</f>
        <v/>
      </c>
      <c r="Y15" s="1366">
        <f>'Revenue 2026'!$H$50</f>
        <v/>
      </c>
      <c r="Z15" s="1366">
        <f>'Revenue 2026'!$I$50</f>
        <v/>
      </c>
      <c r="AA15" s="1366">
        <f>'Revenue 2026'!$J$50</f>
        <v/>
      </c>
      <c r="AB15" s="1366">
        <f>'Revenue 2026'!$K$50</f>
        <v/>
      </c>
      <c r="AC15" s="1366">
        <f>'Revenue 2026'!$L$50</f>
        <v/>
      </c>
      <c r="AD15" s="1366">
        <f>'Revenue 2026'!$M$50</f>
        <v/>
      </c>
      <c r="AE15" s="1366">
        <f>'Revenue 2026'!$N$50</f>
        <v/>
      </c>
      <c r="AF15" s="1366">
        <f>'Revenue 2026'!$O$50</f>
        <v/>
      </c>
      <c r="AG15" s="1367">
        <f>SUM(U15:AF15)</f>
        <v/>
      </c>
      <c r="AI15" s="1366">
        <f>'Revenue 2027'!$D$50</f>
        <v/>
      </c>
      <c r="AJ15" s="1366">
        <f>'Revenue 2027'!$E$50</f>
        <v/>
      </c>
      <c r="AK15" s="1366">
        <f>'Revenue 2027'!$F$50</f>
        <v/>
      </c>
      <c r="AL15" s="1366">
        <f>'Revenue 2027'!$G$50</f>
        <v/>
      </c>
      <c r="AM15" s="1366">
        <f>'Revenue 2027'!$H$50</f>
        <v/>
      </c>
      <c r="AN15" s="1366">
        <f>'Revenue 2027'!$I$50</f>
        <v/>
      </c>
      <c r="AO15" s="1366">
        <f>'Revenue 2027'!$J$50</f>
        <v/>
      </c>
      <c r="AP15" s="1366">
        <f>'Revenue 2027'!$K$50</f>
        <v/>
      </c>
      <c r="AQ15" s="1366">
        <f>'Revenue 2027'!$L$50</f>
        <v/>
      </c>
      <c r="AR15" s="1366">
        <f>'Revenue 2027'!$M$50</f>
        <v/>
      </c>
      <c r="AS15" s="1366">
        <f>'Revenue 2027'!$N$50</f>
        <v/>
      </c>
      <c r="AT15" s="1366">
        <f>'Revenue 2027'!$O$50</f>
        <v/>
      </c>
      <c r="AU15" s="1367">
        <f>SUM(AI15:AT15)</f>
        <v/>
      </c>
      <c r="AW15" s="1366">
        <f>'Revenue 2028'!D50</f>
        <v/>
      </c>
      <c r="AX15" s="1366">
        <f>'Revenue 2028'!E50</f>
        <v/>
      </c>
      <c r="AY15" s="1366">
        <f>'Revenue 2028'!F50</f>
        <v/>
      </c>
      <c r="AZ15" s="1366">
        <f>'Revenue 2028'!G50</f>
        <v/>
      </c>
      <c r="BA15" s="1366">
        <f>'Revenue 2028'!H50</f>
        <v/>
      </c>
      <c r="BB15" s="1366">
        <f>'Revenue 2028'!I50</f>
        <v/>
      </c>
      <c r="BC15" s="1366">
        <f>'Revenue 2028'!J50</f>
        <v/>
      </c>
      <c r="BD15" s="1366">
        <f>'Revenue 2028'!K50</f>
        <v/>
      </c>
      <c r="BE15" s="1366">
        <f>'Revenue 2028'!L50</f>
        <v/>
      </c>
      <c r="BF15" s="1366">
        <f>'Revenue 2028'!M50</f>
        <v/>
      </c>
      <c r="BG15" s="1366">
        <f>'Revenue 2028'!N50</f>
        <v/>
      </c>
      <c r="BH15" s="1366">
        <f>'Revenue 2028'!O50</f>
        <v/>
      </c>
      <c r="BI15" s="1367">
        <f>SUM(AW15:BH15)</f>
        <v/>
      </c>
    </row>
    <row r="16" outlineLevel="1" ht="20" customHeight="1">
      <c r="A16" s="441" t="n"/>
      <c r="B16" s="332" t="inlineStr">
        <is>
          <t>Pharma</t>
        </is>
      </c>
      <c r="C16" s="1368" t="n"/>
      <c r="D16" s="1364" t="n"/>
      <c r="E16" s="1365" t="n"/>
      <c r="F16" s="1366" t="n"/>
      <c r="G16" s="1366">
        <f>'Revenue 2025'!$D$53</f>
        <v/>
      </c>
      <c r="H16" s="1366">
        <f>'Revenue 2025'!$E$53</f>
        <v/>
      </c>
      <c r="I16" s="1366">
        <f>'Revenue 2025'!$F$53</f>
        <v/>
      </c>
      <c r="J16" s="1366">
        <f>'Revenue 2025'!$G$53</f>
        <v/>
      </c>
      <c r="K16" s="1366">
        <f>'Revenue 2025'!$H$53</f>
        <v/>
      </c>
      <c r="L16" s="1366">
        <f>'Revenue 2025'!$I$53</f>
        <v/>
      </c>
      <c r="M16" s="1366">
        <f>'Revenue 2025'!$J$53</f>
        <v/>
      </c>
      <c r="N16" s="1366">
        <f>'Revenue 2025'!$K$53</f>
        <v/>
      </c>
      <c r="O16" s="1366">
        <f>'Revenue 2025'!$L$53</f>
        <v/>
      </c>
      <c r="P16" s="1366">
        <f>'Revenue 2025'!$M$53</f>
        <v/>
      </c>
      <c r="Q16" s="1366">
        <f>'Revenue 2025'!$N$53</f>
        <v/>
      </c>
      <c r="R16" s="1366">
        <f>'Revenue 2025'!$O$53</f>
        <v/>
      </c>
      <c r="S16" s="1367">
        <f>SUM(G16:R16)</f>
        <v/>
      </c>
      <c r="U16" s="1366">
        <f>'Revenue 2026'!$D$57</f>
        <v/>
      </c>
      <c r="V16" s="1366">
        <f>'Revenue 2026'!$E$57</f>
        <v/>
      </c>
      <c r="W16" s="1366">
        <f>'Revenue 2026'!$F$57</f>
        <v/>
      </c>
      <c r="X16" s="1366">
        <f>'Revenue 2026'!$G$57</f>
        <v/>
      </c>
      <c r="Y16" s="1366">
        <f>'Revenue 2026'!$H$57</f>
        <v/>
      </c>
      <c r="Z16" s="1366">
        <f>'Revenue 2026'!$I$57</f>
        <v/>
      </c>
      <c r="AA16" s="1366">
        <f>'Revenue 2026'!$J$57</f>
        <v/>
      </c>
      <c r="AB16" s="1366">
        <f>'Revenue 2026'!$K$57</f>
        <v/>
      </c>
      <c r="AC16" s="1366">
        <f>'Revenue 2026'!$L$57</f>
        <v/>
      </c>
      <c r="AD16" s="1366">
        <f>'Revenue 2026'!$M$57</f>
        <v/>
      </c>
      <c r="AE16" s="1366">
        <f>'Revenue 2026'!$N$57</f>
        <v/>
      </c>
      <c r="AF16" s="1366">
        <f>'Revenue 2026'!$O$57</f>
        <v/>
      </c>
      <c r="AG16" s="1367">
        <f>SUM(U16:AF16)</f>
        <v/>
      </c>
      <c r="AI16" s="1366">
        <f>'Revenue 2027'!$D$57</f>
        <v/>
      </c>
      <c r="AJ16" s="1366">
        <f>'Revenue 2027'!$E$57</f>
        <v/>
      </c>
      <c r="AK16" s="1366">
        <f>'Revenue 2027'!$F$57</f>
        <v/>
      </c>
      <c r="AL16" s="1366">
        <f>'Revenue 2027'!$G$57</f>
        <v/>
      </c>
      <c r="AM16" s="1366">
        <f>'Revenue 2027'!$H$57</f>
        <v/>
      </c>
      <c r="AN16" s="1366">
        <f>'Revenue 2027'!$I$57</f>
        <v/>
      </c>
      <c r="AO16" s="1366">
        <f>'Revenue 2027'!$J$57</f>
        <v/>
      </c>
      <c r="AP16" s="1366">
        <f>'Revenue 2027'!$K$57</f>
        <v/>
      </c>
      <c r="AQ16" s="1366">
        <f>'Revenue 2027'!$L$57</f>
        <v/>
      </c>
      <c r="AR16" s="1366">
        <f>'Revenue 2027'!$M$57</f>
        <v/>
      </c>
      <c r="AS16" s="1366">
        <f>'Revenue 2027'!$N$57</f>
        <v/>
      </c>
      <c r="AT16" s="1366">
        <f>'Revenue 2027'!$O$57</f>
        <v/>
      </c>
      <c r="AU16" s="1367">
        <f>SUM(AI16:AT16)</f>
        <v/>
      </c>
      <c r="AW16" s="1366">
        <f>'Revenue 2028'!D57</f>
        <v/>
      </c>
      <c r="AX16" s="1366">
        <f>'Revenue 2028'!E57</f>
        <v/>
      </c>
      <c r="AY16" s="1366">
        <f>'Revenue 2028'!F57</f>
        <v/>
      </c>
      <c r="AZ16" s="1366">
        <f>'Revenue 2028'!G57</f>
        <v/>
      </c>
      <c r="BA16" s="1366">
        <f>'Revenue 2028'!H57</f>
        <v/>
      </c>
      <c r="BB16" s="1366">
        <f>'Revenue 2028'!I57</f>
        <v/>
      </c>
      <c r="BC16" s="1366">
        <f>'Revenue 2028'!J57</f>
        <v/>
      </c>
      <c r="BD16" s="1366">
        <f>'Revenue 2028'!K57</f>
        <v/>
      </c>
      <c r="BE16" s="1366">
        <f>'Revenue 2028'!L57</f>
        <v/>
      </c>
      <c r="BF16" s="1366">
        <f>'Revenue 2028'!M57</f>
        <v/>
      </c>
      <c r="BG16" s="1366">
        <f>'Revenue 2028'!N57</f>
        <v/>
      </c>
      <c r="BH16" s="1366">
        <f>'Revenue 2028'!O57</f>
        <v/>
      </c>
      <c r="BI16" s="1367">
        <f>SUM(AW16:BH16)</f>
        <v/>
      </c>
    </row>
    <row r="17" outlineLevel="1" ht="20" customHeight="1">
      <c r="A17" s="441" t="n"/>
      <c r="B17" s="332" t="inlineStr">
        <is>
          <t>Pharma- Reseller</t>
        </is>
      </c>
      <c r="C17" s="1368" t="n"/>
      <c r="D17" s="1364" t="n"/>
      <c r="E17" s="1365" t="n"/>
      <c r="F17" s="1366" t="inlineStr">
        <is>
          <t xml:space="preserve"> </t>
        </is>
      </c>
      <c r="G17" s="1366">
        <f>'Revenue 2025'!$D$59</f>
        <v/>
      </c>
      <c r="H17" s="1366">
        <f>'Revenue 2025'!$E$59</f>
        <v/>
      </c>
      <c r="I17" s="1366">
        <f>'Revenue 2025'!$F59</f>
        <v/>
      </c>
      <c r="J17" s="1366">
        <f>'Revenue 2025'!$G$59</f>
        <v/>
      </c>
      <c r="K17" s="1366">
        <f>'Revenue 2025'!$H$59</f>
        <v/>
      </c>
      <c r="L17" s="1366">
        <f>'Revenue 2025'!$I$59</f>
        <v/>
      </c>
      <c r="M17" s="1366">
        <f>'Revenue 2025'!X59</f>
        <v/>
      </c>
      <c r="N17" s="1366">
        <f>'Revenue 2025'!$K$59</f>
        <v/>
      </c>
      <c r="O17" s="1366">
        <f>'Revenue 2025'!$L$59</f>
        <v/>
      </c>
      <c r="P17" s="1366">
        <f>'Revenue 2025'!$M$59</f>
        <v/>
      </c>
      <c r="Q17" s="1366">
        <f>'Revenue 2025'!$N$59</f>
        <v/>
      </c>
      <c r="R17" s="1366">
        <f>'Revenue 2025'!$O$59</f>
        <v/>
      </c>
      <c r="S17" s="1367">
        <f>SUM(H17:R17)</f>
        <v/>
      </c>
      <c r="U17" s="1366">
        <f>'Revenue 2026'!$D$64</f>
        <v/>
      </c>
      <c r="V17" s="1366">
        <f>'Revenue 2026'!$E$64</f>
        <v/>
      </c>
      <c r="W17" s="1366">
        <f>'Revenue 2026'!$F64</f>
        <v/>
      </c>
      <c r="X17" s="1366">
        <f>'Revenue 2026'!$G$64</f>
        <v/>
      </c>
      <c r="Y17" s="1366">
        <f>'Revenue 2026'!$H$64</f>
        <v/>
      </c>
      <c r="Z17" s="1366">
        <f>'Revenue 2026'!$I$64</f>
        <v/>
      </c>
      <c r="AA17" s="1366">
        <f>'Revenue 2026'!AL64</f>
        <v/>
      </c>
      <c r="AB17" s="1366">
        <f>'Revenue 2026'!$K$64</f>
        <v/>
      </c>
      <c r="AC17" s="1366">
        <f>'Revenue 2026'!$L$64</f>
        <v/>
      </c>
      <c r="AD17" s="1366">
        <f>'Revenue 2026'!$M$64</f>
        <v/>
      </c>
      <c r="AE17" s="1366">
        <f>'Revenue 2026'!$N$64</f>
        <v/>
      </c>
      <c r="AF17" s="1366">
        <f>'Revenue 2026'!$O$64</f>
        <v/>
      </c>
      <c r="AG17" s="1367">
        <f>SUM(V17:AF17)</f>
        <v/>
      </c>
      <c r="AI17" s="1366">
        <f>'Revenue 2027'!$D$64</f>
        <v/>
      </c>
      <c r="AJ17" s="1366">
        <f>'Revenue 2027'!$E$64</f>
        <v/>
      </c>
      <c r="AK17" s="1366">
        <f>'Revenue 2027'!$F64</f>
        <v/>
      </c>
      <c r="AL17" s="1366">
        <f>'Revenue 2027'!$G$64</f>
        <v/>
      </c>
      <c r="AM17" s="1366">
        <f>'Revenue 2027'!$H$64</f>
        <v/>
      </c>
      <c r="AN17" s="1366">
        <f>'Revenue 2027'!$I$64</f>
        <v/>
      </c>
      <c r="AO17" s="1366">
        <f>'Revenue 2027'!AZ64</f>
        <v/>
      </c>
      <c r="AP17" s="1366">
        <f>'Revenue 2027'!$K$64</f>
        <v/>
      </c>
      <c r="AQ17" s="1366">
        <f>'Revenue 2027'!$L$64</f>
        <v/>
      </c>
      <c r="AR17" s="1366">
        <f>'Revenue 2027'!$M$64</f>
        <v/>
      </c>
      <c r="AS17" s="1366">
        <f>'Revenue 2027'!$N$64</f>
        <v/>
      </c>
      <c r="AT17" s="1366">
        <f>'Revenue 2027'!$O$64</f>
        <v/>
      </c>
      <c r="AU17" s="1367">
        <f>SUM(AJ17:AT17)</f>
        <v/>
      </c>
      <c r="AW17" s="1366">
        <f>'Revenue 2028'!D64</f>
        <v/>
      </c>
      <c r="AX17" s="1366">
        <f>'Revenue 2028'!E64</f>
        <v/>
      </c>
      <c r="AY17" s="1366">
        <f>'Revenue 2028'!F64</f>
        <v/>
      </c>
      <c r="AZ17" s="1366">
        <f>'Revenue 2028'!G64</f>
        <v/>
      </c>
      <c r="BA17" s="1366">
        <f>'Revenue 2028'!H64</f>
        <v/>
      </c>
      <c r="BB17" s="1366">
        <f>'Revenue 2028'!I64</f>
        <v/>
      </c>
      <c r="BC17" s="1366">
        <f>'Revenue 2028'!J64</f>
        <v/>
      </c>
      <c r="BD17" s="1366">
        <f>'Revenue 2028'!K64</f>
        <v/>
      </c>
      <c r="BE17" s="1366">
        <f>'Revenue 2028'!L64</f>
        <v/>
      </c>
      <c r="BF17" s="1366">
        <f>'Revenue 2028'!M64</f>
        <v/>
      </c>
      <c r="BG17" s="1366">
        <f>'Revenue 2028'!N64</f>
        <v/>
      </c>
      <c r="BH17" s="1366">
        <f>'Revenue 2028'!O64</f>
        <v/>
      </c>
      <c r="BI17" s="1367">
        <f>SUM(AX17:BH17)</f>
        <v/>
      </c>
    </row>
    <row r="18" outlineLevel="1" ht="20" customHeight="1">
      <c r="A18" s="441" t="n"/>
      <c r="B18" s="332" t="inlineStr">
        <is>
          <t>Start up - Small Firms</t>
        </is>
      </c>
      <c r="C18" s="1368" t="n"/>
      <c r="D18" s="1364" t="n"/>
      <c r="E18" s="1365" t="n"/>
      <c r="F18" s="1366" t="n"/>
      <c r="G18" s="1366">
        <f>'Revenue 2025'!$D$66</f>
        <v/>
      </c>
      <c r="H18" s="1366">
        <f>'Revenue 2025'!$E$66</f>
        <v/>
      </c>
      <c r="I18" s="1366">
        <f>'Revenue 2025'!$F$66</f>
        <v/>
      </c>
      <c r="J18" s="1366">
        <f>'Revenue 2025'!$G$66</f>
        <v/>
      </c>
      <c r="K18" s="1366">
        <f>'Revenue 2025'!$H$66</f>
        <v/>
      </c>
      <c r="L18" s="1366">
        <f>'Revenue 2025'!$I$66</f>
        <v/>
      </c>
      <c r="M18" s="1366">
        <f>'Revenue 2025'!$J66</f>
        <v/>
      </c>
      <c r="N18" s="1366">
        <f>'Revenue 2025'!$K$66</f>
        <v/>
      </c>
      <c r="O18" s="1366">
        <f>'Revenue 2025'!$L$66</f>
        <v/>
      </c>
      <c r="P18" s="1366">
        <f>'Revenue 2025'!$M$66</f>
        <v/>
      </c>
      <c r="Q18" s="1366">
        <f>'Revenue 2025'!$N$66</f>
        <v/>
      </c>
      <c r="R18" s="1366">
        <f>'Revenue 2025'!$O$66</f>
        <v/>
      </c>
      <c r="S18" s="1367">
        <f>SUM(G18:R18)</f>
        <v/>
      </c>
      <c r="U18" s="1366">
        <f>'Revenue 2026'!$D$71</f>
        <v/>
      </c>
      <c r="V18" s="1366">
        <f>'Revenue 2026'!$E$71</f>
        <v/>
      </c>
      <c r="W18" s="1366">
        <f>'Revenue 2026'!$F$71</f>
        <v/>
      </c>
      <c r="X18" s="1366">
        <f>'Revenue 2026'!$G$71</f>
        <v/>
      </c>
      <c r="Y18" s="1366">
        <f>'Revenue 2026'!$H$71</f>
        <v/>
      </c>
      <c r="Z18" s="1366">
        <f>'Revenue 2026'!$I$71</f>
        <v/>
      </c>
      <c r="AA18" s="1366">
        <f>'Revenue 2026'!$J71</f>
        <v/>
      </c>
      <c r="AB18" s="1366">
        <f>'Revenue 2026'!$K$71</f>
        <v/>
      </c>
      <c r="AC18" s="1366">
        <f>'Revenue 2026'!$L$71</f>
        <v/>
      </c>
      <c r="AD18" s="1366">
        <f>'Revenue 2026'!$M$71</f>
        <v/>
      </c>
      <c r="AE18" s="1366">
        <f>'Revenue 2026'!$N$71</f>
        <v/>
      </c>
      <c r="AF18" s="1366">
        <f>'Revenue 2026'!$O$71</f>
        <v/>
      </c>
      <c r="AG18" s="1367">
        <f>SUM(U18:AF18)</f>
        <v/>
      </c>
      <c r="AI18" s="1366">
        <f>'Revenue 2027'!$D$71</f>
        <v/>
      </c>
      <c r="AJ18" s="1366">
        <f>'Revenue 2027'!$E$71</f>
        <v/>
      </c>
      <c r="AK18" s="1366">
        <f>'Revenue 2027'!$F$71</f>
        <v/>
      </c>
      <c r="AL18" s="1366">
        <f>'Revenue 2027'!$G$71</f>
        <v/>
      </c>
      <c r="AM18" s="1366">
        <f>'Revenue 2027'!$H$71</f>
        <v/>
      </c>
      <c r="AN18" s="1366">
        <f>'Revenue 2027'!$I$71</f>
        <v/>
      </c>
      <c r="AO18" s="1366">
        <f>'Revenue 2027'!$J71</f>
        <v/>
      </c>
      <c r="AP18" s="1366">
        <f>'Revenue 2027'!$K$71</f>
        <v/>
      </c>
      <c r="AQ18" s="1366">
        <f>'Revenue 2027'!$L$71</f>
        <v/>
      </c>
      <c r="AR18" s="1366">
        <f>'Revenue 2027'!$M$71</f>
        <v/>
      </c>
      <c r="AS18" s="1366">
        <f>'Revenue 2027'!$N$71</f>
        <v/>
      </c>
      <c r="AT18" s="1366">
        <f>'Revenue 2027'!$O$71</f>
        <v/>
      </c>
      <c r="AU18" s="1367">
        <f>SUM(AI18:AT18)</f>
        <v/>
      </c>
      <c r="AW18" s="1366">
        <f>'Revenue 2028'!$D$71</f>
        <v/>
      </c>
      <c r="AX18" s="1366">
        <f>'Revenue 2028'!$D$71</f>
        <v/>
      </c>
      <c r="AY18" s="1366">
        <f>'Revenue 2028'!$D$71</f>
        <v/>
      </c>
      <c r="AZ18" s="1366">
        <f>'Revenue 2028'!$D$71</f>
        <v/>
      </c>
      <c r="BA18" s="1366">
        <f>'Revenue 2028'!$D$71</f>
        <v/>
      </c>
      <c r="BB18" s="1366">
        <f>'Revenue 2028'!$D$71</f>
        <v/>
      </c>
      <c r="BC18" s="1366">
        <f>'Revenue 2028'!$D$71</f>
        <v/>
      </c>
      <c r="BD18" s="1366">
        <f>'Revenue 2028'!$D$71</f>
        <v/>
      </c>
      <c r="BE18" s="1366">
        <f>'Revenue 2028'!$D$71</f>
        <v/>
      </c>
      <c r="BF18" s="1366">
        <f>'Revenue 2028'!$D$71</f>
        <v/>
      </c>
      <c r="BG18" s="1366">
        <f>'Revenue 2028'!$D$71</f>
        <v/>
      </c>
      <c r="BH18" s="1366">
        <f>'Revenue 2028'!$D$71</f>
        <v/>
      </c>
      <c r="BI18" s="1367">
        <f>SUM(AW18:BH18)</f>
        <v/>
      </c>
    </row>
    <row r="19" outlineLevel="1" ht="20" customHeight="1">
      <c r="A19" s="441" t="n"/>
      <c r="B19" s="332" t="inlineStr">
        <is>
          <t>Start up Reseller</t>
        </is>
      </c>
      <c r="C19" s="1368" t="n"/>
      <c r="D19" s="1364" t="n"/>
      <c r="E19" s="1365" t="n"/>
      <c r="F19" s="1366" t="n"/>
      <c r="G19" s="1366">
        <f>'Revenue 2025'!$D$72</f>
        <v/>
      </c>
      <c r="H19" s="1366">
        <f>'Revenue 2025'!$E$72</f>
        <v/>
      </c>
      <c r="I19" s="1366">
        <f>'Revenue 2025'!$F$72</f>
        <v/>
      </c>
      <c r="J19" s="1366">
        <f>'Revenue 2025'!$G$72</f>
        <v/>
      </c>
      <c r="K19" s="1366">
        <f>'Revenue 2025'!$H$72</f>
        <v/>
      </c>
      <c r="L19" s="1366">
        <f>'Revenue 2025'!$I$72</f>
        <v/>
      </c>
      <c r="M19" s="1366">
        <f>'Revenue 2025'!$J$72</f>
        <v/>
      </c>
      <c r="N19" s="1366">
        <f>'Revenue 2025'!$K$72</f>
        <v/>
      </c>
      <c r="O19" s="1366">
        <f>'Revenue 2025'!$L$72</f>
        <v/>
      </c>
      <c r="P19" s="1366">
        <f>'Revenue 2025'!$M$72</f>
        <v/>
      </c>
      <c r="Q19" s="1366">
        <f>'Revenue 2025'!$N$72</f>
        <v/>
      </c>
      <c r="R19" s="1366">
        <f>'Revenue 2025'!$O$72</f>
        <v/>
      </c>
      <c r="S19" s="1367">
        <f>SUM(G19:R19)</f>
        <v/>
      </c>
      <c r="U19" s="1366">
        <f>'Revenue 2026'!$D$78</f>
        <v/>
      </c>
      <c r="V19" s="1366">
        <f>'Revenue 2026'!$E$78</f>
        <v/>
      </c>
      <c r="W19" s="1366">
        <f>'Revenue 2026'!$F$78</f>
        <v/>
      </c>
      <c r="X19" s="1366">
        <f>'Revenue 2026'!$G$78</f>
        <v/>
      </c>
      <c r="Y19" s="1366">
        <f>'Revenue 2026'!$H$78</f>
        <v/>
      </c>
      <c r="Z19" s="1366">
        <f>'Revenue 2026'!$I$78</f>
        <v/>
      </c>
      <c r="AA19" s="1366">
        <f>'Revenue 2026'!$J$78</f>
        <v/>
      </c>
      <c r="AB19" s="1366">
        <f>'Revenue 2026'!$K$78</f>
        <v/>
      </c>
      <c r="AC19" s="1366">
        <f>'Revenue 2026'!$L$78</f>
        <v/>
      </c>
      <c r="AD19" s="1366">
        <f>'Revenue 2026'!$M$78</f>
        <v/>
      </c>
      <c r="AE19" s="1366">
        <f>'Revenue 2026'!$N$78</f>
        <v/>
      </c>
      <c r="AF19" s="1366">
        <f>'Revenue 2026'!$O$78</f>
        <v/>
      </c>
      <c r="AG19" s="1367">
        <f>SUM(U19:AF19)</f>
        <v/>
      </c>
      <c r="AI19" s="1366">
        <f>'Revenue 2027'!$D$78</f>
        <v/>
      </c>
      <c r="AJ19" s="1366">
        <f>'Revenue 2027'!$E$78</f>
        <v/>
      </c>
      <c r="AK19" s="1366">
        <f>'Revenue 2027'!$F$78</f>
        <v/>
      </c>
      <c r="AL19" s="1366">
        <f>'Revenue 2027'!$G$78</f>
        <v/>
      </c>
      <c r="AM19" s="1366">
        <f>'Revenue 2027'!$H$78</f>
        <v/>
      </c>
      <c r="AN19" s="1366">
        <f>'Revenue 2027'!$I$78</f>
        <v/>
      </c>
      <c r="AO19" s="1366">
        <f>'Revenue 2027'!$J$78</f>
        <v/>
      </c>
      <c r="AP19" s="1366">
        <f>'Revenue 2027'!$K$78</f>
        <v/>
      </c>
      <c r="AQ19" s="1366">
        <f>'Revenue 2027'!$L$78</f>
        <v/>
      </c>
      <c r="AR19" s="1366">
        <f>'Revenue 2027'!$M$78</f>
        <v/>
      </c>
      <c r="AS19" s="1366">
        <f>'Revenue 2027'!$N$78</f>
        <v/>
      </c>
      <c r="AT19" s="1366">
        <f>'Revenue 2027'!$O$78</f>
        <v/>
      </c>
      <c r="AU19" s="1367">
        <f>SUM(AI19:AT19)</f>
        <v/>
      </c>
      <c r="AW19" s="1366">
        <f>'Revenue 2028'!D78</f>
        <v/>
      </c>
      <c r="AX19" s="1366">
        <f>'Revenue 2028'!E78</f>
        <v/>
      </c>
      <c r="AY19" s="1366">
        <f>'Revenue 2028'!F78</f>
        <v/>
      </c>
      <c r="AZ19" s="1366">
        <f>'Revenue 2028'!G78</f>
        <v/>
      </c>
      <c r="BA19" s="1366">
        <f>'Revenue 2028'!H78</f>
        <v/>
      </c>
      <c r="BB19" s="1366">
        <f>'Revenue 2028'!I78</f>
        <v/>
      </c>
      <c r="BC19" s="1366">
        <f>'Revenue 2028'!J78</f>
        <v/>
      </c>
      <c r="BD19" s="1366">
        <f>'Revenue 2028'!K78</f>
        <v/>
      </c>
      <c r="BE19" s="1366">
        <f>'Revenue 2028'!L78</f>
        <v/>
      </c>
      <c r="BF19" s="1366">
        <f>'Revenue 2028'!M78</f>
        <v/>
      </c>
      <c r="BG19" s="1366">
        <f>'Revenue 2028'!N78</f>
        <v/>
      </c>
      <c r="BH19" s="1366">
        <f>'Revenue 2028'!O78</f>
        <v/>
      </c>
      <c r="BI19" s="1367">
        <f>SUM(AW19:BH19)</f>
        <v/>
      </c>
    </row>
    <row r="20" outlineLevel="1" ht="39" customHeight="1">
      <c r="A20" s="441" t="n"/>
      <c r="B20" s="352" t="inlineStr">
        <is>
          <t>Training / Consultancy Training as a Service</t>
        </is>
      </c>
      <c r="C20" s="1368" t="inlineStr">
        <is>
          <t xml:space="preserve"> </t>
        </is>
      </c>
      <c r="D20" s="1364" t="n"/>
      <c r="E20" s="1365" t="n"/>
      <c r="F20" s="1366" t="n"/>
      <c r="G20" s="1366" t="inlineStr">
        <is>
          <t xml:space="preserve"> </t>
        </is>
      </c>
      <c r="H20" s="1366" t="inlineStr">
        <is>
          <t xml:space="preserve"> </t>
        </is>
      </c>
      <c r="I20" s="1366" t="inlineStr">
        <is>
          <t xml:space="preserve"> </t>
        </is>
      </c>
      <c r="J20" s="1366" t="inlineStr">
        <is>
          <t xml:space="preserve"> </t>
        </is>
      </c>
      <c r="K20" s="1366" t="inlineStr">
        <is>
          <t xml:space="preserve"> </t>
        </is>
      </c>
      <c r="L20" s="1366" t="inlineStr">
        <is>
          <t xml:space="preserve"> </t>
        </is>
      </c>
      <c r="M20" s="1366" t="inlineStr">
        <is>
          <t xml:space="preserve"> </t>
        </is>
      </c>
      <c r="N20" s="1366" t="inlineStr">
        <is>
          <t xml:space="preserve"> </t>
        </is>
      </c>
      <c r="O20" s="1366" t="inlineStr">
        <is>
          <t xml:space="preserve"> </t>
        </is>
      </c>
      <c r="P20" s="1366" t="inlineStr">
        <is>
          <t xml:space="preserve"> </t>
        </is>
      </c>
      <c r="Q20" s="1366" t="inlineStr">
        <is>
          <t xml:space="preserve"> </t>
        </is>
      </c>
      <c r="R20" s="1366" t="inlineStr">
        <is>
          <t xml:space="preserve"> </t>
        </is>
      </c>
      <c r="S20" s="1367" t="inlineStr">
        <is>
          <t xml:space="preserve"> </t>
        </is>
      </c>
      <c r="U20" s="1366" t="inlineStr">
        <is>
          <t xml:space="preserve"> </t>
        </is>
      </c>
      <c r="V20" s="1366" t="inlineStr">
        <is>
          <t xml:space="preserve"> </t>
        </is>
      </c>
      <c r="W20" s="1366" t="inlineStr">
        <is>
          <t xml:space="preserve"> </t>
        </is>
      </c>
      <c r="X20" s="1366" t="inlineStr">
        <is>
          <t xml:space="preserve"> </t>
        </is>
      </c>
      <c r="Y20" s="1366" t="inlineStr">
        <is>
          <t xml:space="preserve"> </t>
        </is>
      </c>
      <c r="Z20" s="1366" t="inlineStr">
        <is>
          <t xml:space="preserve"> </t>
        </is>
      </c>
      <c r="AA20" s="1366" t="inlineStr">
        <is>
          <t xml:space="preserve"> </t>
        </is>
      </c>
      <c r="AB20" s="1366" t="inlineStr">
        <is>
          <t xml:space="preserve"> </t>
        </is>
      </c>
      <c r="AC20" s="1366" t="inlineStr">
        <is>
          <t xml:space="preserve"> </t>
        </is>
      </c>
      <c r="AD20" s="1366" t="inlineStr">
        <is>
          <t xml:space="preserve"> </t>
        </is>
      </c>
      <c r="AE20" s="1366" t="inlineStr">
        <is>
          <t xml:space="preserve"> </t>
        </is>
      </c>
      <c r="AF20" s="1366" t="inlineStr">
        <is>
          <t xml:space="preserve"> </t>
        </is>
      </c>
      <c r="AG20" s="1367" t="inlineStr">
        <is>
          <t xml:space="preserve"> </t>
        </is>
      </c>
      <c r="AI20" s="1366" t="inlineStr">
        <is>
          <t xml:space="preserve"> </t>
        </is>
      </c>
      <c r="AJ20" s="1366" t="inlineStr">
        <is>
          <t xml:space="preserve"> </t>
        </is>
      </c>
      <c r="AK20" s="1366" t="inlineStr">
        <is>
          <t xml:space="preserve"> </t>
        </is>
      </c>
      <c r="AL20" s="1366" t="inlineStr">
        <is>
          <t xml:space="preserve"> </t>
        </is>
      </c>
      <c r="AM20" s="1366" t="inlineStr">
        <is>
          <t xml:space="preserve"> </t>
        </is>
      </c>
      <c r="AN20" s="1366" t="inlineStr">
        <is>
          <t xml:space="preserve"> </t>
        </is>
      </c>
      <c r="AO20" s="1366" t="inlineStr">
        <is>
          <t xml:space="preserve"> </t>
        </is>
      </c>
      <c r="AP20" s="1366" t="inlineStr">
        <is>
          <t xml:space="preserve"> </t>
        </is>
      </c>
      <c r="AQ20" s="1366" t="inlineStr">
        <is>
          <t xml:space="preserve"> </t>
        </is>
      </c>
      <c r="AR20" s="1366" t="inlineStr">
        <is>
          <t xml:space="preserve"> </t>
        </is>
      </c>
      <c r="AS20" s="1366" t="inlineStr">
        <is>
          <t xml:space="preserve"> </t>
        </is>
      </c>
      <c r="AT20" s="1366" t="inlineStr">
        <is>
          <t xml:space="preserve"> </t>
        </is>
      </c>
      <c r="AU20" s="1367" t="inlineStr">
        <is>
          <t xml:space="preserve"> </t>
        </is>
      </c>
      <c r="AW20" s="1366" t="inlineStr">
        <is>
          <t xml:space="preserve"> </t>
        </is>
      </c>
      <c r="AX20" s="1366" t="inlineStr">
        <is>
          <t xml:space="preserve"> </t>
        </is>
      </c>
      <c r="AY20" s="1366" t="inlineStr">
        <is>
          <t xml:space="preserve"> </t>
        </is>
      </c>
      <c r="AZ20" s="1366" t="inlineStr">
        <is>
          <t xml:space="preserve"> </t>
        </is>
      </c>
      <c r="BA20" s="1366" t="inlineStr">
        <is>
          <t xml:space="preserve"> </t>
        </is>
      </c>
      <c r="BB20" s="1366" t="inlineStr">
        <is>
          <t xml:space="preserve"> </t>
        </is>
      </c>
      <c r="BC20" s="1366" t="inlineStr">
        <is>
          <t xml:space="preserve"> </t>
        </is>
      </c>
      <c r="BD20" s="1366" t="inlineStr">
        <is>
          <t xml:space="preserve"> </t>
        </is>
      </c>
      <c r="BE20" s="1366" t="inlineStr">
        <is>
          <t xml:space="preserve"> </t>
        </is>
      </c>
      <c r="BF20" s="1366" t="inlineStr">
        <is>
          <t xml:space="preserve"> </t>
        </is>
      </c>
      <c r="BG20" s="1366" t="inlineStr">
        <is>
          <t xml:space="preserve"> </t>
        </is>
      </c>
      <c r="BH20" s="1366" t="inlineStr">
        <is>
          <t xml:space="preserve"> </t>
        </is>
      </c>
      <c r="BI20" s="1367" t="inlineStr">
        <is>
          <t xml:space="preserve"> </t>
        </is>
      </c>
    </row>
    <row r="21" outlineLevel="1" ht="20" customHeight="1">
      <c r="A21" s="441" t="n"/>
      <c r="B21" s="333" t="inlineStr">
        <is>
          <t>Thought Library</t>
        </is>
      </c>
      <c r="C21" s="1368" t="inlineStr">
        <is>
          <t xml:space="preserve"> </t>
        </is>
      </c>
      <c r="D21" s="1369" t="inlineStr">
        <is>
          <t>Added: Initial Setup</t>
        </is>
      </c>
      <c r="E21" s="1365" t="n"/>
      <c r="F21" s="1366" t="n"/>
      <c r="G21" s="1366">
        <f>'Revenue 2025'!$D$79</f>
        <v/>
      </c>
      <c r="H21" s="1366">
        <f>'Revenue 2025'!$E$79</f>
        <v/>
      </c>
      <c r="I21" s="1366">
        <f>'Revenue 2025'!$F$79</f>
        <v/>
      </c>
      <c r="J21" s="1366">
        <f>'Revenue 2025'!$G$79</f>
        <v/>
      </c>
      <c r="K21" s="1366">
        <f>'Revenue 2025'!$H$79</f>
        <v/>
      </c>
      <c r="L21" s="1366">
        <f>'Revenue 2025'!$I$79</f>
        <v/>
      </c>
      <c r="M21" s="1366">
        <f>'Revenue 2025'!$J$79</f>
        <v/>
      </c>
      <c r="N21" s="1366">
        <f>'Revenue 2025'!$K$79</f>
        <v/>
      </c>
      <c r="O21" s="1366">
        <f>'Revenue 2025'!$L$79</f>
        <v/>
      </c>
      <c r="P21" s="1366">
        <f>'Revenue 2025'!$M$79</f>
        <v/>
      </c>
      <c r="Q21" s="1366">
        <f>'Revenue 2025'!$N$79</f>
        <v/>
      </c>
      <c r="R21" s="1366">
        <f>'Revenue 2025'!$O$79</f>
        <v/>
      </c>
      <c r="S21" s="1367">
        <f>SUM(G21:R21)</f>
        <v/>
      </c>
      <c r="U21" s="1366">
        <f>'Revenue 2026'!$D$85</f>
        <v/>
      </c>
      <c r="V21" s="1366">
        <f>'Revenue 2026'!$E$85</f>
        <v/>
      </c>
      <c r="W21" s="1366">
        <f>'Revenue 2026'!$F$85</f>
        <v/>
      </c>
      <c r="X21" s="1366">
        <f>'Revenue 2026'!$G$85</f>
        <v/>
      </c>
      <c r="Y21" s="1366">
        <f>'Revenue 2026'!$H$85</f>
        <v/>
      </c>
      <c r="Z21" s="1366">
        <f>'Revenue 2026'!$I$85</f>
        <v/>
      </c>
      <c r="AA21" s="1366">
        <f>'Revenue 2026'!$J$85</f>
        <v/>
      </c>
      <c r="AB21" s="1366">
        <f>'Revenue 2026'!$K$85</f>
        <v/>
      </c>
      <c r="AC21" s="1366">
        <f>'Revenue 2026'!$L$85</f>
        <v/>
      </c>
      <c r="AD21" s="1366">
        <f>'Revenue 2026'!$M$85</f>
        <v/>
      </c>
      <c r="AE21" s="1366">
        <f>'Revenue 2026'!$N$85</f>
        <v/>
      </c>
      <c r="AF21" s="1366">
        <f>'Revenue 2026'!$O$85</f>
        <v/>
      </c>
      <c r="AG21" s="1367">
        <f>SUM(U21:AF21)</f>
        <v/>
      </c>
      <c r="AI21" s="1366">
        <f>'Revenue 2027'!$D$85</f>
        <v/>
      </c>
      <c r="AJ21" s="1366">
        <f>'Revenue 2027'!$E$85</f>
        <v/>
      </c>
      <c r="AK21" s="1366">
        <f>'Revenue 2027'!$F$85</f>
        <v/>
      </c>
      <c r="AL21" s="1366">
        <f>'Revenue 2027'!$G$85</f>
        <v/>
      </c>
      <c r="AM21" s="1366">
        <f>'Revenue 2027'!$H$85</f>
        <v/>
      </c>
      <c r="AN21" s="1366">
        <f>'Revenue 2027'!$I$85</f>
        <v/>
      </c>
      <c r="AO21" s="1366">
        <f>'Revenue 2027'!$J$85</f>
        <v/>
      </c>
      <c r="AP21" s="1366">
        <f>'Revenue 2027'!$K$85</f>
        <v/>
      </c>
      <c r="AQ21" s="1366">
        <f>'Revenue 2027'!$L$85</f>
        <v/>
      </c>
      <c r="AR21" s="1366">
        <f>'Revenue 2027'!$M$85</f>
        <v/>
      </c>
      <c r="AS21" s="1366">
        <f>'Revenue 2027'!$N$85</f>
        <v/>
      </c>
      <c r="AT21" s="1366">
        <f>'Revenue 2027'!$O$85</f>
        <v/>
      </c>
      <c r="AU21" s="1367">
        <f>SUM(AI21:AT21)</f>
        <v/>
      </c>
      <c r="AW21" s="1366">
        <f>'Revenue 2028'!D85</f>
        <v/>
      </c>
      <c r="AX21" s="1366">
        <f>'Revenue 2028'!E85</f>
        <v/>
      </c>
      <c r="AY21" s="1366">
        <f>'Revenue 2028'!F85</f>
        <v/>
      </c>
      <c r="AZ21" s="1366">
        <f>'Revenue 2028'!G85</f>
        <v/>
      </c>
      <c r="BA21" s="1366">
        <f>'Revenue 2028'!H85</f>
        <v/>
      </c>
      <c r="BB21" s="1366">
        <f>'Revenue 2028'!I85</f>
        <v/>
      </c>
      <c r="BC21" s="1366">
        <f>'Revenue 2028'!J85</f>
        <v/>
      </c>
      <c r="BD21" s="1366">
        <f>'Revenue 2028'!K85</f>
        <v/>
      </c>
      <c r="BE21" s="1366">
        <f>'Revenue 2028'!L85</f>
        <v/>
      </c>
      <c r="BF21" s="1366">
        <f>'Revenue 2028'!M85</f>
        <v/>
      </c>
      <c r="BG21" s="1366">
        <f>'Revenue 2028'!N85</f>
        <v/>
      </c>
      <c r="BH21" s="1366">
        <f>'Revenue 2028'!O85</f>
        <v/>
      </c>
      <c r="BI21" s="1367">
        <f>SUM(AW21:BH21)</f>
        <v/>
      </c>
    </row>
    <row r="22" outlineLevel="1" ht="20" customHeight="1">
      <c r="A22" s="441" t="n"/>
      <c r="B22" s="333" t="inlineStr">
        <is>
          <t>Consultancy Services</t>
        </is>
      </c>
      <c r="C22" s="1368" t="n"/>
      <c r="D22" s="1369" t="n"/>
      <c r="E22" s="1365" t="n"/>
      <c r="F22" s="1366" t="n"/>
      <c r="G22" s="1366">
        <f>'Revenue 2025'!$D$85</f>
        <v/>
      </c>
      <c r="H22" s="1366">
        <f>'Revenue 2025'!$E$85</f>
        <v/>
      </c>
      <c r="I22" s="1366">
        <f>'Revenue 2025'!$F$85</f>
        <v/>
      </c>
      <c r="J22" s="1366">
        <f>'Revenue 2025'!$G$85</f>
        <v/>
      </c>
      <c r="K22" s="1366">
        <f>'Revenue 2025'!$H$85</f>
        <v/>
      </c>
      <c r="L22" s="1366">
        <f>'Revenue 2025'!$I$85</f>
        <v/>
      </c>
      <c r="M22" s="1366">
        <f>'Revenue 2025'!$J$85</f>
        <v/>
      </c>
      <c r="N22" s="1366">
        <f>'Revenue 2025'!$K$85</f>
        <v/>
      </c>
      <c r="O22" s="1366">
        <f>'Revenue 2025'!$L$85</f>
        <v/>
      </c>
      <c r="P22" s="1366">
        <f>'Revenue 2025'!$M$85</f>
        <v/>
      </c>
      <c r="Q22" s="1366">
        <f>'Revenue 2025'!$N$85</f>
        <v/>
      </c>
      <c r="R22" s="1366">
        <f>'Revenue 2025'!$O$85</f>
        <v/>
      </c>
      <c r="S22" s="1367">
        <f>SUM(G22:R22)</f>
        <v/>
      </c>
      <c r="U22" s="1366">
        <f>'Revenue 2026'!$D$91</f>
        <v/>
      </c>
      <c r="V22" s="1366">
        <f>'Revenue 2026'!$E$91</f>
        <v/>
      </c>
      <c r="W22" s="1366">
        <f>'Revenue 2026'!$F$91</f>
        <v/>
      </c>
      <c r="X22" s="1366">
        <f>'Revenue 2026'!$G$91</f>
        <v/>
      </c>
      <c r="Y22" s="1366">
        <f>'Revenue 2026'!$H$91</f>
        <v/>
      </c>
      <c r="Z22" s="1366">
        <f>'Revenue 2026'!$I$91</f>
        <v/>
      </c>
      <c r="AA22" s="1366">
        <f>'Revenue 2026'!$J$91</f>
        <v/>
      </c>
      <c r="AB22" s="1366">
        <f>'Revenue 2026'!$K$91</f>
        <v/>
      </c>
      <c r="AC22" s="1366">
        <f>'Revenue 2026'!$L$91</f>
        <v/>
      </c>
      <c r="AD22" s="1366">
        <f>'Revenue 2026'!$M$91</f>
        <v/>
      </c>
      <c r="AE22" s="1366">
        <f>'Revenue 2026'!$N$91</f>
        <v/>
      </c>
      <c r="AF22" s="1366">
        <f>'Revenue 2026'!$O$91</f>
        <v/>
      </c>
      <c r="AG22" s="1367">
        <f>SUM(U22:AF22)</f>
        <v/>
      </c>
      <c r="AI22" s="1366">
        <f>'Revenue 2027'!$D$91</f>
        <v/>
      </c>
      <c r="AJ22" s="1366">
        <f>'Revenue 2027'!$E$91</f>
        <v/>
      </c>
      <c r="AK22" s="1366">
        <f>'Revenue 2027'!$F$91</f>
        <v/>
      </c>
      <c r="AL22" s="1366">
        <f>'Revenue 2027'!$G$91</f>
        <v/>
      </c>
      <c r="AM22" s="1366">
        <f>'Revenue 2027'!$H$91</f>
        <v/>
      </c>
      <c r="AN22" s="1366">
        <f>'Revenue 2027'!$I$91</f>
        <v/>
      </c>
      <c r="AO22" s="1366">
        <f>'Revenue 2027'!$J$91</f>
        <v/>
      </c>
      <c r="AP22" s="1366">
        <f>'Revenue 2027'!$K$91</f>
        <v/>
      </c>
      <c r="AQ22" s="1366">
        <f>'Revenue 2027'!$L$91</f>
        <v/>
      </c>
      <c r="AR22" s="1366">
        <f>'Revenue 2027'!$M$91</f>
        <v/>
      </c>
      <c r="AS22" s="1366">
        <f>'Revenue 2027'!$N$91</f>
        <v/>
      </c>
      <c r="AT22" s="1366">
        <f>'Revenue 2027'!$O$91</f>
        <v/>
      </c>
      <c r="AU22" s="1367">
        <f>SUM(AI22:AT22)</f>
        <v/>
      </c>
      <c r="AW22" s="1366">
        <f>'Revenue 2028'!D91</f>
        <v/>
      </c>
      <c r="AX22" s="1366">
        <f>'Revenue 2028'!E91</f>
        <v/>
      </c>
      <c r="AY22" s="1366">
        <f>'Revenue 2028'!F91</f>
        <v/>
      </c>
      <c r="AZ22" s="1366">
        <f>'Revenue 2028'!G91</f>
        <v/>
      </c>
      <c r="BA22" s="1366">
        <f>'Revenue 2028'!H91</f>
        <v/>
      </c>
      <c r="BB22" s="1366">
        <f>'Revenue 2028'!I91</f>
        <v/>
      </c>
      <c r="BC22" s="1366">
        <f>'Revenue 2028'!J91</f>
        <v/>
      </c>
      <c r="BD22" s="1366">
        <f>'Revenue 2028'!K91</f>
        <v/>
      </c>
      <c r="BE22" s="1366">
        <f>'Revenue 2028'!L91</f>
        <v/>
      </c>
      <c r="BF22" s="1366">
        <f>'Revenue 2028'!M91</f>
        <v/>
      </c>
      <c r="BG22" s="1366">
        <f>'Revenue 2028'!N91</f>
        <v/>
      </c>
      <c r="BH22" s="1366">
        <f>'Revenue 2028'!O91</f>
        <v/>
      </c>
      <c r="BI22" s="1367">
        <f>SUM(AW22:BH22)</f>
        <v/>
      </c>
    </row>
    <row r="23" outlineLevel="1" ht="20" customHeight="1">
      <c r="A23" s="441" t="n"/>
      <c r="B23" s="1337" t="n"/>
      <c r="C23" s="1368" t="inlineStr">
        <is>
          <t xml:space="preserve"> </t>
        </is>
      </c>
      <c r="D23" s="1364" t="n"/>
      <c r="E23" s="1368" t="n"/>
      <c r="F23" s="1366" t="n"/>
      <c r="G23" s="1370" t="n"/>
      <c r="H23" s="1370" t="n"/>
      <c r="I23" s="1370" t="n"/>
      <c r="J23" s="1370" t="n"/>
      <c r="K23" s="1370" t="n"/>
      <c r="L23" s="1370" t="n"/>
      <c r="M23" s="1370" t="n"/>
      <c r="N23" s="1370" t="n"/>
      <c r="O23" s="1370" t="n"/>
      <c r="P23" s="1370" t="n"/>
      <c r="Q23" s="1370" t="n"/>
      <c r="R23" s="1370" t="n"/>
      <c r="S23" s="1367">
        <f>SUM(G23:R23)</f>
        <v/>
      </c>
      <c r="U23" s="1370" t="n"/>
      <c r="V23" s="1370" t="n"/>
      <c r="W23" s="1370" t="n"/>
      <c r="X23" s="1370" t="n"/>
      <c r="Y23" s="1370" t="n"/>
      <c r="Z23" s="1370" t="n"/>
      <c r="AA23" s="1370" t="n"/>
      <c r="AB23" s="1370" t="n"/>
      <c r="AC23" s="1370" t="n"/>
      <c r="AD23" s="1370" t="n"/>
      <c r="AE23" s="1370" t="n"/>
      <c r="AF23" s="1370" t="n"/>
      <c r="AG23" s="1367">
        <f>SUM(U23:AF23)</f>
        <v/>
      </c>
      <c r="AI23" s="1370" t="n"/>
      <c r="AJ23" s="1370" t="n"/>
      <c r="AK23" s="1370" t="n"/>
      <c r="AL23" s="1370" t="n"/>
      <c r="AM23" s="1370" t="n"/>
      <c r="AN23" s="1370" t="n"/>
      <c r="AO23" s="1370" t="n"/>
      <c r="AP23" s="1370" t="n"/>
      <c r="AQ23" s="1370" t="n"/>
      <c r="AR23" s="1370" t="n"/>
      <c r="AS23" s="1370" t="n"/>
      <c r="AT23" s="1370" t="n"/>
      <c r="AU23" s="1367">
        <f>SUM(AI23:AT23)</f>
        <v/>
      </c>
      <c r="AW23" s="1370" t="n"/>
      <c r="AX23" s="1370" t="n"/>
      <c r="AY23" s="1370" t="n"/>
      <c r="AZ23" s="1370" t="n"/>
      <c r="BA23" s="1370" t="n"/>
      <c r="BB23" s="1370" t="n"/>
      <c r="BC23" s="1370" t="n"/>
      <c r="BD23" s="1370" t="n"/>
      <c r="BE23" s="1370" t="n"/>
      <c r="BF23" s="1370" t="n"/>
      <c r="BG23" s="1370" t="n"/>
      <c r="BH23" s="1370" t="n"/>
      <c r="BI23" s="1367">
        <f>SUM(AW23:BH23)</f>
        <v/>
      </c>
    </row>
    <row r="24" ht="20" customHeight="1">
      <c r="A24" s="441" t="n"/>
      <c r="B24" s="1371" t="inlineStr">
        <is>
          <t>Total Revenue</t>
        </is>
      </c>
      <c r="C24" s="1368" t="inlineStr">
        <is>
          <t>TotalRev</t>
        </is>
      </c>
      <c r="D24" s="1364" t="n"/>
      <c r="E24" s="1365" t="n"/>
      <c r="F24" s="1372" t="n"/>
      <c r="G24" s="1373">
        <f>SUM(G5:G23)</f>
        <v/>
      </c>
      <c r="H24" s="1373">
        <f>SUM(H5:H23)</f>
        <v/>
      </c>
      <c r="I24" s="1373">
        <f>SUM(I5:I23)</f>
        <v/>
      </c>
      <c r="J24" s="1373">
        <f>SUM(J5:J23)</f>
        <v/>
      </c>
      <c r="K24" s="1373">
        <f>SUM(K5:K23)</f>
        <v/>
      </c>
      <c r="L24" s="1373">
        <f>SUM(L5:L23)</f>
        <v/>
      </c>
      <c r="M24" s="1373">
        <f>SUM(M5:M23)</f>
        <v/>
      </c>
      <c r="N24" s="1373">
        <f>SUM(N5:N23)</f>
        <v/>
      </c>
      <c r="O24" s="1373">
        <f>SUM(O5:O23)</f>
        <v/>
      </c>
      <c r="P24" s="1373">
        <f>SUM(P5:P23)</f>
        <v/>
      </c>
      <c r="Q24" s="1373">
        <f>SUM(Q5:Q23)</f>
        <v/>
      </c>
      <c r="R24" s="1373">
        <f>SUM(R5:R23)</f>
        <v/>
      </c>
      <c r="S24" s="1374">
        <f>SUM(G24:R24)</f>
        <v/>
      </c>
      <c r="U24" s="1373">
        <f>SUM(U5:U23)</f>
        <v/>
      </c>
      <c r="V24" s="1373">
        <f>SUM(V5:V23)</f>
        <v/>
      </c>
      <c r="W24" s="1373">
        <f>SUM(W5:W23)</f>
        <v/>
      </c>
      <c r="X24" s="1373">
        <f>SUM(X5:X23)</f>
        <v/>
      </c>
      <c r="Y24" s="1373">
        <f>SUM(Y5:Y23)</f>
        <v/>
      </c>
      <c r="Z24" s="1373">
        <f>SUM(Z5:Z23)</f>
        <v/>
      </c>
      <c r="AA24" s="1373">
        <f>SUM(AA5:AA23)</f>
        <v/>
      </c>
      <c r="AB24" s="1373">
        <f>SUM(AB5:AB23)</f>
        <v/>
      </c>
      <c r="AC24" s="1373">
        <f>SUM(AC5:AC23)</f>
        <v/>
      </c>
      <c r="AD24" s="1373">
        <f>SUM(AD5:AD23)</f>
        <v/>
      </c>
      <c r="AE24" s="1373">
        <f>SUM(AE5:AE23)</f>
        <v/>
      </c>
      <c r="AF24" s="1373">
        <f>SUM(AF5:AF23)</f>
        <v/>
      </c>
      <c r="AG24" s="1374">
        <f>SUM(U24:AF24)</f>
        <v/>
      </c>
      <c r="AI24" s="1373">
        <f>SUM(AI5:AI23)</f>
        <v/>
      </c>
      <c r="AJ24" s="1373">
        <f>SUM(AJ5:AJ23)</f>
        <v/>
      </c>
      <c r="AK24" s="1373">
        <f>SUM(AK5:AK23)</f>
        <v/>
      </c>
      <c r="AL24" s="1373">
        <f>SUM(AL5:AL23)</f>
        <v/>
      </c>
      <c r="AM24" s="1373">
        <f>SUM(AM5:AM23)</f>
        <v/>
      </c>
      <c r="AN24" s="1373">
        <f>SUM(AN5:AN23)</f>
        <v/>
      </c>
      <c r="AO24" s="1373">
        <f>SUM(AO5:AO23)</f>
        <v/>
      </c>
      <c r="AP24" s="1373">
        <f>SUM(AP5:AP23)</f>
        <v/>
      </c>
      <c r="AQ24" s="1373">
        <f>SUM(AQ5:AQ23)</f>
        <v/>
      </c>
      <c r="AR24" s="1373">
        <f>SUM(AR5:AR23)</f>
        <v/>
      </c>
      <c r="AS24" s="1373">
        <f>SUM(AS5:AS23)</f>
        <v/>
      </c>
      <c r="AT24" s="1373">
        <f>SUM(AT5:AT23)</f>
        <v/>
      </c>
      <c r="AU24" s="1374">
        <f>SUM(AI24:AT24)</f>
        <v/>
      </c>
      <c r="AW24" s="1375">
        <f>SUM(AW5:AW23)</f>
        <v/>
      </c>
      <c r="AX24" s="1375">
        <f>SUM(AX5:AX23)</f>
        <v/>
      </c>
      <c r="AY24" s="1375">
        <f>SUM(AY5:AY23)</f>
        <v/>
      </c>
      <c r="AZ24" s="1375">
        <f>SUM(AZ5:AZ23)</f>
        <v/>
      </c>
      <c r="BA24" s="1375">
        <f>SUM(BA5:BA23)</f>
        <v/>
      </c>
      <c r="BB24" s="1375">
        <f>SUM(BB5:BB23)</f>
        <v/>
      </c>
      <c r="BC24" s="1375">
        <f>SUM(BC5:BC23)</f>
        <v/>
      </c>
      <c r="BD24" s="1375">
        <f>SUM(BD5:BD23)</f>
        <v/>
      </c>
      <c r="BE24" s="1375">
        <f>SUM(BE5:BE23)</f>
        <v/>
      </c>
      <c r="BF24" s="1375">
        <f>SUM(BF5:BF23)</f>
        <v/>
      </c>
      <c r="BG24" s="1375">
        <f>SUM(BG5:BG23)</f>
        <v/>
      </c>
      <c r="BH24" s="1375">
        <f>SUM(BH5:BH23)</f>
        <v/>
      </c>
      <c r="BI24" s="1376">
        <f>SUM(AW24:BH24)</f>
        <v/>
      </c>
      <c r="BJ24" s="1377" t="inlineStr">
        <is>
          <t xml:space="preserve"> </t>
        </is>
      </c>
    </row>
    <row r="25" outlineLevel="1" ht="20" customHeight="1">
      <c r="A25" s="441" t="n"/>
      <c r="B25" s="1337" t="n"/>
      <c r="C25" s="1368" t="n"/>
      <c r="D25" s="1364" t="n"/>
      <c r="E25" s="1365" t="n"/>
      <c r="F25" s="1370" t="n"/>
      <c r="G25" s="1370" t="n"/>
      <c r="H25" s="1370" t="n"/>
      <c r="I25" s="1370" t="n"/>
      <c r="J25" s="1370" t="n"/>
      <c r="K25" s="1370" t="n"/>
      <c r="L25" s="1370" t="n"/>
      <c r="M25" s="1370" t="n"/>
      <c r="N25" s="1370" t="n"/>
      <c r="O25" s="1370" t="n"/>
      <c r="P25" s="1370" t="n"/>
      <c r="Q25" s="1370" t="n"/>
      <c r="R25" s="1370" t="n"/>
      <c r="S25" s="1367">
        <f>SUM(G25:R25)</f>
        <v/>
      </c>
      <c r="U25" s="1370" t="n"/>
      <c r="V25" s="1370" t="n"/>
      <c r="W25" s="1370" t="n"/>
      <c r="X25" s="1370" t="n"/>
      <c r="Y25" s="1370" t="n"/>
      <c r="Z25" s="1370" t="n"/>
      <c r="AA25" s="1370" t="n"/>
      <c r="AB25" s="1370" t="n"/>
      <c r="AC25" s="1370" t="n"/>
      <c r="AD25" s="1370" t="n"/>
      <c r="AE25" s="1370" t="n"/>
      <c r="AF25" s="1370" t="n"/>
      <c r="AG25" s="1367">
        <f>SUM(U25:AF25)</f>
        <v/>
      </c>
      <c r="AI25" s="1370" t="n"/>
      <c r="AJ25" s="1370" t="n"/>
      <c r="AK25" s="1370" t="n"/>
      <c r="AL25" s="1370" t="n"/>
      <c r="AM25" s="1370" t="n"/>
      <c r="AN25" s="1370" t="n"/>
      <c r="AO25" s="1370" t="n"/>
      <c r="AP25" s="1370" t="n"/>
      <c r="AQ25" s="1370" t="n"/>
      <c r="AR25" s="1370" t="n"/>
      <c r="AS25" s="1370" t="n"/>
      <c r="AT25" s="1370" t="n"/>
      <c r="AU25" s="1367">
        <f>SUM(AI25:AT25)</f>
        <v/>
      </c>
      <c r="AW25" s="1370" t="n"/>
      <c r="AX25" s="1370" t="n"/>
      <c r="AY25" s="1370" t="n"/>
      <c r="AZ25" s="1370" t="n"/>
      <c r="BA25" s="1370" t="n"/>
      <c r="BB25" s="1370" t="n"/>
      <c r="BC25" s="1370" t="n"/>
      <c r="BD25" s="1370" t="n"/>
      <c r="BE25" s="1370" t="n"/>
      <c r="BF25" s="1370" t="n"/>
      <c r="BG25" s="1370" t="n"/>
      <c r="BH25" s="1370" t="n"/>
      <c r="BI25" s="1367">
        <f>SUM(AW25:BH25)</f>
        <v/>
      </c>
    </row>
    <row r="26" outlineLevel="1" ht="20" customHeight="1">
      <c r="A26" s="441" t="n"/>
      <c r="B26" s="1378" t="inlineStr">
        <is>
          <t>Cost of Sales:</t>
        </is>
      </c>
      <c r="C26" s="1368" t="n"/>
      <c r="D26" s="1364" t="n"/>
      <c r="E26" s="1365" t="n"/>
      <c r="F26" s="1370" t="n"/>
      <c r="G26" s="1370" t="n"/>
      <c r="H26" s="1370" t="n"/>
      <c r="I26" s="1370" t="n"/>
      <c r="J26" s="1370" t="n"/>
      <c r="K26" s="1370" t="n"/>
      <c r="L26" s="1370" t="n"/>
      <c r="M26" s="1370" t="n"/>
      <c r="N26" s="1370" t="n"/>
      <c r="O26" s="1370" t="n"/>
      <c r="P26" s="1370" t="n"/>
      <c r="Q26" s="1370" t="n"/>
      <c r="R26" s="1370" t="n"/>
      <c r="S26" s="1367">
        <f>SUM(G26:R26)</f>
        <v/>
      </c>
      <c r="T26" t="inlineStr">
        <is>
          <t xml:space="preserve"> </t>
        </is>
      </c>
      <c r="U26" s="1370" t="n"/>
      <c r="V26" s="1370" t="n"/>
      <c r="W26" s="1370" t="n"/>
      <c r="X26" s="1370" t="n"/>
      <c r="Y26" s="1370" t="n"/>
      <c r="Z26" s="1370" t="n"/>
      <c r="AA26" s="1370" t="n"/>
      <c r="AB26" s="1370" t="n"/>
      <c r="AC26" s="1370" t="n"/>
      <c r="AD26" s="1370" t="n"/>
      <c r="AE26" s="1370" t="n"/>
      <c r="AF26" s="1370" t="n"/>
      <c r="AG26" s="1367">
        <f>SUM(U26:AF26)</f>
        <v/>
      </c>
      <c r="AI26" s="1370" t="n"/>
      <c r="AJ26" s="1370" t="n"/>
      <c r="AK26" s="1370" t="n"/>
      <c r="AL26" s="1370" t="n"/>
      <c r="AM26" s="1370" t="n"/>
      <c r="AN26" s="1370" t="n"/>
      <c r="AO26" s="1370" t="n"/>
      <c r="AP26" s="1370" t="n"/>
      <c r="AQ26" s="1370" t="n"/>
      <c r="AR26" s="1370" t="n"/>
      <c r="AS26" s="1370" t="n"/>
      <c r="AT26" s="1370" t="n"/>
      <c r="AU26" s="1367">
        <f>SUM(AI26:AT26)</f>
        <v/>
      </c>
      <c r="AW26" s="1370" t="n"/>
      <c r="AX26" s="1370" t="n"/>
      <c r="AY26" s="1370" t="n"/>
      <c r="AZ26" s="1370" t="n"/>
      <c r="BA26" s="1370" t="n"/>
      <c r="BB26" s="1370" t="n"/>
      <c r="BC26" s="1370" t="n"/>
      <c r="BD26" s="1370" t="n"/>
      <c r="BE26" s="1370" t="n"/>
      <c r="BF26" s="1370" t="n"/>
      <c r="BG26" s="1370" t="n"/>
      <c r="BH26" s="1370" t="n"/>
      <c r="BI26" s="1367">
        <f>SUM(AW26:BH26)</f>
        <v/>
      </c>
    </row>
    <row r="27" outlineLevel="1" ht="20" customHeight="1">
      <c r="A27" s="441" t="n"/>
      <c r="B27" s="335" t="inlineStr">
        <is>
          <t>Administrative</t>
        </is>
      </c>
      <c r="C27" s="1368" t="n"/>
      <c r="D27" s="1364" t="n"/>
      <c r="E27" s="1365" t="n"/>
      <c r="F27" s="1370" t="n"/>
      <c r="G27" s="1370" t="inlineStr">
        <is>
          <t xml:space="preserve"> </t>
        </is>
      </c>
      <c r="H27" s="1370" t="inlineStr">
        <is>
          <t xml:space="preserve"> </t>
        </is>
      </c>
      <c r="I27" s="1370" t="inlineStr">
        <is>
          <t xml:space="preserve"> </t>
        </is>
      </c>
      <c r="J27" s="1370" t="inlineStr">
        <is>
          <t xml:space="preserve"> </t>
        </is>
      </c>
      <c r="K27" s="1370" t="inlineStr">
        <is>
          <t xml:space="preserve"> </t>
        </is>
      </c>
      <c r="L27" s="1370" t="inlineStr">
        <is>
          <t xml:space="preserve"> </t>
        </is>
      </c>
      <c r="M27" s="1370" t="inlineStr">
        <is>
          <t xml:space="preserve"> </t>
        </is>
      </c>
      <c r="N27" s="1370" t="inlineStr">
        <is>
          <t xml:space="preserve"> </t>
        </is>
      </c>
      <c r="O27" s="1370" t="inlineStr">
        <is>
          <t xml:space="preserve"> </t>
        </is>
      </c>
      <c r="P27" s="1370" t="inlineStr">
        <is>
          <t xml:space="preserve"> </t>
        </is>
      </c>
      <c r="Q27" s="1370" t="inlineStr">
        <is>
          <t xml:space="preserve"> </t>
        </is>
      </c>
      <c r="R27" s="1370" t="inlineStr">
        <is>
          <t xml:space="preserve"> </t>
        </is>
      </c>
      <c r="S27" s="1367" t="inlineStr">
        <is>
          <t xml:space="preserve"> </t>
        </is>
      </c>
      <c r="U27" s="1370" t="inlineStr">
        <is>
          <t xml:space="preserve"> </t>
        </is>
      </c>
      <c r="V27" s="1370" t="inlineStr">
        <is>
          <t xml:space="preserve"> </t>
        </is>
      </c>
      <c r="W27" s="1370" t="inlineStr">
        <is>
          <t xml:space="preserve"> </t>
        </is>
      </c>
      <c r="X27" s="1370" t="inlineStr">
        <is>
          <t xml:space="preserve"> </t>
        </is>
      </c>
      <c r="Y27" s="1370" t="inlineStr">
        <is>
          <t xml:space="preserve"> </t>
        </is>
      </c>
      <c r="Z27" s="1370" t="inlineStr">
        <is>
          <t xml:space="preserve"> </t>
        </is>
      </c>
      <c r="AA27" s="1370" t="inlineStr">
        <is>
          <t xml:space="preserve"> </t>
        </is>
      </c>
      <c r="AB27" s="1370" t="inlineStr">
        <is>
          <t xml:space="preserve"> </t>
        </is>
      </c>
      <c r="AC27" s="1370" t="inlineStr">
        <is>
          <t xml:space="preserve"> </t>
        </is>
      </c>
      <c r="AD27" s="1370" t="inlineStr">
        <is>
          <t xml:space="preserve"> </t>
        </is>
      </c>
      <c r="AE27" s="1370" t="inlineStr">
        <is>
          <t xml:space="preserve"> </t>
        </is>
      </c>
      <c r="AF27" s="1370" t="inlineStr">
        <is>
          <t xml:space="preserve"> </t>
        </is>
      </c>
      <c r="AG27" s="1367" t="inlineStr">
        <is>
          <t xml:space="preserve"> </t>
        </is>
      </c>
      <c r="AI27" s="1370" t="inlineStr">
        <is>
          <t xml:space="preserve"> </t>
        </is>
      </c>
      <c r="AJ27" s="1370" t="inlineStr">
        <is>
          <t xml:space="preserve"> </t>
        </is>
      </c>
      <c r="AK27" s="1370" t="inlineStr">
        <is>
          <t xml:space="preserve"> </t>
        </is>
      </c>
      <c r="AL27" s="1370" t="inlineStr">
        <is>
          <t xml:space="preserve"> </t>
        </is>
      </c>
      <c r="AM27" s="1370" t="inlineStr">
        <is>
          <t xml:space="preserve"> </t>
        </is>
      </c>
      <c r="AN27" s="1370" t="inlineStr">
        <is>
          <t xml:space="preserve"> </t>
        </is>
      </c>
      <c r="AO27" s="1370" t="inlineStr">
        <is>
          <t xml:space="preserve"> </t>
        </is>
      </c>
      <c r="AP27" s="1370" t="inlineStr">
        <is>
          <t xml:space="preserve"> </t>
        </is>
      </c>
      <c r="AQ27" s="1370" t="inlineStr">
        <is>
          <t xml:space="preserve"> </t>
        </is>
      </c>
      <c r="AR27" s="1370" t="inlineStr">
        <is>
          <t xml:space="preserve"> </t>
        </is>
      </c>
      <c r="AS27" s="1370" t="inlineStr">
        <is>
          <t xml:space="preserve"> </t>
        </is>
      </c>
      <c r="AT27" s="1370" t="inlineStr">
        <is>
          <t xml:space="preserve"> </t>
        </is>
      </c>
      <c r="AU27" s="1367" t="inlineStr">
        <is>
          <t xml:space="preserve"> </t>
        </is>
      </c>
      <c r="AW27" s="1370" t="inlineStr">
        <is>
          <t xml:space="preserve"> </t>
        </is>
      </c>
      <c r="AX27" s="1370" t="inlineStr">
        <is>
          <t xml:space="preserve"> </t>
        </is>
      </c>
      <c r="AY27" s="1370" t="inlineStr">
        <is>
          <t xml:space="preserve"> </t>
        </is>
      </c>
      <c r="AZ27" s="1370" t="inlineStr">
        <is>
          <t xml:space="preserve"> </t>
        </is>
      </c>
      <c r="BA27" s="1370" t="inlineStr">
        <is>
          <t xml:space="preserve"> </t>
        </is>
      </c>
      <c r="BB27" s="1370" t="inlineStr">
        <is>
          <t xml:space="preserve"> </t>
        </is>
      </c>
      <c r="BC27" s="1370" t="inlineStr">
        <is>
          <t xml:space="preserve"> </t>
        </is>
      </c>
      <c r="BD27" s="1370" t="inlineStr">
        <is>
          <t xml:space="preserve"> </t>
        </is>
      </c>
      <c r="BE27" s="1370" t="inlineStr">
        <is>
          <t xml:space="preserve"> </t>
        </is>
      </c>
      <c r="BF27" s="1370" t="inlineStr">
        <is>
          <t xml:space="preserve"> </t>
        </is>
      </c>
      <c r="BG27" s="1370" t="inlineStr">
        <is>
          <t xml:space="preserve"> </t>
        </is>
      </c>
      <c r="BH27" s="1370" t="inlineStr">
        <is>
          <t xml:space="preserve"> </t>
        </is>
      </c>
      <c r="BI27" s="1367" t="inlineStr">
        <is>
          <t xml:space="preserve"> </t>
        </is>
      </c>
    </row>
    <row r="28" outlineLevel="1" ht="20" customHeight="1">
      <c r="A28" s="441" t="n"/>
      <c r="B28" s="331" t="inlineStr">
        <is>
          <t>Configuration</t>
        </is>
      </c>
      <c r="C28" s="1368" t="n"/>
      <c r="D28" s="1364" t="n"/>
      <c r="E28" s="1365" t="n"/>
      <c r="F28" s="1370" t="inlineStr">
        <is>
          <t xml:space="preserve"> </t>
        </is>
      </c>
      <c r="G28" s="1370">
        <f>'Revenue 2025'!$D$98</f>
        <v/>
      </c>
      <c r="H28" s="1370">
        <f>'Revenue 2025'!$E$98</f>
        <v/>
      </c>
      <c r="I28" s="1370">
        <f>'Revenue 2025'!$F$98</f>
        <v/>
      </c>
      <c r="J28" s="1370">
        <f>'Revenue 2025'!$G$98</f>
        <v/>
      </c>
      <c r="K28" s="1370">
        <f>'Revenue 2025'!$H$98</f>
        <v/>
      </c>
      <c r="L28" s="1370">
        <f>'Revenue 2025'!$I$98</f>
        <v/>
      </c>
      <c r="M28" s="1370">
        <f>'Revenue 2025'!$J$98</f>
        <v/>
      </c>
      <c r="N28" s="1370">
        <f>'Revenue 2025'!$K$98</f>
        <v/>
      </c>
      <c r="O28" s="1370">
        <f>'Revenue 2025'!$L$98</f>
        <v/>
      </c>
      <c r="P28" s="1370">
        <f>'Revenue 2025'!$M$98</f>
        <v/>
      </c>
      <c r="Q28" s="1370">
        <f>'Revenue 2025'!$N$98</f>
        <v/>
      </c>
      <c r="R28" s="1370">
        <f>'Revenue 2025'!$O$98</f>
        <v/>
      </c>
      <c r="S28" s="1367">
        <f>SUM(G28:R28)</f>
        <v/>
      </c>
      <c r="U28" s="1370">
        <f>'Revenue 2026'!$D$104</f>
        <v/>
      </c>
      <c r="V28" s="1370">
        <f>'Revenue 2026'!$E$104</f>
        <v/>
      </c>
      <c r="W28" s="1370">
        <f>'Revenue 2026'!$F$104</f>
        <v/>
      </c>
      <c r="X28" s="1370">
        <f>'Revenue 2026'!$G$104</f>
        <v/>
      </c>
      <c r="Y28" s="1370">
        <f>'Revenue 2026'!$H$104</f>
        <v/>
      </c>
      <c r="Z28" s="1370">
        <f>'Revenue 2026'!$I$104</f>
        <v/>
      </c>
      <c r="AA28" s="1370">
        <f>'Revenue 2026'!$J$104</f>
        <v/>
      </c>
      <c r="AB28" s="1370">
        <f>'Revenue 2026'!$K$104</f>
        <v/>
      </c>
      <c r="AC28" s="1370">
        <f>'Revenue 2026'!$L$104</f>
        <v/>
      </c>
      <c r="AD28" s="1370">
        <f>'Revenue 2026'!$M$104</f>
        <v/>
      </c>
      <c r="AE28" s="1370">
        <f>'Revenue 2026'!$N$104</f>
        <v/>
      </c>
      <c r="AF28" s="1370">
        <f>'Revenue 2026'!$O$104</f>
        <v/>
      </c>
      <c r="AG28" s="1367">
        <f>SUM(U28:AF28)</f>
        <v/>
      </c>
      <c r="AI28" s="1370">
        <f>'Revenue 2027'!$D$104</f>
        <v/>
      </c>
      <c r="AJ28" s="1370">
        <f>'Revenue 2027'!$E$104</f>
        <v/>
      </c>
      <c r="AK28" s="1370">
        <f>'Revenue 2027'!$F$104</f>
        <v/>
      </c>
      <c r="AL28" s="1370">
        <f>'Revenue 2027'!$G$104</f>
        <v/>
      </c>
      <c r="AM28" s="1370">
        <f>'Revenue 2027'!$H$104</f>
        <v/>
      </c>
      <c r="AN28" s="1370">
        <f>'Revenue 2027'!$I$104</f>
        <v/>
      </c>
      <c r="AO28" s="1370">
        <f>'Revenue 2027'!$J$104</f>
        <v/>
      </c>
      <c r="AP28" s="1370">
        <f>'Revenue 2027'!$K$104</f>
        <v/>
      </c>
      <c r="AQ28" s="1370">
        <f>'Revenue 2027'!$L$104</f>
        <v/>
      </c>
      <c r="AR28" s="1370">
        <f>'Revenue 2027'!$M$104</f>
        <v/>
      </c>
      <c r="AS28" s="1370">
        <f>'Revenue 2027'!$N$104</f>
        <v/>
      </c>
      <c r="AT28" s="1370">
        <f>'Revenue 2027'!$O$104</f>
        <v/>
      </c>
      <c r="AU28" s="1367">
        <f>SUM(AI28:AT28)</f>
        <v/>
      </c>
      <c r="AW28" s="1370">
        <f>'Revenue 2028'!D103</f>
        <v/>
      </c>
      <c r="AX28" s="1370">
        <f>'Revenue 2028'!E103</f>
        <v/>
      </c>
      <c r="AY28" s="1370">
        <f>'Revenue 2028'!F103</f>
        <v/>
      </c>
      <c r="AZ28" s="1370">
        <f>'Revenue 2028'!G103</f>
        <v/>
      </c>
      <c r="BA28" s="1370">
        <f>'Revenue 2028'!H103</f>
        <v/>
      </c>
      <c r="BB28" s="1370">
        <f>'Revenue 2028'!I103</f>
        <v/>
      </c>
      <c r="BC28" s="1370">
        <f>'Revenue 2028'!J103</f>
        <v/>
      </c>
      <c r="BD28" s="1370">
        <f>'Revenue 2028'!K103</f>
        <v/>
      </c>
      <c r="BE28" s="1370">
        <f>'Revenue 2028'!L103</f>
        <v/>
      </c>
      <c r="BF28" s="1370">
        <f>'Revenue 2028'!M103</f>
        <v/>
      </c>
      <c r="BG28" s="1370">
        <f>'Revenue 2028'!N103</f>
        <v/>
      </c>
      <c r="BH28" s="1370">
        <f>'Revenue 2028'!O103</f>
        <v/>
      </c>
      <c r="BI28" s="1367">
        <f>SUM(AW28:BH28)</f>
        <v/>
      </c>
    </row>
    <row r="29" outlineLevel="1" ht="20" customHeight="1">
      <c r="A29" s="441" t="n"/>
      <c r="B29" s="331" t="inlineStr">
        <is>
          <t>On-Boarding- Administrator</t>
        </is>
      </c>
      <c r="C29" s="1368" t="inlineStr">
        <is>
          <t xml:space="preserve"> </t>
        </is>
      </c>
      <c r="D29" s="1364" t="n"/>
      <c r="E29" s="1365" t="n"/>
      <c r="F29" s="1370" t="inlineStr">
        <is>
          <t xml:space="preserve"> </t>
        </is>
      </c>
      <c r="G29" s="1370">
        <f>'Revenue 2025'!$D$104</f>
        <v/>
      </c>
      <c r="H29" s="1370">
        <f>'Revenue 2025'!$E$104</f>
        <v/>
      </c>
      <c r="I29" s="1370">
        <f>'Revenue 2025'!$F$104</f>
        <v/>
      </c>
      <c r="J29" s="1370">
        <f>'Revenue 2025'!$G$104</f>
        <v/>
      </c>
      <c r="K29" s="1370">
        <f>'Revenue 2025'!$H$104</f>
        <v/>
      </c>
      <c r="L29" s="1370">
        <f>'Revenue 2025'!$I$104</f>
        <v/>
      </c>
      <c r="M29" s="1370">
        <f>'Revenue 2025'!$J$104</f>
        <v/>
      </c>
      <c r="N29" s="1370">
        <f>'Revenue 2025'!$K$104</f>
        <v/>
      </c>
      <c r="O29" s="1370">
        <f>'Revenue 2025'!$L$104</f>
        <v/>
      </c>
      <c r="P29" s="1370">
        <f>'Revenue 2025'!AA103</f>
        <v/>
      </c>
      <c r="Q29" s="1370">
        <f>'Revenue 2025'!$N$104</f>
        <v/>
      </c>
      <c r="R29" s="1370">
        <f>'Revenue 2025'!$O$104</f>
        <v/>
      </c>
      <c r="S29" s="1367">
        <f>SUM(G29:R29)</f>
        <v/>
      </c>
      <c r="U29" s="1370">
        <f>'Revenue 2026'!$D$110</f>
        <v/>
      </c>
      <c r="V29" s="1370">
        <f>'Revenue 2026'!$E$110</f>
        <v/>
      </c>
      <c r="W29" s="1370">
        <f>'Revenue 2026'!$F$110</f>
        <v/>
      </c>
      <c r="X29" s="1370">
        <f>'Revenue 2026'!$G$110</f>
        <v/>
      </c>
      <c r="Y29" s="1370">
        <f>'Revenue 2026'!$H$110</f>
        <v/>
      </c>
      <c r="Z29" s="1370">
        <f>'Revenue 2026'!$I$110</f>
        <v/>
      </c>
      <c r="AA29" s="1370">
        <f>'Revenue 2026'!$J$110</f>
        <v/>
      </c>
      <c r="AB29" s="1370">
        <f>'Revenue 2026'!$K$110</f>
        <v/>
      </c>
      <c r="AC29" s="1370">
        <f>'Revenue 2026'!$L$110</f>
        <v/>
      </c>
      <c r="AD29" s="1370">
        <f>'Revenue 2026'!AO109</f>
        <v/>
      </c>
      <c r="AE29" s="1370">
        <f>'Revenue 2026'!$N$110</f>
        <v/>
      </c>
      <c r="AF29" s="1370">
        <f>'Revenue 2026'!$O$110</f>
        <v/>
      </c>
      <c r="AG29" s="1367">
        <f>SUM(U29:AF29)</f>
        <v/>
      </c>
      <c r="AI29" s="1370">
        <f>'Revenue 2027'!$D$110</f>
        <v/>
      </c>
      <c r="AJ29" s="1370">
        <f>'Revenue 2027'!$E$110</f>
        <v/>
      </c>
      <c r="AK29" s="1370">
        <f>'Revenue 2027'!$F$110</f>
        <v/>
      </c>
      <c r="AL29" s="1370">
        <f>'Revenue 2027'!$G$110</f>
        <v/>
      </c>
      <c r="AM29" s="1370">
        <f>'Revenue 2027'!$H$110</f>
        <v/>
      </c>
      <c r="AN29" s="1370">
        <f>'Revenue 2027'!$I$110</f>
        <v/>
      </c>
      <c r="AO29" s="1370">
        <f>'Revenue 2027'!$J$110</f>
        <v/>
      </c>
      <c r="AP29" s="1370">
        <f>'Revenue 2027'!$K$110</f>
        <v/>
      </c>
      <c r="AQ29" s="1370">
        <f>'Revenue 2027'!$L$110</f>
        <v/>
      </c>
      <c r="AR29" s="1370">
        <f>'Revenue 2027'!BC109</f>
        <v/>
      </c>
      <c r="AS29" s="1370">
        <f>'Revenue 2027'!$N$110</f>
        <v/>
      </c>
      <c r="AT29" s="1370">
        <f>'Revenue 2027'!$O$110</f>
        <v/>
      </c>
      <c r="AU29" s="1367">
        <f>SUM(AI29:AT29)</f>
        <v/>
      </c>
      <c r="AW29" s="1370">
        <f>'Revenue 2028'!D109</f>
        <v/>
      </c>
      <c r="AX29" s="1370">
        <f>'Revenue 2028'!E109</f>
        <v/>
      </c>
      <c r="AY29" s="1370">
        <f>'Revenue 2028'!F109</f>
        <v/>
      </c>
      <c r="AZ29" s="1370">
        <f>'Revenue 2028'!G109</f>
        <v/>
      </c>
      <c r="BA29" s="1370">
        <f>'Revenue 2028'!H109</f>
        <v/>
      </c>
      <c r="BB29" s="1370">
        <f>'Revenue 2028'!I109</f>
        <v/>
      </c>
      <c r="BC29" s="1370">
        <f>'Revenue 2028'!J109</f>
        <v/>
      </c>
      <c r="BD29" s="1370">
        <f>'Revenue 2028'!K109</f>
        <v/>
      </c>
      <c r="BE29" s="1370">
        <f>'Revenue 2028'!L109</f>
        <v/>
      </c>
      <c r="BF29" s="1370">
        <f>'Revenue 2028'!M109</f>
        <v/>
      </c>
      <c r="BG29" s="1370">
        <f>'Revenue 2028'!N109</f>
        <v/>
      </c>
      <c r="BH29" s="1370">
        <f>'Revenue 2028'!O109</f>
        <v/>
      </c>
      <c r="BI29" s="1367">
        <f>SUM(AW29:BH29)</f>
        <v/>
      </c>
    </row>
    <row r="30" outlineLevel="1" ht="20" customHeight="1">
      <c r="A30" s="441" t="n"/>
      <c r="B30" s="331" t="inlineStr">
        <is>
          <t>On-Boarding Users</t>
        </is>
      </c>
      <c r="C30" s="1368" t="n"/>
      <c r="D30" s="1364" t="n"/>
      <c r="E30" s="1365" t="n"/>
      <c r="F30" s="1370" t="n"/>
      <c r="G30" s="1370">
        <f>'Revenue 2025'!$D$110</f>
        <v/>
      </c>
      <c r="H30" s="1370">
        <f>'Revenue 2025'!$E$110</f>
        <v/>
      </c>
      <c r="I30" s="1370">
        <f>'Revenue 2025'!$F$110</f>
        <v/>
      </c>
      <c r="J30" s="1370">
        <f>'Revenue 2025'!$G$110</f>
        <v/>
      </c>
      <c r="K30" s="1370">
        <f>'Revenue 2025'!$H$110</f>
        <v/>
      </c>
      <c r="L30" s="1370">
        <f>'Revenue 2025'!$I$110</f>
        <v/>
      </c>
      <c r="M30" s="1370">
        <f>'Revenue 2025'!$J$110</f>
        <v/>
      </c>
      <c r="N30" s="1370">
        <f>'Revenue 2025'!$K$110</f>
        <v/>
      </c>
      <c r="O30" s="1370">
        <f>'Revenue 2025'!$L$110</f>
        <v/>
      </c>
      <c r="P30" s="1370">
        <f>'Revenue 2025'!$M$110</f>
        <v/>
      </c>
      <c r="Q30" s="1370">
        <f>'Revenue 2025'!$N$110</f>
        <v/>
      </c>
      <c r="R30" s="1370">
        <f>'Revenue 2025'!$O$110</f>
        <v/>
      </c>
      <c r="S30" s="1367">
        <f>SUM(G30:R30)</f>
        <v/>
      </c>
      <c r="U30" s="1370">
        <f>'Revenue 2026'!$D$116</f>
        <v/>
      </c>
      <c r="V30" s="1370">
        <f>'Revenue 2026'!$E$116</f>
        <v/>
      </c>
      <c r="W30" s="1370">
        <f>'Revenue 2026'!$F$116</f>
        <v/>
      </c>
      <c r="X30" s="1370">
        <f>'Revenue 2026'!$G$116</f>
        <v/>
      </c>
      <c r="Y30" s="1370">
        <f>'Revenue 2026'!$H$116</f>
        <v/>
      </c>
      <c r="Z30" s="1370">
        <f>'Revenue 2026'!$I$116</f>
        <v/>
      </c>
      <c r="AA30" s="1370">
        <f>'Revenue 2026'!$J$116</f>
        <v/>
      </c>
      <c r="AB30" s="1370">
        <f>'Revenue 2026'!$K$116</f>
        <v/>
      </c>
      <c r="AC30" s="1370">
        <f>'Revenue 2026'!$L$116</f>
        <v/>
      </c>
      <c r="AD30" s="1370">
        <f>'Revenue 2026'!$M$116</f>
        <v/>
      </c>
      <c r="AE30" s="1370">
        <f>'Revenue 2026'!$N$116</f>
        <v/>
      </c>
      <c r="AF30" s="1370">
        <f>'Revenue 2026'!$O$116</f>
        <v/>
      </c>
      <c r="AG30" s="1367">
        <f>SUM(U30:AF30)</f>
        <v/>
      </c>
      <c r="AI30" s="1370">
        <f>'Revenue 2027'!$D$116</f>
        <v/>
      </c>
      <c r="AJ30" s="1370">
        <f>'Revenue 2027'!$E$116</f>
        <v/>
      </c>
      <c r="AK30" s="1370">
        <f>'Revenue 2027'!$F$116</f>
        <v/>
      </c>
      <c r="AL30" s="1370">
        <f>'Revenue 2027'!$G$116</f>
        <v/>
      </c>
      <c r="AM30" s="1370">
        <f>'Revenue 2027'!$H$116</f>
        <v/>
      </c>
      <c r="AN30" s="1370">
        <f>'Revenue 2027'!$I$116</f>
        <v/>
      </c>
      <c r="AO30" s="1370">
        <f>'Revenue 2027'!$J$116</f>
        <v/>
      </c>
      <c r="AP30" s="1370">
        <f>'Revenue 2027'!$K$116</f>
        <v/>
      </c>
      <c r="AQ30" s="1370">
        <f>'Revenue 2027'!$L$116</f>
        <v/>
      </c>
      <c r="AR30" s="1370">
        <f>'Revenue 2027'!$M$116</f>
        <v/>
      </c>
      <c r="AS30" s="1370">
        <f>'Revenue 2027'!$N$116</f>
        <v/>
      </c>
      <c r="AT30" s="1370">
        <f>'Revenue 2027'!$O$116</f>
        <v/>
      </c>
      <c r="AU30" s="1367">
        <f>SUM(AI30:AT30)</f>
        <v/>
      </c>
      <c r="AW30" s="1370">
        <f>'Revenue 2028'!D115</f>
        <v/>
      </c>
      <c r="AX30" s="1370">
        <f>'Revenue 2028'!E115</f>
        <v/>
      </c>
      <c r="AY30" s="1370">
        <f>'Revenue 2028'!F115</f>
        <v/>
      </c>
      <c r="AZ30" s="1370">
        <f>'Revenue 2028'!G115</f>
        <v/>
      </c>
      <c r="BA30" s="1370">
        <f>'Revenue 2028'!H115</f>
        <v/>
      </c>
      <c r="BB30" s="1370">
        <f>'Revenue 2028'!I115</f>
        <v/>
      </c>
      <c r="BC30" s="1370">
        <f>'Revenue 2028'!J115</f>
        <v/>
      </c>
      <c r="BD30" s="1370">
        <f>'Revenue 2028'!K115</f>
        <v/>
      </c>
      <c r="BE30" s="1370">
        <f>'Revenue 2028'!L115</f>
        <v/>
      </c>
      <c r="BF30" s="1370">
        <f>'Revenue 2028'!M115</f>
        <v/>
      </c>
      <c r="BG30" s="1370">
        <f>'Revenue 2028'!N115</f>
        <v/>
      </c>
      <c r="BH30" s="1370">
        <f>'Revenue 2028'!O115</f>
        <v/>
      </c>
      <c r="BI30" s="1367">
        <f>SUM(AW30:BH30)</f>
        <v/>
      </c>
    </row>
    <row r="31" outlineLevel="1" ht="20" customHeight="1">
      <c r="A31" s="441" t="n"/>
      <c r="B31" s="331" t="inlineStr">
        <is>
          <t>Import</t>
        </is>
      </c>
      <c r="C31" s="1368" t="n"/>
      <c r="D31" s="1364" t="n"/>
      <c r="E31" s="1365" t="n"/>
      <c r="F31" s="1370" t="n"/>
      <c r="G31" s="1370">
        <f>'Revenue 2025'!$D$116</f>
        <v/>
      </c>
      <c r="H31" s="1370">
        <f>'Revenue 2025'!$E$116</f>
        <v/>
      </c>
      <c r="I31" s="1370">
        <f>'Revenue 2025'!$F$116</f>
        <v/>
      </c>
      <c r="J31" s="1370">
        <f>'Revenue 2025'!$G$116</f>
        <v/>
      </c>
      <c r="K31" s="1370">
        <f>'Revenue 2025'!$H$116</f>
        <v/>
      </c>
      <c r="L31" s="1370">
        <f>'Revenue 2025'!$I$116</f>
        <v/>
      </c>
      <c r="M31" s="1370">
        <f>'Revenue 2025'!$J$116</f>
        <v/>
      </c>
      <c r="N31" s="1370">
        <f>'Revenue 2025'!$K$116</f>
        <v/>
      </c>
      <c r="O31" s="1370">
        <f>'Revenue 2025'!$L$116</f>
        <v/>
      </c>
      <c r="P31" s="1370">
        <f>'Revenue 2025'!$M$116</f>
        <v/>
      </c>
      <c r="Q31" s="1370">
        <f>'Revenue 2025'!$N$116</f>
        <v/>
      </c>
      <c r="R31" s="1370">
        <f>'Revenue 2025'!$O$116</f>
        <v/>
      </c>
      <c r="S31" s="1367" t="n"/>
      <c r="U31" s="1370">
        <f>'Revenue 2026'!$D$122</f>
        <v/>
      </c>
      <c r="V31" s="1370">
        <f>'Revenue 2026'!$E$122</f>
        <v/>
      </c>
      <c r="W31" s="1370">
        <f>'Revenue 2026'!$F$122</f>
        <v/>
      </c>
      <c r="X31" s="1370">
        <f>'Revenue 2026'!$G$122</f>
        <v/>
      </c>
      <c r="Y31" s="1370">
        <f>'Revenue 2026'!$H$122</f>
        <v/>
      </c>
      <c r="Z31" s="1370">
        <f>'Revenue 2026'!$I$122</f>
        <v/>
      </c>
      <c r="AA31" s="1370">
        <f>'Revenue 2026'!$J$122</f>
        <v/>
      </c>
      <c r="AB31" s="1370">
        <f>'Revenue 2026'!$K$122</f>
        <v/>
      </c>
      <c r="AC31" s="1370">
        <f>'Revenue 2026'!$L$122</f>
        <v/>
      </c>
      <c r="AD31" s="1370">
        <f>'Revenue 2026'!$M$122</f>
        <v/>
      </c>
      <c r="AE31" s="1370">
        <f>'Revenue 2026'!$N$122</f>
        <v/>
      </c>
      <c r="AF31" s="1370">
        <f>'Revenue 2026'!$O$122</f>
        <v/>
      </c>
      <c r="AG31" s="1367" t="n"/>
      <c r="AI31" s="1370">
        <f>'Revenue 2027'!$D$122</f>
        <v/>
      </c>
      <c r="AJ31" s="1370">
        <f>'Revenue 2027'!$E$122</f>
        <v/>
      </c>
      <c r="AK31" s="1370">
        <f>'Revenue 2027'!$F$122</f>
        <v/>
      </c>
      <c r="AL31" s="1370">
        <f>'Revenue 2027'!$G$122</f>
        <v/>
      </c>
      <c r="AM31" s="1370">
        <f>'Revenue 2027'!$H$122</f>
        <v/>
      </c>
      <c r="AN31" s="1370">
        <f>'Revenue 2027'!$I$122</f>
        <v/>
      </c>
      <c r="AO31" s="1370">
        <f>'Revenue 2027'!$J$122</f>
        <v/>
      </c>
      <c r="AP31" s="1370">
        <f>'Revenue 2027'!$K$122</f>
        <v/>
      </c>
      <c r="AQ31" s="1370">
        <f>'Revenue 2027'!$L$122</f>
        <v/>
      </c>
      <c r="AR31" s="1370">
        <f>'Revenue 2027'!$M$122</f>
        <v/>
      </c>
      <c r="AS31" s="1370">
        <f>'Revenue 2027'!$N$122</f>
        <v/>
      </c>
      <c r="AT31" s="1370">
        <f>'Revenue 2027'!$O$122</f>
        <v/>
      </c>
      <c r="AU31" s="1367" t="n"/>
      <c r="AW31" s="1370">
        <f>'Revenue 2028'!D121</f>
        <v/>
      </c>
      <c r="AX31" s="1370">
        <f>'Revenue 2028'!E121</f>
        <v/>
      </c>
      <c r="AY31" s="1370">
        <f>'Revenue 2028'!F121</f>
        <v/>
      </c>
      <c r="AZ31" s="1370">
        <f>'Revenue 2028'!G121</f>
        <v/>
      </c>
      <c r="BA31" s="1370">
        <f>'Revenue 2028'!H121</f>
        <v/>
      </c>
      <c r="BB31" s="1370">
        <f>'Revenue 2028'!I121</f>
        <v/>
      </c>
      <c r="BC31" s="1370">
        <f>'Revenue 2028'!J121</f>
        <v/>
      </c>
      <c r="BD31" s="1370">
        <f>'Revenue 2028'!K121</f>
        <v/>
      </c>
      <c r="BE31" s="1370">
        <f>'Revenue 2028'!L121</f>
        <v/>
      </c>
      <c r="BF31" s="1370">
        <f>'Revenue 2028'!M121</f>
        <v/>
      </c>
      <c r="BG31" s="1370">
        <f>'Revenue 2028'!N121</f>
        <v/>
      </c>
      <c r="BH31" s="1370">
        <f>'Revenue 2028'!O121</f>
        <v/>
      </c>
      <c r="BI31" s="1367">
        <f>SUM(AW31:BH31)</f>
        <v/>
      </c>
    </row>
    <row r="32" outlineLevel="1" ht="20" customHeight="1">
      <c r="A32" s="441" t="n"/>
      <c r="B32" s="331" t="inlineStr">
        <is>
          <t>Support</t>
        </is>
      </c>
      <c r="C32" s="1368" t="inlineStr">
        <is>
          <t xml:space="preserve"> </t>
        </is>
      </c>
      <c r="D32" s="1364" t="n"/>
      <c r="E32" s="1365" t="n"/>
      <c r="F32" s="1370" t="inlineStr">
        <is>
          <t xml:space="preserve"> </t>
        </is>
      </c>
      <c r="G32" s="1370">
        <f>'Revenue 2025'!$D$159</f>
        <v/>
      </c>
      <c r="H32" s="1370">
        <f>'Revenue 2025'!$D$159</f>
        <v/>
      </c>
      <c r="I32" s="1370">
        <f>'Revenue 2025'!$D$159</f>
        <v/>
      </c>
      <c r="J32" s="1370">
        <f>'Revenue 2025'!$D$159</f>
        <v/>
      </c>
      <c r="K32" s="1370">
        <f>'Revenue 2025'!$D$159</f>
        <v/>
      </c>
      <c r="L32" s="1370">
        <f>'Revenue 2025'!$D$159</f>
        <v/>
      </c>
      <c r="M32" s="1370">
        <f>'Revenue 2025'!$D$159</f>
        <v/>
      </c>
      <c r="N32" s="1370">
        <f>'Revenue 2025'!$D$159</f>
        <v/>
      </c>
      <c r="O32" s="1370">
        <f>'Revenue 2025'!$D$159</f>
        <v/>
      </c>
      <c r="P32" s="1370">
        <f>'Revenue 2025'!$D$159</f>
        <v/>
      </c>
      <c r="Q32" s="1370">
        <f>'Revenue 2025'!$D$159</f>
        <v/>
      </c>
      <c r="R32" s="1370">
        <f>'Revenue 2025'!$D$159</f>
        <v/>
      </c>
      <c r="S32" s="1367">
        <f>SUM(G32:R32)</f>
        <v/>
      </c>
      <c r="U32" s="1370">
        <f>'Revenue 2026'!$D$165</f>
        <v/>
      </c>
      <c r="V32" s="1370">
        <f>'Revenue 2026'!$D$165</f>
        <v/>
      </c>
      <c r="W32" s="1370">
        <f>'Revenue 2026'!$D$165</f>
        <v/>
      </c>
      <c r="X32" s="1370">
        <f>'Revenue 2026'!$D$165</f>
        <v/>
      </c>
      <c r="Y32" s="1370">
        <f>'Revenue 2026'!$D$165</f>
        <v/>
      </c>
      <c r="Z32" s="1370">
        <f>'Revenue 2026'!$D$165</f>
        <v/>
      </c>
      <c r="AA32" s="1370">
        <f>'Revenue 2026'!$D$165</f>
        <v/>
      </c>
      <c r="AB32" s="1370">
        <f>'Revenue 2026'!$D$165</f>
        <v/>
      </c>
      <c r="AC32" s="1370">
        <f>'Revenue 2026'!$D$165</f>
        <v/>
      </c>
      <c r="AD32" s="1370">
        <f>'Revenue 2026'!$D$165</f>
        <v/>
      </c>
      <c r="AE32" s="1370">
        <f>'Revenue 2026'!$D$165</f>
        <v/>
      </c>
      <c r="AF32" s="1370">
        <f>'Revenue 2026'!$D$165</f>
        <v/>
      </c>
      <c r="AG32" s="1367">
        <f>SUM(U32:AF32)</f>
        <v/>
      </c>
      <c r="AI32" s="1370">
        <f>'Revenue 2027'!$D$165</f>
        <v/>
      </c>
      <c r="AJ32" s="1370">
        <f>'Revenue 2027'!$D$165</f>
        <v/>
      </c>
      <c r="AK32" s="1370">
        <f>'Revenue 2027'!$D$165</f>
        <v/>
      </c>
      <c r="AL32" s="1370">
        <f>'Revenue 2027'!$D$165</f>
        <v/>
      </c>
      <c r="AM32" s="1370">
        <f>'Revenue 2027'!$D$165</f>
        <v/>
      </c>
      <c r="AN32" s="1370">
        <f>'Revenue 2027'!$D$165</f>
        <v/>
      </c>
      <c r="AO32" s="1370">
        <f>'Revenue 2027'!$D$165</f>
        <v/>
      </c>
      <c r="AP32" s="1370">
        <f>'Revenue 2027'!$D$165</f>
        <v/>
      </c>
      <c r="AQ32" s="1370">
        <f>'Revenue 2027'!$D$165</f>
        <v/>
      </c>
      <c r="AR32" s="1370">
        <f>'Revenue 2027'!$D$165</f>
        <v/>
      </c>
      <c r="AS32" s="1370">
        <f>'Revenue 2027'!$D$165</f>
        <v/>
      </c>
      <c r="AT32" s="1370">
        <f>'Revenue 2027'!$D$165</f>
        <v/>
      </c>
      <c r="AU32" s="1367">
        <f>SUM(AI32:AT32)</f>
        <v/>
      </c>
      <c r="AW32" s="1370">
        <f>'Revenue 2028'!D164</f>
        <v/>
      </c>
      <c r="AX32" s="1370">
        <f>'Revenue 2028'!E164</f>
        <v/>
      </c>
      <c r="AY32" s="1370">
        <f>'Revenue 2028'!F164</f>
        <v/>
      </c>
      <c r="AZ32" s="1370">
        <f>'Revenue 2028'!G164</f>
        <v/>
      </c>
      <c r="BA32" s="1370">
        <f>'Revenue 2028'!H164</f>
        <v/>
      </c>
      <c r="BB32" s="1370">
        <f>'Revenue 2028'!I164</f>
        <v/>
      </c>
      <c r="BC32" s="1370">
        <f>'Revenue 2028'!J164</f>
        <v/>
      </c>
      <c r="BD32" s="1370">
        <f>'Revenue 2028'!K164</f>
        <v/>
      </c>
      <c r="BE32" s="1370">
        <f>'Revenue 2028'!L164</f>
        <v/>
      </c>
      <c r="BF32" s="1370">
        <f>'Revenue 2028'!M164</f>
        <v/>
      </c>
      <c r="BG32" s="1370">
        <f>'Revenue 2028'!N164</f>
        <v/>
      </c>
      <c r="BH32" s="1370">
        <f>'Revenue 2028'!O164</f>
        <v/>
      </c>
      <c r="BI32" s="1367">
        <f>SUM(AW32:BH32)</f>
        <v/>
      </c>
    </row>
    <row r="33" outlineLevel="1" ht="20" customHeight="1">
      <c r="A33" s="441" t="n"/>
      <c r="B33" s="335" t="inlineStr">
        <is>
          <t>Industry Break Down</t>
        </is>
      </c>
      <c r="C33" s="1368" t="n"/>
      <c r="D33" s="1364" t="n"/>
      <c r="E33" s="1365" t="n"/>
      <c r="F33" s="1370" t="n"/>
      <c r="G33" s="1370" t="n"/>
      <c r="H33" s="1370" t="n"/>
      <c r="I33" s="1370" t="n"/>
      <c r="J33" s="1370" t="n"/>
      <c r="K33" s="1370" t="n"/>
      <c r="L33" s="1370" t="n"/>
      <c r="M33" s="1370" t="n"/>
      <c r="N33" s="1370" t="n"/>
      <c r="O33" s="1370" t="n"/>
      <c r="P33" s="1370" t="n"/>
      <c r="Q33" s="1370" t="n"/>
      <c r="R33" s="1370" t="n"/>
      <c r="S33" s="1367" t="n"/>
      <c r="U33" s="1370" t="n"/>
      <c r="V33" s="1370" t="n"/>
      <c r="W33" s="1370" t="n"/>
      <c r="X33" s="1370" t="n"/>
      <c r="Y33" s="1370" t="n"/>
      <c r="Z33" s="1370" t="n"/>
      <c r="AA33" s="1370" t="n"/>
      <c r="AB33" s="1370" t="n"/>
      <c r="AC33" s="1370" t="n"/>
      <c r="AD33" s="1370" t="n"/>
      <c r="AE33" s="1370" t="n"/>
      <c r="AF33" s="1370" t="n"/>
      <c r="AG33" s="1367" t="n"/>
      <c r="AI33" s="1370" t="n"/>
      <c r="AJ33" s="1370" t="n"/>
      <c r="AK33" s="1370" t="n"/>
      <c r="AL33" s="1370" t="n"/>
      <c r="AM33" s="1370" t="n"/>
      <c r="AN33" s="1370" t="n"/>
      <c r="AO33" s="1370" t="n"/>
      <c r="AP33" s="1370" t="n"/>
      <c r="AQ33" s="1370" t="n"/>
      <c r="AR33" s="1370" t="n"/>
      <c r="AS33" s="1370" t="n"/>
      <c r="AT33" s="1370" t="n"/>
      <c r="AU33" s="1367" t="n"/>
      <c r="AW33" s="1370" t="n"/>
      <c r="AX33" s="1370" t="n"/>
      <c r="AY33" s="1370" t="n"/>
      <c r="AZ33" s="1370" t="n"/>
      <c r="BA33" s="1370" t="n"/>
      <c r="BB33" s="1370" t="n"/>
      <c r="BC33" s="1370" t="n"/>
      <c r="BD33" s="1370" t="n"/>
      <c r="BE33" s="1370" t="n"/>
      <c r="BF33" s="1370" t="n"/>
      <c r="BG33" s="1370" t="n"/>
      <c r="BH33" s="1370" t="n"/>
      <c r="BI33" s="1367" t="n"/>
    </row>
    <row r="34" outlineLevel="1" ht="20" customHeight="1">
      <c r="A34" s="441" t="n"/>
      <c r="B34" s="332" t="inlineStr">
        <is>
          <t>Hospitality</t>
        </is>
      </c>
      <c r="C34" s="1368" t="n"/>
      <c r="D34" s="1364" t="n"/>
      <c r="E34" s="1365" t="n"/>
      <c r="F34" s="1370" t="inlineStr">
        <is>
          <t xml:space="preserve"> </t>
        </is>
      </c>
      <c r="G34" s="1370">
        <f>'Revenue 2025'!$D$30</f>
        <v/>
      </c>
      <c r="H34" s="1370">
        <f>'Revenue 2025'!$E$30</f>
        <v/>
      </c>
      <c r="I34" s="1370">
        <f>'Revenue 2025'!$F$30</f>
        <v/>
      </c>
      <c r="J34" s="1370">
        <f>'Revenue 2025'!$G$30</f>
        <v/>
      </c>
      <c r="K34" s="1370">
        <f>'Revenue 2025'!$H$30</f>
        <v/>
      </c>
      <c r="L34" s="1370">
        <f>'Revenue 2025'!$I29</f>
        <v/>
      </c>
      <c r="M34" s="1370">
        <f>'Revenue 2025'!$J$30</f>
        <v/>
      </c>
      <c r="N34" s="1370">
        <f>'Revenue 2025'!$K$30</f>
        <v/>
      </c>
      <c r="O34" s="1370">
        <f>'Revenue 2025'!$L$30</f>
        <v/>
      </c>
      <c r="P34" s="1370">
        <f>'Revenue 2025'!$M$30</f>
        <v/>
      </c>
      <c r="Q34" s="1370">
        <f>'Revenue 2025'!$N$30</f>
        <v/>
      </c>
      <c r="R34" s="1370">
        <f>'Revenue 2025'!$O$30</f>
        <v/>
      </c>
      <c r="S34" s="1367">
        <f>SUM(G34:R34)</f>
        <v/>
      </c>
      <c r="U34" s="1370">
        <f>'Revenue 2026'!$D$30</f>
        <v/>
      </c>
      <c r="V34" s="1370">
        <f>'Revenue 2026'!$E$30</f>
        <v/>
      </c>
      <c r="W34" s="1370">
        <f>'Revenue 2026'!$F$30</f>
        <v/>
      </c>
      <c r="X34" s="1370">
        <f>'Revenue 2026'!$G$30</f>
        <v/>
      </c>
      <c r="Y34" s="1370">
        <f>'Revenue 2026'!$H$30</f>
        <v/>
      </c>
      <c r="Z34" s="1370">
        <f>'Revenue 2026'!$I29</f>
        <v/>
      </c>
      <c r="AA34" s="1370">
        <f>'Revenue 2026'!$J$30</f>
        <v/>
      </c>
      <c r="AB34" s="1370">
        <f>'Revenue 2026'!$K$30</f>
        <v/>
      </c>
      <c r="AC34" s="1370">
        <f>'Revenue 2026'!$L$30</f>
        <v/>
      </c>
      <c r="AD34" s="1370">
        <f>'Revenue 2026'!$M$30</f>
        <v/>
      </c>
      <c r="AE34" s="1370">
        <f>'Revenue 2026'!$N$30</f>
        <v/>
      </c>
      <c r="AF34" s="1370">
        <f>'Revenue 2026'!$O$30</f>
        <v/>
      </c>
      <c r="AG34" s="1367">
        <f>SUM(U34:AF34)</f>
        <v/>
      </c>
      <c r="AI34" s="1370">
        <f>'Revenue 2027'!$D$30</f>
        <v/>
      </c>
      <c r="AJ34" s="1370">
        <f>'Revenue 2027'!$E$30</f>
        <v/>
      </c>
      <c r="AK34" s="1370">
        <f>'Revenue 2027'!$F$30</f>
        <v/>
      </c>
      <c r="AL34" s="1370">
        <f>'Revenue 2027'!$G$30</f>
        <v/>
      </c>
      <c r="AM34" s="1370">
        <f>'Revenue 2027'!$H$30</f>
        <v/>
      </c>
      <c r="AN34" s="1370">
        <f>'Revenue 2027'!$I29</f>
        <v/>
      </c>
      <c r="AO34" s="1370">
        <f>'Revenue 2027'!$J$30</f>
        <v/>
      </c>
      <c r="AP34" s="1370">
        <f>'Revenue 2027'!$K$30</f>
        <v/>
      </c>
      <c r="AQ34" s="1370">
        <f>'Revenue 2027'!$L$30</f>
        <v/>
      </c>
      <c r="AR34" s="1370">
        <f>'Revenue 2027'!$M$30</f>
        <v/>
      </c>
      <c r="AS34" s="1370">
        <f>'Revenue 2027'!$N$30</f>
        <v/>
      </c>
      <c r="AT34" s="1370">
        <f>'Revenue 2027'!$O$30</f>
        <v/>
      </c>
      <c r="AU34" s="1367">
        <f>SUM(AI34:AT34)</f>
        <v/>
      </c>
      <c r="AW34" s="1370">
        <f>'Revenue 2028'!D30</f>
        <v/>
      </c>
      <c r="AX34" s="1370">
        <f>'Revenue 2028'!E30</f>
        <v/>
      </c>
      <c r="AY34" s="1370">
        <f>'Revenue 2028'!F30</f>
        <v/>
      </c>
      <c r="AZ34" s="1370">
        <f>'Revenue 2028'!G30</f>
        <v/>
      </c>
      <c r="BA34" s="1370">
        <f>'Revenue 2028'!H30</f>
        <v/>
      </c>
      <c r="BB34" s="1370">
        <f>'Revenue 2028'!I30</f>
        <v/>
      </c>
      <c r="BC34" s="1370">
        <f>'Revenue 2028'!J30</f>
        <v/>
      </c>
      <c r="BD34" s="1370">
        <f>'Revenue 2028'!K30</f>
        <v/>
      </c>
      <c r="BE34" s="1370">
        <f>'Revenue 2028'!L30</f>
        <v/>
      </c>
      <c r="BF34" s="1370">
        <f>'Revenue 2028'!M30</f>
        <v/>
      </c>
      <c r="BG34" s="1370">
        <f>'Revenue 2028'!N30</f>
        <v/>
      </c>
      <c r="BH34" s="1370">
        <f>'Revenue 2028'!O30</f>
        <v/>
      </c>
      <c r="BI34" s="1367">
        <f>SUM(AW34:BH34)</f>
        <v/>
      </c>
    </row>
    <row r="35" outlineLevel="1" ht="20" customHeight="1">
      <c r="A35" s="441" t="n"/>
      <c r="B35" s="332" t="inlineStr">
        <is>
          <t>Hospitality- Reseller</t>
        </is>
      </c>
      <c r="C35" s="1368" t="n"/>
      <c r="D35" s="1364" t="n"/>
      <c r="E35" s="1365" t="n"/>
      <c r="F35" s="1370" t="inlineStr">
        <is>
          <t xml:space="preserve"> </t>
        </is>
      </c>
      <c r="G35" s="1370">
        <f>'Revenue 2025'!$D$36</f>
        <v/>
      </c>
      <c r="H35" s="1370">
        <f>'Revenue 2025'!$E$36</f>
        <v/>
      </c>
      <c r="I35" s="1370">
        <f>'Revenue 2025'!$F$36</f>
        <v/>
      </c>
      <c r="J35" s="1370">
        <f>'Revenue 2025'!$G$36</f>
        <v/>
      </c>
      <c r="K35" s="1370">
        <f>'Revenue 2025'!$H$36</f>
        <v/>
      </c>
      <c r="L35" s="1370">
        <f>'Revenue 2025'!$I$36</f>
        <v/>
      </c>
      <c r="M35" s="1370">
        <f>'Revenue 2025'!$J$36</f>
        <v/>
      </c>
      <c r="N35" s="1370">
        <f>'Revenue 2025'!$K$36</f>
        <v/>
      </c>
      <c r="O35" s="1370">
        <f>'Revenue 2025'!$L$36</f>
        <v/>
      </c>
      <c r="P35" s="1370">
        <f>'Revenue 2025'!$M$36</f>
        <v/>
      </c>
      <c r="Q35" s="1370">
        <f>'Revenue 2025'!$N$36</f>
        <v/>
      </c>
      <c r="R35" s="1370">
        <f>'Revenue 2025'!$O$36</f>
        <v/>
      </c>
      <c r="S35" s="1367">
        <f>SUM(G35:R35)</f>
        <v/>
      </c>
      <c r="U35" s="1370">
        <f>'Revenue 2026'!$D$37</f>
        <v/>
      </c>
      <c r="V35" s="1370">
        <f>'Revenue 2026'!$E$37</f>
        <v/>
      </c>
      <c r="W35" s="1370">
        <f>'Revenue 2026'!$F$37</f>
        <v/>
      </c>
      <c r="X35" s="1370">
        <f>'Revenue 2026'!$G$37</f>
        <v/>
      </c>
      <c r="Y35" s="1370">
        <f>'Revenue 2026'!$H$37</f>
        <v/>
      </c>
      <c r="Z35" s="1370">
        <f>'Revenue 2026'!$I$37</f>
        <v/>
      </c>
      <c r="AA35" s="1370">
        <f>'Revenue 2026'!$J$37</f>
        <v/>
      </c>
      <c r="AB35" s="1370">
        <f>'Revenue 2026'!$K$37</f>
        <v/>
      </c>
      <c r="AC35" s="1370">
        <f>'Revenue 2026'!$L$37</f>
        <v/>
      </c>
      <c r="AD35" s="1370">
        <f>'Revenue 2026'!$M$37</f>
        <v/>
      </c>
      <c r="AE35" s="1370">
        <f>'Revenue 2026'!$N$37</f>
        <v/>
      </c>
      <c r="AF35" s="1370">
        <f>'Revenue 2026'!$O$37</f>
        <v/>
      </c>
      <c r="AG35" s="1367">
        <f>SUM(U35:AF35)</f>
        <v/>
      </c>
      <c r="AI35" s="1370">
        <f>'Revenue 2027'!$D$37</f>
        <v/>
      </c>
      <c r="AJ35" s="1370">
        <f>'Revenue 2027'!$E$37</f>
        <v/>
      </c>
      <c r="AK35" s="1370">
        <f>'Revenue 2027'!$F$37</f>
        <v/>
      </c>
      <c r="AL35" s="1370">
        <f>'Revenue 2027'!$G$37</f>
        <v/>
      </c>
      <c r="AM35" s="1370">
        <f>'Revenue 2027'!$H$37</f>
        <v/>
      </c>
      <c r="AN35" s="1370">
        <f>'Revenue 2027'!$I$37</f>
        <v/>
      </c>
      <c r="AO35" s="1370">
        <f>'Revenue 2027'!$J$37</f>
        <v/>
      </c>
      <c r="AP35" s="1370">
        <f>'Revenue 2027'!$K$37</f>
        <v/>
      </c>
      <c r="AQ35" s="1370">
        <f>'Revenue 2027'!$L$37</f>
        <v/>
      </c>
      <c r="AR35" s="1370">
        <f>'Revenue 2027'!$M$37</f>
        <v/>
      </c>
      <c r="AS35" s="1370">
        <f>'Revenue 2027'!$N$37</f>
        <v/>
      </c>
      <c r="AT35" s="1370">
        <f>'Revenue 2027'!$O$37</f>
        <v/>
      </c>
      <c r="AU35" s="1367">
        <f>SUM(AI35:AT35)</f>
        <v/>
      </c>
      <c r="AW35" s="1370">
        <f>'Revenue 2028'!D37</f>
        <v/>
      </c>
      <c r="AX35" s="1370">
        <f>'Revenue 2028'!E37</f>
        <v/>
      </c>
      <c r="AY35" s="1370">
        <f>'Revenue 2028'!F37</f>
        <v/>
      </c>
      <c r="AZ35" s="1370">
        <f>'Revenue 2028'!G37</f>
        <v/>
      </c>
      <c r="BA35" s="1370">
        <f>'Revenue 2028'!H37</f>
        <v/>
      </c>
      <c r="BB35" s="1370">
        <f>'Revenue 2028'!I37</f>
        <v/>
      </c>
      <c r="BC35" s="1370">
        <f>'Revenue 2028'!J37</f>
        <v/>
      </c>
      <c r="BD35" s="1370">
        <f>'Revenue 2028'!K37</f>
        <v/>
      </c>
      <c r="BE35" s="1370">
        <f>'Revenue 2028'!L37</f>
        <v/>
      </c>
      <c r="BF35" s="1370">
        <f>'Revenue 2028'!M37</f>
        <v/>
      </c>
      <c r="BG35" s="1370">
        <f>'Revenue 2028'!N37</f>
        <v/>
      </c>
      <c r="BH35" s="1370">
        <f>'Revenue 2028'!O37</f>
        <v/>
      </c>
      <c r="BI35" s="1367">
        <f>SUM(AW35:BH35)</f>
        <v/>
      </c>
    </row>
    <row r="36" outlineLevel="1" ht="20" customHeight="1">
      <c r="A36" s="441" t="n"/>
      <c r="B36" s="332" t="inlineStr">
        <is>
          <t>Real Estate Development</t>
        </is>
      </c>
      <c r="C36" s="1368" t="n"/>
      <c r="D36" s="1364" t="n"/>
      <c r="E36" s="1365" t="n"/>
      <c r="F36" s="1370" t="inlineStr">
        <is>
          <t xml:space="preserve"> </t>
        </is>
      </c>
      <c r="G36" s="1370">
        <f>'Revenue 2025'!$D$42</f>
        <v/>
      </c>
      <c r="H36" s="1370">
        <f>'Revenue 2025'!$E$42</f>
        <v/>
      </c>
      <c r="I36" s="1370">
        <f>'Revenue 2025'!$F$42</f>
        <v/>
      </c>
      <c r="J36" s="1370">
        <f>'Revenue 2025'!$G$42</f>
        <v/>
      </c>
      <c r="K36" s="1370">
        <f>'Revenue 2025'!$H$42</f>
        <v/>
      </c>
      <c r="L36" s="1370">
        <f>'Revenue 2025'!$I$42</f>
        <v/>
      </c>
      <c r="M36" s="1370">
        <f>'Revenue 2025'!$J$42</f>
        <v/>
      </c>
      <c r="N36" s="1370">
        <f>'Revenue 2025'!$K$42</f>
        <v/>
      </c>
      <c r="O36" s="1370">
        <f>'Revenue 2025'!$L$42</f>
        <v/>
      </c>
      <c r="P36" s="1370">
        <f>'Revenue 2025'!$M$42</f>
        <v/>
      </c>
      <c r="Q36" s="1370">
        <f>'Revenue 2025'!$N$42</f>
        <v/>
      </c>
      <c r="R36" s="1370">
        <f>'Revenue 2025'!$O$42</f>
        <v/>
      </c>
      <c r="S36" s="1367">
        <f>SUM(G36:R36)</f>
        <v/>
      </c>
      <c r="U36" s="1370">
        <f>'Revenue 2026'!$D$44</f>
        <v/>
      </c>
      <c r="V36" s="1370">
        <f>'Revenue 2026'!$E$44</f>
        <v/>
      </c>
      <c r="W36" s="1370">
        <f>'Revenue 2026'!$F$44</f>
        <v/>
      </c>
      <c r="X36" s="1370">
        <f>'Revenue 2026'!$G$44</f>
        <v/>
      </c>
      <c r="Y36" s="1370">
        <f>'Revenue 2026'!$H$44</f>
        <v/>
      </c>
      <c r="Z36" s="1370">
        <f>'Revenue 2026'!$I$44</f>
        <v/>
      </c>
      <c r="AA36" s="1370">
        <f>'Revenue 2026'!$J$44</f>
        <v/>
      </c>
      <c r="AB36" s="1370">
        <f>'Revenue 2026'!$K$44</f>
        <v/>
      </c>
      <c r="AC36" s="1370">
        <f>'Revenue 2026'!$L$44</f>
        <v/>
      </c>
      <c r="AD36" s="1370">
        <f>'Revenue 2026'!$M$44</f>
        <v/>
      </c>
      <c r="AE36" s="1370">
        <f>'Revenue 2026'!$N$44</f>
        <v/>
      </c>
      <c r="AF36" s="1370">
        <f>'Revenue 2026'!$O$44</f>
        <v/>
      </c>
      <c r="AG36" s="1367">
        <f>SUM(U36:AF36)</f>
        <v/>
      </c>
      <c r="AI36" s="1370">
        <f>'Revenue 2027'!$D$44</f>
        <v/>
      </c>
      <c r="AJ36" s="1370">
        <f>'Revenue 2027'!$E$44</f>
        <v/>
      </c>
      <c r="AK36" s="1370">
        <f>'Revenue 2027'!$F$44</f>
        <v/>
      </c>
      <c r="AL36" s="1370">
        <f>'Revenue 2027'!$G$44</f>
        <v/>
      </c>
      <c r="AM36" s="1370">
        <f>'Revenue 2027'!$H$44</f>
        <v/>
      </c>
      <c r="AN36" s="1370">
        <f>'Revenue 2027'!$I$44</f>
        <v/>
      </c>
      <c r="AO36" s="1370">
        <f>'Revenue 2027'!$J$44</f>
        <v/>
      </c>
      <c r="AP36" s="1370">
        <f>'Revenue 2027'!$K$44</f>
        <v/>
      </c>
      <c r="AQ36" s="1370">
        <f>'Revenue 2027'!$L$44</f>
        <v/>
      </c>
      <c r="AR36" s="1370">
        <f>'Revenue 2027'!$M$44</f>
        <v/>
      </c>
      <c r="AS36" s="1370">
        <f>'Revenue 2027'!$N$44</f>
        <v/>
      </c>
      <c r="AT36" s="1370">
        <f>'Revenue 2027'!$O$44</f>
        <v/>
      </c>
      <c r="AU36" s="1367">
        <f>SUM(AI36:AT36)</f>
        <v/>
      </c>
      <c r="AW36" s="1370">
        <f>'Revenue 2028'!D44</f>
        <v/>
      </c>
      <c r="AX36" s="1370">
        <f>'Revenue 2028'!E44</f>
        <v/>
      </c>
      <c r="AY36" s="1370">
        <f>'Revenue 2028'!F44</f>
        <v/>
      </c>
      <c r="AZ36" s="1370">
        <f>'Revenue 2028'!G44</f>
        <v/>
      </c>
      <c r="BA36" s="1370">
        <f>'Revenue 2028'!H44</f>
        <v/>
      </c>
      <c r="BB36" s="1370">
        <f>'Revenue 2028'!I44</f>
        <v/>
      </c>
      <c r="BC36" s="1370">
        <f>'Revenue 2028'!J44</f>
        <v/>
      </c>
      <c r="BD36" s="1370">
        <f>'Revenue 2028'!K44</f>
        <v/>
      </c>
      <c r="BE36" s="1370">
        <f>'Revenue 2028'!L44</f>
        <v/>
      </c>
      <c r="BF36" s="1370">
        <f>'Revenue 2028'!M44</f>
        <v/>
      </c>
      <c r="BG36" s="1370">
        <f>'Revenue 2028'!N44</f>
        <v/>
      </c>
      <c r="BH36" s="1370">
        <f>'Revenue 2028'!O44</f>
        <v/>
      </c>
      <c r="BI36" s="1367">
        <f>SUM(AW36:BH36)</f>
        <v/>
      </c>
    </row>
    <row r="37" outlineLevel="1" ht="20" customHeight="1">
      <c r="A37" s="441" t="n"/>
      <c r="B37" s="332" t="inlineStr">
        <is>
          <t>Real Estate Development- Reseller</t>
        </is>
      </c>
      <c r="C37" s="1368" t="n"/>
      <c r="D37" s="1364" t="n"/>
      <c r="E37" s="1365" t="n"/>
      <c r="F37" s="1370" t="inlineStr">
        <is>
          <t xml:space="preserve"> </t>
        </is>
      </c>
      <c r="G37" s="1370">
        <f>'Revenue 2025'!$D$48</f>
        <v/>
      </c>
      <c r="H37" s="1370">
        <f>'Revenue 2025'!$E$48</f>
        <v/>
      </c>
      <c r="I37" s="1370">
        <f>'Revenue 2025'!$F$48</f>
        <v/>
      </c>
      <c r="J37" s="1370">
        <f>'Revenue 2025'!$G$48</f>
        <v/>
      </c>
      <c r="K37" s="1370">
        <f>'Revenue 2025'!$H$48</f>
        <v/>
      </c>
      <c r="L37" s="1370">
        <f>'Revenue 2025'!$I$48</f>
        <v/>
      </c>
      <c r="M37" s="1370">
        <f>'Revenue 2025'!$J$48</f>
        <v/>
      </c>
      <c r="N37" s="1370">
        <f>'Revenue 2025'!$K$48</f>
        <v/>
      </c>
      <c r="O37" s="1370">
        <f>'Revenue 2025'!$L$48</f>
        <v/>
      </c>
      <c r="P37" s="1370">
        <f>'Revenue 2025'!$M$48</f>
        <v/>
      </c>
      <c r="Q37" s="1370">
        <f>'Revenue 2025'!$N$48</f>
        <v/>
      </c>
      <c r="R37" s="1370">
        <f>'Revenue 2025'!$O$48</f>
        <v/>
      </c>
      <c r="S37" s="1367">
        <f>SUM(G37:R37)</f>
        <v/>
      </c>
      <c r="U37" s="1370">
        <f>'Revenue 2026'!$D$51</f>
        <v/>
      </c>
      <c r="V37" s="1370">
        <f>'Revenue 2026'!$E$51</f>
        <v/>
      </c>
      <c r="W37" s="1370">
        <f>'Revenue 2026'!$F$51</f>
        <v/>
      </c>
      <c r="X37" s="1370">
        <f>'Revenue 2026'!$G$51</f>
        <v/>
      </c>
      <c r="Y37" s="1370">
        <f>'Revenue 2026'!$H$51</f>
        <v/>
      </c>
      <c r="Z37" s="1370">
        <f>'Revenue 2026'!$I$51</f>
        <v/>
      </c>
      <c r="AA37" s="1370">
        <f>'Revenue 2026'!$J$51</f>
        <v/>
      </c>
      <c r="AB37" s="1370">
        <f>'Revenue 2026'!$K$51</f>
        <v/>
      </c>
      <c r="AC37" s="1370">
        <f>'Revenue 2026'!$L$51</f>
        <v/>
      </c>
      <c r="AD37" s="1370">
        <f>'Revenue 2026'!$M$51</f>
        <v/>
      </c>
      <c r="AE37" s="1370">
        <f>'Revenue 2026'!$N$51</f>
        <v/>
      </c>
      <c r="AF37" s="1370">
        <f>'Revenue 2026'!$O$51</f>
        <v/>
      </c>
      <c r="AG37" s="1367">
        <f>SUM(U37:AF37)</f>
        <v/>
      </c>
      <c r="AI37" s="1370">
        <f>'Revenue 2027'!$D$51</f>
        <v/>
      </c>
      <c r="AJ37" s="1370">
        <f>'Revenue 2027'!$E$51</f>
        <v/>
      </c>
      <c r="AK37" s="1370">
        <f>'Revenue 2027'!$F$51</f>
        <v/>
      </c>
      <c r="AL37" s="1370">
        <f>'Revenue 2027'!$G$51</f>
        <v/>
      </c>
      <c r="AM37" s="1370">
        <f>'Revenue 2027'!$H$51</f>
        <v/>
      </c>
      <c r="AN37" s="1370">
        <f>'Revenue 2027'!$I$51</f>
        <v/>
      </c>
      <c r="AO37" s="1370">
        <f>'Revenue 2027'!$J$51</f>
        <v/>
      </c>
      <c r="AP37" s="1370">
        <f>'Revenue 2027'!$K$51</f>
        <v/>
      </c>
      <c r="AQ37" s="1370">
        <f>'Revenue 2027'!$L$51</f>
        <v/>
      </c>
      <c r="AR37" s="1370">
        <f>'Revenue 2027'!$M$51</f>
        <v/>
      </c>
      <c r="AS37" s="1370">
        <f>'Revenue 2027'!$N$51</f>
        <v/>
      </c>
      <c r="AT37" s="1370">
        <f>'Revenue 2027'!$O$51</f>
        <v/>
      </c>
      <c r="AU37" s="1367">
        <f>SUM(AI37:AT37)</f>
        <v/>
      </c>
      <c r="AW37" s="1370">
        <f>'Revenue 2028'!D51</f>
        <v/>
      </c>
      <c r="AX37" s="1370">
        <f>'Revenue 2028'!E51</f>
        <v/>
      </c>
      <c r="AY37" s="1370">
        <f>'Revenue 2028'!F51</f>
        <v/>
      </c>
      <c r="AZ37" s="1370">
        <f>'Revenue 2028'!G51</f>
        <v/>
      </c>
      <c r="BA37" s="1370">
        <f>'Revenue 2028'!H51</f>
        <v/>
      </c>
      <c r="BB37" s="1370">
        <f>'Revenue 2028'!I51</f>
        <v/>
      </c>
      <c r="BC37" s="1370">
        <f>'Revenue 2028'!J51</f>
        <v/>
      </c>
      <c r="BD37" s="1370">
        <f>'Revenue 2028'!K51</f>
        <v/>
      </c>
      <c r="BE37" s="1370">
        <f>'Revenue 2028'!L51</f>
        <v/>
      </c>
      <c r="BF37" s="1370">
        <f>'Revenue 2028'!M51</f>
        <v/>
      </c>
      <c r="BG37" s="1370">
        <f>'Revenue 2028'!N51</f>
        <v/>
      </c>
      <c r="BH37" s="1370">
        <f>'Revenue 2028'!O51</f>
        <v/>
      </c>
      <c r="BI37" s="1367">
        <f>SUM(AW37:BH37)</f>
        <v/>
      </c>
    </row>
    <row r="38" outlineLevel="1" ht="20" customHeight="1">
      <c r="A38" s="441" t="n"/>
      <c r="B38" s="332" t="inlineStr">
        <is>
          <t>Pharma</t>
        </is>
      </c>
      <c r="C38" s="1368" t="n"/>
      <c r="D38" s="1364" t="n"/>
      <c r="E38" s="1365" t="n"/>
      <c r="F38" s="1370" t="inlineStr">
        <is>
          <t xml:space="preserve"> </t>
        </is>
      </c>
      <c r="G38" s="1370">
        <f>'Revenue 2025'!$D$54</f>
        <v/>
      </c>
      <c r="H38" s="1370">
        <f>'Revenue 2025'!$E$54</f>
        <v/>
      </c>
      <c r="I38" s="1370">
        <f>'Revenue 2025'!$F$54</f>
        <v/>
      </c>
      <c r="J38" s="1370">
        <f>'Revenue 2025'!$G$54</f>
        <v/>
      </c>
      <c r="K38" s="1370">
        <f>'Revenue 2025'!$H$54</f>
        <v/>
      </c>
      <c r="L38" s="1370">
        <f>'Revenue 2025'!$I$54</f>
        <v/>
      </c>
      <c r="M38" s="1370">
        <f>'Revenue 2025'!$J$54</f>
        <v/>
      </c>
      <c r="N38" s="1370">
        <f>'Revenue 2025'!$K$54</f>
        <v/>
      </c>
      <c r="O38" s="1370">
        <f>'Revenue 2025'!$L$54</f>
        <v/>
      </c>
      <c r="P38" s="1370">
        <f>'Revenue 2025'!$M$54</f>
        <v/>
      </c>
      <c r="Q38" s="1370">
        <f>'Revenue 2025'!$N$54</f>
        <v/>
      </c>
      <c r="R38" s="1370">
        <f>'Revenue 2025'!$O$54</f>
        <v/>
      </c>
      <c r="S38" s="1367">
        <f>SUM(G38:R38)</f>
        <v/>
      </c>
      <c r="U38" s="1370">
        <f>'Revenue 2026'!$D$58</f>
        <v/>
      </c>
      <c r="V38" s="1370">
        <f>'Revenue 2026'!$E$58</f>
        <v/>
      </c>
      <c r="W38" s="1370">
        <f>'Revenue 2026'!$F$58</f>
        <v/>
      </c>
      <c r="X38" s="1370">
        <f>'Revenue 2026'!$G$58</f>
        <v/>
      </c>
      <c r="Y38" s="1370">
        <f>'Revenue 2026'!$H$58</f>
        <v/>
      </c>
      <c r="Z38" s="1370">
        <f>'Revenue 2026'!$I$58</f>
        <v/>
      </c>
      <c r="AA38" s="1370">
        <f>'Revenue 2026'!$J$58</f>
        <v/>
      </c>
      <c r="AB38" s="1370">
        <f>'Revenue 2026'!$K$58</f>
        <v/>
      </c>
      <c r="AC38" s="1370">
        <f>'Revenue 2026'!$L$58</f>
        <v/>
      </c>
      <c r="AD38" s="1370">
        <f>'Revenue 2026'!$M$58</f>
        <v/>
      </c>
      <c r="AE38" s="1370">
        <f>'Revenue 2026'!$N$58</f>
        <v/>
      </c>
      <c r="AF38" s="1370">
        <f>'Revenue 2026'!$O$58</f>
        <v/>
      </c>
      <c r="AG38" s="1367">
        <f>SUM(U38:AF38)</f>
        <v/>
      </c>
      <c r="AI38" s="1370">
        <f>'Revenue 2027'!$D$58</f>
        <v/>
      </c>
      <c r="AJ38" s="1370">
        <f>'Revenue 2027'!$E$58</f>
        <v/>
      </c>
      <c r="AK38" s="1370">
        <f>'Revenue 2027'!$F$58</f>
        <v/>
      </c>
      <c r="AL38" s="1370">
        <f>'Revenue 2027'!$G$58</f>
        <v/>
      </c>
      <c r="AM38" s="1370">
        <f>'Revenue 2027'!$H$58</f>
        <v/>
      </c>
      <c r="AN38" s="1370">
        <f>'Revenue 2027'!$I$58</f>
        <v/>
      </c>
      <c r="AO38" s="1370">
        <f>'Revenue 2027'!$J$58</f>
        <v/>
      </c>
      <c r="AP38" s="1370">
        <f>'Revenue 2027'!$K$58</f>
        <v/>
      </c>
      <c r="AQ38" s="1370">
        <f>'Revenue 2027'!$L$58</f>
        <v/>
      </c>
      <c r="AR38" s="1370">
        <f>'Revenue 2027'!$M$58</f>
        <v/>
      </c>
      <c r="AS38" s="1370">
        <f>'Revenue 2027'!$N$58</f>
        <v/>
      </c>
      <c r="AT38" s="1370">
        <f>'Revenue 2027'!$O$58</f>
        <v/>
      </c>
      <c r="AU38" s="1367">
        <f>SUM(AI38:AT38)</f>
        <v/>
      </c>
      <c r="AW38" s="1370">
        <f>'Revenue 2028'!D58</f>
        <v/>
      </c>
      <c r="AX38" s="1370">
        <f>'Revenue 2028'!E58</f>
        <v/>
      </c>
      <c r="AY38" s="1370">
        <f>'Revenue 2028'!F58</f>
        <v/>
      </c>
      <c r="AZ38" s="1370">
        <f>'Revenue 2028'!G58</f>
        <v/>
      </c>
      <c r="BA38" s="1370">
        <f>'Revenue 2028'!H58</f>
        <v/>
      </c>
      <c r="BB38" s="1370">
        <f>'Revenue 2028'!I58</f>
        <v/>
      </c>
      <c r="BC38" s="1370">
        <f>'Revenue 2028'!J58</f>
        <v/>
      </c>
      <c r="BD38" s="1370">
        <f>'Revenue 2028'!K58</f>
        <v/>
      </c>
      <c r="BE38" s="1370">
        <f>'Revenue 2028'!L58</f>
        <v/>
      </c>
      <c r="BF38" s="1370">
        <f>'Revenue 2028'!M58</f>
        <v/>
      </c>
      <c r="BG38" s="1370">
        <f>'Revenue 2028'!N58</f>
        <v/>
      </c>
      <c r="BH38" s="1370">
        <f>'Revenue 2028'!O58</f>
        <v/>
      </c>
      <c r="BI38" s="1367">
        <f>SUM(AW38:BH38)</f>
        <v/>
      </c>
    </row>
    <row r="39" outlineLevel="1" ht="20" customHeight="1">
      <c r="A39" s="441" t="n"/>
      <c r="B39" s="332" t="inlineStr">
        <is>
          <t>Pharma- Reseller</t>
        </is>
      </c>
      <c r="C39" s="1368" t="n"/>
      <c r="D39" s="1364" t="n"/>
      <c r="E39" s="1365" t="n"/>
      <c r="F39" s="1370" t="inlineStr">
        <is>
          <t xml:space="preserve"> </t>
        </is>
      </c>
      <c r="G39" s="1370">
        <f>'Revenue 2025'!$D$60</f>
        <v/>
      </c>
      <c r="H39" s="1370">
        <f>'Revenue 2025'!$E$60</f>
        <v/>
      </c>
      <c r="I39" s="1370">
        <f>'Revenue 2025'!$F$60</f>
        <v/>
      </c>
      <c r="J39" s="1370">
        <f>'Revenue 2025'!$G$60</f>
        <v/>
      </c>
      <c r="K39" s="1370">
        <f>'Revenue 2025'!$H$60</f>
        <v/>
      </c>
      <c r="L39" s="1370">
        <f>'Revenue 2025'!$I$60</f>
        <v/>
      </c>
      <c r="M39" s="1370">
        <f>'Revenue 2025'!$J$60</f>
        <v/>
      </c>
      <c r="N39" s="1370">
        <f>'Revenue 2025'!$K$60</f>
        <v/>
      </c>
      <c r="O39" s="1370">
        <f>'Revenue 2025'!$L$60</f>
        <v/>
      </c>
      <c r="P39" s="1370">
        <f>'Revenue 2025'!$M$60</f>
        <v/>
      </c>
      <c r="Q39" s="1370">
        <f>'Revenue 2025'!$N$60</f>
        <v/>
      </c>
      <c r="R39" s="1370">
        <f>'Revenue 2025'!$O$60</f>
        <v/>
      </c>
      <c r="S39" s="1367">
        <f>SUM(G39:R39)</f>
        <v/>
      </c>
      <c r="U39" s="1370">
        <f>'Revenue 2026'!$D$65</f>
        <v/>
      </c>
      <c r="V39" s="1370">
        <f>'Revenue 2026'!$E$65</f>
        <v/>
      </c>
      <c r="W39" s="1370">
        <f>'Revenue 2026'!$F$65</f>
        <v/>
      </c>
      <c r="X39" s="1370">
        <f>'Revenue 2026'!$G$65</f>
        <v/>
      </c>
      <c r="Y39" s="1370">
        <f>'Revenue 2026'!$H$65</f>
        <v/>
      </c>
      <c r="Z39" s="1370">
        <f>'Revenue 2026'!$I$65</f>
        <v/>
      </c>
      <c r="AA39" s="1370">
        <f>'Revenue 2026'!$J$65</f>
        <v/>
      </c>
      <c r="AB39" s="1370">
        <f>'Revenue 2026'!$K$65</f>
        <v/>
      </c>
      <c r="AC39" s="1370">
        <f>'Revenue 2026'!$L$65</f>
        <v/>
      </c>
      <c r="AD39" s="1370">
        <f>'Revenue 2026'!$M$65</f>
        <v/>
      </c>
      <c r="AE39" s="1370">
        <f>'Revenue 2026'!$N$65</f>
        <v/>
      </c>
      <c r="AF39" s="1370">
        <f>'Revenue 2026'!$O$65</f>
        <v/>
      </c>
      <c r="AG39" s="1367">
        <f>SUM(U39:AF39)</f>
        <v/>
      </c>
      <c r="AI39" s="1370">
        <f>'Revenue 2027'!$D$65</f>
        <v/>
      </c>
      <c r="AJ39" s="1370">
        <f>'Revenue 2027'!$E$65</f>
        <v/>
      </c>
      <c r="AK39" s="1370">
        <f>'Revenue 2027'!$F$65</f>
        <v/>
      </c>
      <c r="AL39" s="1370">
        <f>'Revenue 2027'!$G$65</f>
        <v/>
      </c>
      <c r="AM39" s="1370">
        <f>'Revenue 2027'!$H$65</f>
        <v/>
      </c>
      <c r="AN39" s="1370">
        <f>'Revenue 2027'!$I$65</f>
        <v/>
      </c>
      <c r="AO39" s="1370">
        <f>'Revenue 2027'!$J$65</f>
        <v/>
      </c>
      <c r="AP39" s="1370">
        <f>'Revenue 2027'!$K$65</f>
        <v/>
      </c>
      <c r="AQ39" s="1370">
        <f>'Revenue 2027'!$L$65</f>
        <v/>
      </c>
      <c r="AR39" s="1370">
        <f>'Revenue 2027'!$M$65</f>
        <v/>
      </c>
      <c r="AS39" s="1370">
        <f>'Revenue 2027'!$N$65</f>
        <v/>
      </c>
      <c r="AT39" s="1370">
        <f>'Revenue 2027'!$O$65</f>
        <v/>
      </c>
      <c r="AU39" s="1367">
        <f>SUM(AI39:AT39)</f>
        <v/>
      </c>
      <c r="AW39" s="1370">
        <f>'Revenue 2028'!D65</f>
        <v/>
      </c>
      <c r="AX39" s="1370">
        <f>'Revenue 2028'!E65</f>
        <v/>
      </c>
      <c r="AY39" s="1370">
        <f>'Revenue 2028'!F65</f>
        <v/>
      </c>
      <c r="AZ39" s="1370">
        <f>'Revenue 2028'!G65</f>
        <v/>
      </c>
      <c r="BA39" s="1370">
        <f>'Revenue 2028'!H65</f>
        <v/>
      </c>
      <c r="BB39" s="1370">
        <f>'Revenue 2028'!I65</f>
        <v/>
      </c>
      <c r="BC39" s="1370">
        <f>'Revenue 2028'!J65</f>
        <v/>
      </c>
      <c r="BD39" s="1370">
        <f>'Revenue 2028'!K65</f>
        <v/>
      </c>
      <c r="BE39" s="1370">
        <f>'Revenue 2028'!L65</f>
        <v/>
      </c>
      <c r="BF39" s="1370">
        <f>'Revenue 2028'!M65</f>
        <v/>
      </c>
      <c r="BG39" s="1370">
        <f>'Revenue 2028'!N65</f>
        <v/>
      </c>
      <c r="BH39" s="1370">
        <f>'Revenue 2028'!O65</f>
        <v/>
      </c>
      <c r="BI39" s="1367">
        <f>SUM(AW39:BH39)</f>
        <v/>
      </c>
    </row>
    <row r="40" outlineLevel="1" ht="20" customHeight="1">
      <c r="A40" s="441" t="n"/>
      <c r="B40" s="332" t="inlineStr">
        <is>
          <t>Start up - Small Firms</t>
        </is>
      </c>
      <c r="C40" s="1368" t="n"/>
      <c r="D40" s="1364" t="n"/>
      <c r="E40" s="1365" t="n"/>
      <c r="F40" s="1370" t="inlineStr">
        <is>
          <t xml:space="preserve"> </t>
        </is>
      </c>
      <c r="G40" s="1370">
        <f>'Revenue 2025'!$D$67</f>
        <v/>
      </c>
      <c r="H40" s="1370">
        <f>'Revenue 2025'!$E$67</f>
        <v/>
      </c>
      <c r="I40" s="1370">
        <f>'Revenue 2025'!$F$67</f>
        <v/>
      </c>
      <c r="J40" s="1370">
        <f>'Revenue 2025'!$G$67</f>
        <v/>
      </c>
      <c r="K40" s="1370">
        <f>'Revenue 2025'!$H$67</f>
        <v/>
      </c>
      <c r="L40" s="1370">
        <f>'Revenue 2025'!$I$67</f>
        <v/>
      </c>
      <c r="M40" s="1370">
        <f>'Revenue 2025'!$J$67</f>
        <v/>
      </c>
      <c r="N40" s="1370">
        <f>'Revenue 2025'!$K$67</f>
        <v/>
      </c>
      <c r="O40" s="1370">
        <f>'Revenue 2025'!$L$67</f>
        <v/>
      </c>
      <c r="P40" s="1370">
        <f>'Revenue 2025'!$M$67</f>
        <v/>
      </c>
      <c r="Q40" s="1370">
        <f>'Revenue 2025'!$N$67</f>
        <v/>
      </c>
      <c r="R40" s="1370">
        <f>'Revenue 2025'!$O$67</f>
        <v/>
      </c>
      <c r="S40" s="1367">
        <f>SUM(G40:R40)</f>
        <v/>
      </c>
      <c r="U40" s="1370">
        <f>'Revenue 2026'!$D$72</f>
        <v/>
      </c>
      <c r="V40" s="1370">
        <f>'Revenue 2026'!$E$72</f>
        <v/>
      </c>
      <c r="W40" s="1370">
        <f>'Revenue 2026'!$F$72</f>
        <v/>
      </c>
      <c r="X40" s="1370">
        <f>'Revenue 2026'!$G$72</f>
        <v/>
      </c>
      <c r="Y40" s="1370">
        <f>'Revenue 2026'!$H$72</f>
        <v/>
      </c>
      <c r="Z40" s="1370">
        <f>'Revenue 2026'!$I$72</f>
        <v/>
      </c>
      <c r="AA40" s="1370">
        <f>'Revenue 2026'!$J$72</f>
        <v/>
      </c>
      <c r="AB40" s="1370">
        <f>'Revenue 2026'!$K$72</f>
        <v/>
      </c>
      <c r="AC40" s="1370">
        <f>'Revenue 2026'!$L$72</f>
        <v/>
      </c>
      <c r="AD40" s="1370">
        <f>'Revenue 2026'!$M$72</f>
        <v/>
      </c>
      <c r="AE40" s="1370">
        <f>'Revenue 2026'!$N$72</f>
        <v/>
      </c>
      <c r="AF40" s="1370">
        <f>'Revenue 2026'!$O$72</f>
        <v/>
      </c>
      <c r="AG40" s="1367">
        <f>SUM(U40:AF40)</f>
        <v/>
      </c>
      <c r="AI40" s="1370">
        <f>'Revenue 2027'!$D$72</f>
        <v/>
      </c>
      <c r="AJ40" s="1370">
        <f>'Revenue 2027'!$E$72</f>
        <v/>
      </c>
      <c r="AK40" s="1370">
        <f>'Revenue 2027'!$F$72</f>
        <v/>
      </c>
      <c r="AL40" s="1370">
        <f>'Revenue 2027'!$G$72</f>
        <v/>
      </c>
      <c r="AM40" s="1370">
        <f>'Revenue 2027'!$H$72</f>
        <v/>
      </c>
      <c r="AN40" s="1370">
        <f>'Revenue 2027'!$I$72</f>
        <v/>
      </c>
      <c r="AO40" s="1370">
        <f>'Revenue 2027'!$J$72</f>
        <v/>
      </c>
      <c r="AP40" s="1370">
        <f>'Revenue 2027'!$K$72</f>
        <v/>
      </c>
      <c r="AQ40" s="1370">
        <f>'Revenue 2027'!$L$72</f>
        <v/>
      </c>
      <c r="AR40" s="1370">
        <f>'Revenue 2027'!$M$72</f>
        <v/>
      </c>
      <c r="AS40" s="1370">
        <f>'Revenue 2027'!$N$72</f>
        <v/>
      </c>
      <c r="AT40" s="1370">
        <f>'Revenue 2027'!$O$72</f>
        <v/>
      </c>
      <c r="AU40" s="1367">
        <f>SUM(AI40:AT40)</f>
        <v/>
      </c>
      <c r="AW40" s="1370">
        <f>'Revenue 2028'!D72</f>
        <v/>
      </c>
      <c r="AX40" s="1370">
        <f>'Revenue 2028'!E72</f>
        <v/>
      </c>
      <c r="AY40" s="1370">
        <f>'Revenue 2028'!F72</f>
        <v/>
      </c>
      <c r="AZ40" s="1370">
        <f>'Revenue 2028'!G72</f>
        <v/>
      </c>
      <c r="BA40" s="1370">
        <f>'Revenue 2028'!H72</f>
        <v/>
      </c>
      <c r="BB40" s="1370">
        <f>'Revenue 2028'!I72</f>
        <v/>
      </c>
      <c r="BC40" s="1370">
        <f>'Revenue 2028'!J72</f>
        <v/>
      </c>
      <c r="BD40" s="1370">
        <f>'Revenue 2028'!K72</f>
        <v/>
      </c>
      <c r="BE40" s="1370">
        <f>'Revenue 2028'!L72</f>
        <v/>
      </c>
      <c r="BF40" s="1370">
        <f>'Revenue 2028'!M72</f>
        <v/>
      </c>
      <c r="BG40" s="1370">
        <f>'Revenue 2028'!N72</f>
        <v/>
      </c>
      <c r="BH40" s="1370">
        <f>'Revenue 2028'!O72</f>
        <v/>
      </c>
      <c r="BI40" s="1367">
        <f>SUM(AW40:BH40)</f>
        <v/>
      </c>
    </row>
    <row r="41" outlineLevel="1" ht="20" customHeight="1">
      <c r="A41" s="441" t="n"/>
      <c r="B41" s="332" t="inlineStr">
        <is>
          <t>Start up Reseller</t>
        </is>
      </c>
      <c r="C41" s="1368" t="n"/>
      <c r="D41" s="1364" t="n"/>
      <c r="E41" s="1365" t="n"/>
      <c r="F41" s="1370" t="inlineStr">
        <is>
          <t xml:space="preserve"> </t>
        </is>
      </c>
      <c r="G41" s="1370">
        <f>'Revenue 2025'!$D$73</f>
        <v/>
      </c>
      <c r="H41" s="1370">
        <f>'Revenue 2025'!$E$73</f>
        <v/>
      </c>
      <c r="I41" s="1370">
        <f>'Revenue 2025'!$F$73</f>
        <v/>
      </c>
      <c r="J41" s="1370">
        <f>'Revenue 2025'!$G$73</f>
        <v/>
      </c>
      <c r="K41" s="1370">
        <f>'Revenue 2025'!$H$73</f>
        <v/>
      </c>
      <c r="L41" s="1370">
        <f>'Revenue 2025'!$I$73</f>
        <v/>
      </c>
      <c r="M41" s="1370">
        <f>'Revenue 2025'!$J$73</f>
        <v/>
      </c>
      <c r="N41" s="1370">
        <f>'Revenue 2025'!$K$73</f>
        <v/>
      </c>
      <c r="O41" s="1370">
        <f>'Revenue 2025'!$L$73</f>
        <v/>
      </c>
      <c r="P41" s="1370">
        <f>'Revenue 2025'!$M$73</f>
        <v/>
      </c>
      <c r="Q41" s="1370">
        <f>'Revenue 2025'!$N$73</f>
        <v/>
      </c>
      <c r="R41" s="1370">
        <f>'Revenue 2025'!$O$73</f>
        <v/>
      </c>
      <c r="S41" s="1367">
        <f>SUM(G41:R41)</f>
        <v/>
      </c>
      <c r="U41" s="1370">
        <f>'Revenue 2026'!$D$79</f>
        <v/>
      </c>
      <c r="V41" s="1370">
        <f>'Revenue 2026'!$E$79</f>
        <v/>
      </c>
      <c r="W41" s="1370">
        <f>'Revenue 2026'!$F$79</f>
        <v/>
      </c>
      <c r="X41" s="1370">
        <f>'Revenue 2026'!$G$79</f>
        <v/>
      </c>
      <c r="Y41" s="1370">
        <f>'Revenue 2026'!$H$79</f>
        <v/>
      </c>
      <c r="Z41" s="1370">
        <f>'Revenue 2026'!$I$79</f>
        <v/>
      </c>
      <c r="AA41" s="1370">
        <f>'Revenue 2026'!$J$79</f>
        <v/>
      </c>
      <c r="AB41" s="1370">
        <f>'Revenue 2026'!$K$79</f>
        <v/>
      </c>
      <c r="AC41" s="1370">
        <f>'Revenue 2026'!$L$79</f>
        <v/>
      </c>
      <c r="AD41" s="1370">
        <f>'Revenue 2026'!$M$79</f>
        <v/>
      </c>
      <c r="AE41" s="1370">
        <f>'Revenue 2026'!$N$79</f>
        <v/>
      </c>
      <c r="AF41" s="1370">
        <f>'Revenue 2026'!$O$79</f>
        <v/>
      </c>
      <c r="AG41" s="1367">
        <f>SUM(U41:AF41)</f>
        <v/>
      </c>
      <c r="AI41" s="1370">
        <f>'Revenue 2027'!$D$79</f>
        <v/>
      </c>
      <c r="AJ41" s="1370">
        <f>'Revenue 2027'!$E$79</f>
        <v/>
      </c>
      <c r="AK41" s="1370">
        <f>'Revenue 2027'!$F$79</f>
        <v/>
      </c>
      <c r="AL41" s="1370">
        <f>'Revenue 2027'!$G$79</f>
        <v/>
      </c>
      <c r="AM41" s="1370">
        <f>'Revenue 2027'!$H$79</f>
        <v/>
      </c>
      <c r="AN41" s="1370">
        <f>'Revenue 2027'!$I$79</f>
        <v/>
      </c>
      <c r="AO41" s="1370">
        <f>'Revenue 2027'!$J$79</f>
        <v/>
      </c>
      <c r="AP41" s="1370">
        <f>'Revenue 2027'!$K$79</f>
        <v/>
      </c>
      <c r="AQ41" s="1370">
        <f>'Revenue 2027'!$L$79</f>
        <v/>
      </c>
      <c r="AR41" s="1370">
        <f>'Revenue 2027'!$M$79</f>
        <v/>
      </c>
      <c r="AS41" s="1370">
        <f>'Revenue 2027'!$N$79</f>
        <v/>
      </c>
      <c r="AT41" s="1370">
        <f>'Revenue 2027'!$O$79</f>
        <v/>
      </c>
      <c r="AU41" s="1367">
        <f>SUM(AI41:AT41)</f>
        <v/>
      </c>
      <c r="AW41" s="1370">
        <f>'Revenue 2028'!D79</f>
        <v/>
      </c>
      <c r="AX41" s="1370">
        <f>'Revenue 2028'!E79</f>
        <v/>
      </c>
      <c r="AY41" s="1370">
        <f>'Revenue 2028'!F79</f>
        <v/>
      </c>
      <c r="AZ41" s="1370">
        <f>'Revenue 2028'!G79</f>
        <v/>
      </c>
      <c r="BA41" s="1370">
        <f>'Revenue 2028'!H79</f>
        <v/>
      </c>
      <c r="BB41" s="1370">
        <f>'Revenue 2028'!I79</f>
        <v/>
      </c>
      <c r="BC41" s="1370">
        <f>'Revenue 2028'!J79</f>
        <v/>
      </c>
      <c r="BD41" s="1370">
        <f>'Revenue 2028'!K79</f>
        <v/>
      </c>
      <c r="BE41" s="1370">
        <f>'Revenue 2028'!L79</f>
        <v/>
      </c>
      <c r="BF41" s="1370">
        <f>'Revenue 2028'!M79</f>
        <v/>
      </c>
      <c r="BG41" s="1370">
        <f>'Revenue 2028'!N79</f>
        <v/>
      </c>
      <c r="BH41" s="1370">
        <f>'Revenue 2028'!O79</f>
        <v/>
      </c>
      <c r="BI41" s="1367">
        <f>SUM(AW41:BH41)</f>
        <v/>
      </c>
    </row>
    <row r="42" outlineLevel="1" ht="32" customHeight="1">
      <c r="A42" s="441" t="n"/>
      <c r="B42" s="352" t="inlineStr">
        <is>
          <t>Training / Consultancy Training as a Service</t>
        </is>
      </c>
      <c r="C42" s="1368" t="n"/>
      <c r="D42" s="1364" t="n"/>
      <c r="E42" s="1365" t="n"/>
      <c r="F42" s="1370" t="n"/>
      <c r="G42" s="1370" t="n"/>
      <c r="H42" s="1370" t="n"/>
      <c r="I42" s="1370" t="n"/>
      <c r="J42" s="1370" t="n"/>
      <c r="K42" s="1370" t="n"/>
      <c r="L42" s="1370" t="n"/>
      <c r="M42" s="1370" t="n"/>
      <c r="N42" s="1370" t="n"/>
      <c r="O42" s="1370" t="n"/>
      <c r="P42" s="1370" t="n"/>
      <c r="Q42" s="1370" t="n"/>
      <c r="R42" s="1370" t="n"/>
      <c r="S42" s="1367" t="n"/>
      <c r="U42" s="1370" t="n"/>
      <c r="V42" s="1370" t="n"/>
      <c r="W42" s="1370" t="n"/>
      <c r="X42" s="1370" t="n"/>
      <c r="Y42" s="1370" t="n"/>
      <c r="Z42" s="1370" t="n"/>
      <c r="AA42" s="1370" t="n"/>
      <c r="AB42" s="1370" t="n"/>
      <c r="AC42" s="1370" t="n"/>
      <c r="AD42" s="1370" t="n"/>
      <c r="AE42" s="1370" t="n"/>
      <c r="AF42" s="1370" t="n"/>
      <c r="AG42" s="1367" t="n"/>
      <c r="AI42" s="1370" t="n"/>
      <c r="AJ42" s="1370" t="n"/>
      <c r="AK42" s="1370" t="n"/>
      <c r="AL42" s="1370" t="n"/>
      <c r="AM42" s="1370" t="n"/>
      <c r="AN42" s="1370" t="n"/>
      <c r="AO42" s="1370" t="n"/>
      <c r="AP42" s="1370" t="n"/>
      <c r="AQ42" s="1370" t="n"/>
      <c r="AR42" s="1370" t="n"/>
      <c r="AS42" s="1370" t="n"/>
      <c r="AT42" s="1370" t="n"/>
      <c r="AU42" s="1367" t="n"/>
      <c r="AW42" s="1370" t="n"/>
      <c r="AX42" s="1370" t="n"/>
      <c r="AY42" s="1370" t="n"/>
      <c r="AZ42" s="1370" t="n"/>
      <c r="BA42" s="1370" t="n"/>
      <c r="BB42" s="1370" t="n"/>
      <c r="BC42" s="1370" t="n"/>
      <c r="BD42" s="1370" t="n"/>
      <c r="BE42" s="1370" t="n"/>
      <c r="BF42" s="1370" t="n"/>
      <c r="BG42" s="1370" t="n"/>
      <c r="BH42" s="1370" t="n"/>
      <c r="BI42" s="1367" t="n"/>
    </row>
    <row r="43" outlineLevel="1" ht="20" customHeight="1">
      <c r="A43" s="441" t="n"/>
      <c r="B43" s="333" t="inlineStr">
        <is>
          <t>Thought Library</t>
        </is>
      </c>
      <c r="C43" s="1368" t="inlineStr">
        <is>
          <t xml:space="preserve"> </t>
        </is>
      </c>
      <c r="D43" s="1364" t="n"/>
      <c r="E43" s="1365" t="n"/>
      <c r="F43" s="1370" t="inlineStr">
        <is>
          <t xml:space="preserve"> </t>
        </is>
      </c>
      <c r="G43" s="1370">
        <f>'Revenue 2025'!$D$80</f>
        <v/>
      </c>
      <c r="H43" s="1370">
        <f>'Revenue 2025'!$E$80</f>
        <v/>
      </c>
      <c r="I43" s="1370">
        <f>'Revenue 2025'!$F$80</f>
        <v/>
      </c>
      <c r="J43" s="1370">
        <f>'Revenue 2025'!$G$80</f>
        <v/>
      </c>
      <c r="K43" s="1370">
        <f>'Revenue 2025'!$H$80</f>
        <v/>
      </c>
      <c r="L43" s="1370">
        <f>'Revenue 2025'!$I$80</f>
        <v/>
      </c>
      <c r="M43" s="1370">
        <f>'Revenue 2025'!$J$80</f>
        <v/>
      </c>
      <c r="N43" s="1370">
        <f>'Revenue 2025'!$K$80</f>
        <v/>
      </c>
      <c r="O43" s="1370">
        <f>'Revenue 2025'!$L$80</f>
        <v/>
      </c>
      <c r="P43" s="1370">
        <f>'Revenue 2025'!$M$80</f>
        <v/>
      </c>
      <c r="Q43" s="1370">
        <f>'Revenue 2025'!$N$80</f>
        <v/>
      </c>
      <c r="R43" s="1370">
        <f>'Revenue 2025'!$O$80</f>
        <v/>
      </c>
      <c r="S43" s="1367">
        <f>SUM(G43:R43)</f>
        <v/>
      </c>
      <c r="U43" s="1370">
        <f>'Revenue 2026'!$D$86</f>
        <v/>
      </c>
      <c r="V43" s="1370">
        <f>'Revenue 2026'!$E$86</f>
        <v/>
      </c>
      <c r="W43" s="1370">
        <f>'Revenue 2026'!$F$86</f>
        <v/>
      </c>
      <c r="X43" s="1370">
        <f>'Revenue 2026'!$G$86</f>
        <v/>
      </c>
      <c r="Y43" s="1370">
        <f>'Revenue 2026'!$H$86</f>
        <v/>
      </c>
      <c r="Z43" s="1370">
        <f>'Revenue 2026'!$I$86</f>
        <v/>
      </c>
      <c r="AA43" s="1370">
        <f>'Revenue 2026'!$J$86</f>
        <v/>
      </c>
      <c r="AB43" s="1370">
        <f>'Revenue 2026'!$K$86</f>
        <v/>
      </c>
      <c r="AC43" s="1370">
        <f>'Revenue 2026'!$L$86</f>
        <v/>
      </c>
      <c r="AD43" s="1370">
        <f>'Revenue 2026'!$M$86</f>
        <v/>
      </c>
      <c r="AE43" s="1370">
        <f>'Revenue 2026'!$N$86</f>
        <v/>
      </c>
      <c r="AF43" s="1370">
        <f>'Revenue 2026'!$O$86</f>
        <v/>
      </c>
      <c r="AG43" s="1367">
        <f>SUM(U43:AF43)</f>
        <v/>
      </c>
      <c r="AI43" s="1370">
        <f>'Revenue 2027'!$D$86</f>
        <v/>
      </c>
      <c r="AJ43" s="1370">
        <f>'Revenue 2027'!$E$86</f>
        <v/>
      </c>
      <c r="AK43" s="1370">
        <f>'Revenue 2027'!$F$86</f>
        <v/>
      </c>
      <c r="AL43" s="1370">
        <f>'Revenue 2027'!$G$86</f>
        <v/>
      </c>
      <c r="AM43" s="1370">
        <f>'Revenue 2027'!$H$86</f>
        <v/>
      </c>
      <c r="AN43" s="1370">
        <f>'Revenue 2027'!$I$86</f>
        <v/>
      </c>
      <c r="AO43" s="1370">
        <f>'Revenue 2027'!$J$86</f>
        <v/>
      </c>
      <c r="AP43" s="1370">
        <f>'Revenue 2027'!$K$86</f>
        <v/>
      </c>
      <c r="AQ43" s="1370">
        <f>'Revenue 2027'!$L$86</f>
        <v/>
      </c>
      <c r="AR43" s="1370">
        <f>'Revenue 2027'!$M$86</f>
        <v/>
      </c>
      <c r="AS43" s="1370">
        <f>'Revenue 2027'!$N$86</f>
        <v/>
      </c>
      <c r="AT43" s="1370">
        <f>'Revenue 2027'!$O$86</f>
        <v/>
      </c>
      <c r="AU43" s="1367">
        <f>SUM(AI43:AT43)</f>
        <v/>
      </c>
      <c r="AW43" s="1370">
        <f>'Revenue 2028'!D86</f>
        <v/>
      </c>
      <c r="AX43" s="1370">
        <f>'Revenue 2028'!E86</f>
        <v/>
      </c>
      <c r="AY43" s="1370">
        <f>'Revenue 2028'!F86</f>
        <v/>
      </c>
      <c r="AZ43" s="1370">
        <f>'Revenue 2028'!G86</f>
        <v/>
      </c>
      <c r="BA43" s="1370">
        <f>'Revenue 2028'!H86</f>
        <v/>
      </c>
      <c r="BB43" s="1370">
        <f>'Revenue 2028'!I86</f>
        <v/>
      </c>
      <c r="BC43" s="1370">
        <f>'Revenue 2028'!J86</f>
        <v/>
      </c>
      <c r="BD43" s="1370">
        <f>'Revenue 2028'!K86</f>
        <v/>
      </c>
      <c r="BE43" s="1370">
        <f>'Revenue 2028'!L86</f>
        <v/>
      </c>
      <c r="BF43" s="1370">
        <f>'Revenue 2028'!M86</f>
        <v/>
      </c>
      <c r="BG43" s="1370">
        <f>'Revenue 2028'!N86</f>
        <v/>
      </c>
      <c r="BH43" s="1370">
        <f>'Revenue 2028'!O86</f>
        <v/>
      </c>
      <c r="BI43" s="1367">
        <f>SUM(AW43:BH43)</f>
        <v/>
      </c>
    </row>
    <row r="44" outlineLevel="1" ht="20" customHeight="1">
      <c r="A44" s="441" t="n"/>
      <c r="B44" s="333" t="inlineStr">
        <is>
          <t>Consultancy Services</t>
        </is>
      </c>
      <c r="C44" s="1368" t="n"/>
      <c r="D44" s="1364" t="n"/>
      <c r="E44" s="1365" t="n"/>
      <c r="F44" s="1370" t="inlineStr">
        <is>
          <t xml:space="preserve"> </t>
        </is>
      </c>
      <c r="G44" s="1370">
        <f>'Revenue 2025'!R85</f>
        <v/>
      </c>
      <c r="H44" s="1370">
        <f>'Revenue 2025'!$E$86</f>
        <v/>
      </c>
      <c r="I44" s="1370">
        <f>'Revenue 2025'!$F$86</f>
        <v/>
      </c>
      <c r="J44" s="1370">
        <f>'Revenue 2025'!$G$86</f>
        <v/>
      </c>
      <c r="K44" s="1370">
        <f>'Revenue 2025'!$H$86</f>
        <v/>
      </c>
      <c r="L44" s="1370">
        <f>'Revenue 2025'!$I$86</f>
        <v/>
      </c>
      <c r="M44" s="1370">
        <f>'Revenue 2025'!$J$86</f>
        <v/>
      </c>
      <c r="N44" s="1370">
        <f>'Revenue 2025'!$K$86</f>
        <v/>
      </c>
      <c r="O44" s="1370">
        <f>'Revenue 2025'!$L$86</f>
        <v/>
      </c>
      <c r="P44" s="1370">
        <f>'Revenue 2025'!$M$86</f>
        <v/>
      </c>
      <c r="Q44" s="1370">
        <f>'Revenue 2025'!$N$86</f>
        <v/>
      </c>
      <c r="R44" s="1370">
        <f>'Revenue 2025'!$O$86</f>
        <v/>
      </c>
      <c r="S44" s="1367">
        <f>SUM(G44:R44)</f>
        <v/>
      </c>
      <c r="U44" s="1370">
        <f>'Revenue 2026'!AF91</f>
        <v/>
      </c>
      <c r="V44" s="1370">
        <f>'Revenue 2026'!$E$92</f>
        <v/>
      </c>
      <c r="W44" s="1370">
        <f>'Revenue 2026'!$F$92</f>
        <v/>
      </c>
      <c r="X44" s="1370">
        <f>'Revenue 2026'!$G$92</f>
        <v/>
      </c>
      <c r="Y44" s="1370">
        <f>'Revenue 2026'!$H$92</f>
        <v/>
      </c>
      <c r="Z44" s="1370">
        <f>'Revenue 2026'!$I$92</f>
        <v/>
      </c>
      <c r="AA44" s="1370">
        <f>'Revenue 2026'!$J$92</f>
        <v/>
      </c>
      <c r="AB44" s="1370">
        <f>'Revenue 2026'!$K$92</f>
        <v/>
      </c>
      <c r="AC44" s="1370">
        <f>'Revenue 2026'!$L$92</f>
        <v/>
      </c>
      <c r="AD44" s="1370">
        <f>'Revenue 2026'!$M$92</f>
        <v/>
      </c>
      <c r="AE44" s="1370">
        <f>'Revenue 2026'!$N$92</f>
        <v/>
      </c>
      <c r="AF44" s="1370">
        <f>'Revenue 2026'!$O$92</f>
        <v/>
      </c>
      <c r="AG44" s="1367">
        <f>SUM(U44:AF44)</f>
        <v/>
      </c>
      <c r="AI44" s="1370">
        <f>'Revenue 2027'!AT91</f>
        <v/>
      </c>
      <c r="AJ44" s="1370">
        <f>'Revenue 2027'!$E$92</f>
        <v/>
      </c>
      <c r="AK44" s="1370">
        <f>'Revenue 2027'!$F$92</f>
        <v/>
      </c>
      <c r="AL44" s="1370">
        <f>'Revenue 2027'!$G$92</f>
        <v/>
      </c>
      <c r="AM44" s="1370">
        <f>'Revenue 2027'!$H$92</f>
        <v/>
      </c>
      <c r="AN44" s="1370">
        <f>'Revenue 2027'!$I$92</f>
        <v/>
      </c>
      <c r="AO44" s="1370">
        <f>'Revenue 2027'!$J$92</f>
        <v/>
      </c>
      <c r="AP44" s="1370">
        <f>'Revenue 2027'!$K$92</f>
        <v/>
      </c>
      <c r="AQ44" s="1370">
        <f>'Revenue 2027'!$L$92</f>
        <v/>
      </c>
      <c r="AR44" s="1370">
        <f>'Revenue 2027'!$M$92</f>
        <v/>
      </c>
      <c r="AS44" s="1370">
        <f>'Revenue 2027'!$N$92</f>
        <v/>
      </c>
      <c r="AT44" s="1370">
        <f>'Revenue 2027'!$O$92</f>
        <v/>
      </c>
      <c r="AU44" s="1367">
        <f>SUM(AI44:AT44)</f>
        <v/>
      </c>
      <c r="AW44" s="1370">
        <f>'Revenue 2028'!D92</f>
        <v/>
      </c>
      <c r="AX44" s="1370">
        <f>'Revenue 2028'!E92</f>
        <v/>
      </c>
      <c r="AY44" s="1370">
        <f>'Revenue 2028'!F92</f>
        <v/>
      </c>
      <c r="AZ44" s="1370">
        <f>'Revenue 2028'!G92</f>
        <v/>
      </c>
      <c r="BA44" s="1370">
        <f>'Revenue 2028'!H92</f>
        <v/>
      </c>
      <c r="BB44" s="1370">
        <f>'Revenue 2028'!I92</f>
        <v/>
      </c>
      <c r="BC44" s="1370">
        <f>'Revenue 2028'!J92</f>
        <v/>
      </c>
      <c r="BD44" s="1370">
        <f>'Revenue 2028'!K92</f>
        <v/>
      </c>
      <c r="BE44" s="1370">
        <f>'Revenue 2028'!L92</f>
        <v/>
      </c>
      <c r="BF44" s="1370">
        <f>'Revenue 2028'!M92</f>
        <v/>
      </c>
      <c r="BG44" s="1370">
        <f>'Revenue 2028'!N92</f>
        <v/>
      </c>
      <c r="BH44" s="1370">
        <f>'Revenue 2028'!O92</f>
        <v/>
      </c>
      <c r="BI44" s="1367">
        <f>SUM(AW44:BH44)</f>
        <v/>
      </c>
    </row>
    <row r="45" outlineLevel="1" ht="20" customHeight="1">
      <c r="A45" s="441" t="n"/>
      <c r="B45" s="1365" t="inlineStr">
        <is>
          <t xml:space="preserve"> </t>
        </is>
      </c>
      <c r="C45" s="1368" t="inlineStr">
        <is>
          <t xml:space="preserve"> </t>
        </is>
      </c>
      <c r="D45" s="1364" t="n"/>
      <c r="E45" s="1365" t="n"/>
      <c r="F45" s="1370" t="n"/>
      <c r="G45" s="1370" t="n"/>
      <c r="H45" s="1370" t="n"/>
      <c r="I45" s="1370" t="n"/>
      <c r="J45" s="1370" t="n"/>
      <c r="K45" s="1370" t="n"/>
      <c r="L45" s="1370" t="n"/>
      <c r="M45" s="1370" t="n"/>
      <c r="N45" s="1370" t="n"/>
      <c r="O45" s="1370" t="n"/>
      <c r="P45" s="1370" t="n"/>
      <c r="Q45" s="1370" t="n"/>
      <c r="R45" s="1370" t="n"/>
      <c r="S45" s="1367">
        <f>SUM(G45:R45)</f>
        <v/>
      </c>
      <c r="U45" s="1370" t="n"/>
      <c r="V45" s="1370" t="n"/>
      <c r="W45" s="1370" t="n"/>
      <c r="X45" s="1370" t="n"/>
      <c r="Y45" s="1370" t="n"/>
      <c r="Z45" s="1370" t="n"/>
      <c r="AA45" s="1370" t="n"/>
      <c r="AB45" s="1370" t="n"/>
      <c r="AC45" s="1370" t="n"/>
      <c r="AD45" s="1370" t="n"/>
      <c r="AE45" s="1370" t="n"/>
      <c r="AF45" s="1370" t="n"/>
      <c r="AG45" s="1367">
        <f>SUM(U45:AF45)</f>
        <v/>
      </c>
      <c r="AI45" s="1370" t="n"/>
      <c r="AJ45" s="1370" t="n"/>
      <c r="AK45" s="1370" t="n"/>
      <c r="AL45" s="1370" t="n"/>
      <c r="AM45" s="1370" t="n"/>
      <c r="AN45" s="1370" t="n"/>
      <c r="AO45" s="1370" t="n"/>
      <c r="AP45" s="1370" t="n"/>
      <c r="AQ45" s="1370" t="n"/>
      <c r="AR45" s="1370" t="n"/>
      <c r="AS45" s="1370" t="n"/>
      <c r="AT45" s="1370" t="n"/>
      <c r="AU45" s="1367">
        <f>SUM(AI45:AT45)</f>
        <v/>
      </c>
      <c r="AW45" s="1370" t="n"/>
      <c r="AX45" s="1370" t="n"/>
      <c r="AY45" s="1370" t="n"/>
      <c r="AZ45" s="1370" t="n"/>
      <c r="BA45" s="1370" t="n"/>
      <c r="BB45" s="1370" t="n"/>
      <c r="BC45" s="1370" t="n"/>
      <c r="BD45" s="1370" t="n"/>
      <c r="BE45" s="1370" t="n"/>
      <c r="BF45" s="1370" t="n"/>
      <c r="BG45" s="1370" t="n"/>
      <c r="BH45" s="1370" t="n"/>
      <c r="BI45" s="1367">
        <f>SUM(AW45:BH45)</f>
        <v/>
      </c>
    </row>
    <row r="46" ht="20" customHeight="1">
      <c r="A46" s="441" t="n"/>
      <c r="B46" s="1371" t="inlineStr">
        <is>
          <t>Total  Cost of Sales</t>
        </is>
      </c>
      <c r="C46" s="1368" t="inlineStr">
        <is>
          <t>TCOGS</t>
        </is>
      </c>
      <c r="D46" s="1364" t="n"/>
      <c r="E46" s="1365" t="n"/>
      <c r="F46" s="1372" t="n"/>
      <c r="G46" s="1373">
        <f>SUM(G29:G44)</f>
        <v/>
      </c>
      <c r="H46" s="1373">
        <f>SUM(H29:H44)</f>
        <v/>
      </c>
      <c r="I46" s="1373">
        <f>SUM(I29:I44)</f>
        <v/>
      </c>
      <c r="J46" s="1373">
        <f>SUM(J29:J44)</f>
        <v/>
      </c>
      <c r="K46" s="1373">
        <f>SUM(K29:K44)</f>
        <v/>
      </c>
      <c r="L46" s="1373">
        <f>SUM(L29:L44)</f>
        <v/>
      </c>
      <c r="M46" s="1373">
        <f>SUM(M29:M44)</f>
        <v/>
      </c>
      <c r="N46" s="1373">
        <f>SUM(N29:N44)</f>
        <v/>
      </c>
      <c r="O46" s="1373">
        <f>SUM(O29:O44)</f>
        <v/>
      </c>
      <c r="P46" s="1373">
        <f>SUM(P29:P44)</f>
        <v/>
      </c>
      <c r="Q46" s="1373">
        <f>SUM(Q29:Q44)</f>
        <v/>
      </c>
      <c r="R46" s="1373">
        <f>SUM(R29:R44)</f>
        <v/>
      </c>
      <c r="S46" s="1374">
        <f>SUM(G46:R46)</f>
        <v/>
      </c>
      <c r="U46" s="1373">
        <f>SUM(U29:U44)</f>
        <v/>
      </c>
      <c r="V46" s="1373">
        <f>SUM(V29:V44)</f>
        <v/>
      </c>
      <c r="W46" s="1373">
        <f>SUM(W29:W44)</f>
        <v/>
      </c>
      <c r="X46" s="1373">
        <f>SUM(X29:X44)</f>
        <v/>
      </c>
      <c r="Y46" s="1373">
        <f>SUM(Y29:Y44)</f>
        <v/>
      </c>
      <c r="Z46" s="1373">
        <f>SUM(Z29:Z44)</f>
        <v/>
      </c>
      <c r="AA46" s="1373">
        <f>SUM(AA29:AA44)</f>
        <v/>
      </c>
      <c r="AB46" s="1373">
        <f>SUM(AB29:AB44)</f>
        <v/>
      </c>
      <c r="AC46" s="1373">
        <f>SUM(AC29:AC44)</f>
        <v/>
      </c>
      <c r="AD46" s="1373">
        <f>SUM(AD29:AD44)</f>
        <v/>
      </c>
      <c r="AE46" s="1373">
        <f>SUM(AE29:AE44)</f>
        <v/>
      </c>
      <c r="AF46" s="1373">
        <f>SUM(AF29:AF44)</f>
        <v/>
      </c>
      <c r="AG46" s="1374">
        <f>SUM(U46:AF46)</f>
        <v/>
      </c>
      <c r="AI46" s="1373">
        <f>SUM(AI29:AI44)</f>
        <v/>
      </c>
      <c r="AJ46" s="1373">
        <f>SUM(AJ28:AJ44)</f>
        <v/>
      </c>
      <c r="AK46" s="1373">
        <f>SUM(AK28:AK44)</f>
        <v/>
      </c>
      <c r="AL46" s="1373">
        <f>SUM(AL28:AL44)</f>
        <v/>
      </c>
      <c r="AM46" s="1373">
        <f>SUM(AM28:AM44)</f>
        <v/>
      </c>
      <c r="AN46" s="1373">
        <f>SUM(AN28:AN44)</f>
        <v/>
      </c>
      <c r="AO46" s="1373">
        <f>SUM(AO28:AO44)</f>
        <v/>
      </c>
      <c r="AP46" s="1373">
        <f>SUM(AP28:AP44)</f>
        <v/>
      </c>
      <c r="AQ46" s="1373">
        <f>SUM(AQ28:AQ44)</f>
        <v/>
      </c>
      <c r="AR46" s="1373">
        <f>SUM(AR28:AR44)</f>
        <v/>
      </c>
      <c r="AS46" s="1373">
        <f>SUM(AS28:AS44)</f>
        <v/>
      </c>
      <c r="AT46" s="1373">
        <f>SUM(AT28:AT44)</f>
        <v/>
      </c>
      <c r="AU46" s="1374">
        <f>SUM(AI46:AT46)</f>
        <v/>
      </c>
      <c r="AW46" s="1375">
        <f>SUM(AW29:AW44)</f>
        <v/>
      </c>
      <c r="AX46" s="1375">
        <f>SUM(AX28:AX44)</f>
        <v/>
      </c>
      <c r="AY46" s="1375">
        <f>SUM(AY28:AY44)</f>
        <v/>
      </c>
      <c r="AZ46" s="1375">
        <f>SUM(AZ28:AZ44)</f>
        <v/>
      </c>
      <c r="BA46" s="1375">
        <f>SUM(BA28:BA44)</f>
        <v/>
      </c>
      <c r="BB46" s="1375">
        <f>SUM(BB28:BB44)</f>
        <v/>
      </c>
      <c r="BC46" s="1375">
        <f>SUM(BC28:BC44)</f>
        <v/>
      </c>
      <c r="BD46" s="1375">
        <f>SUM(BD28:BD44)</f>
        <v/>
      </c>
      <c r="BE46" s="1375">
        <f>SUM(BE28:BE44)</f>
        <v/>
      </c>
      <c r="BF46" s="1375">
        <f>SUM(BF28:BF44)</f>
        <v/>
      </c>
      <c r="BG46" s="1375">
        <f>SUM(BG28:BG44)</f>
        <v/>
      </c>
      <c r="BH46" s="1375">
        <f>SUM(BH28:BH44)</f>
        <v/>
      </c>
      <c r="BI46" s="1376">
        <f>SUM(AW46:BH46)</f>
        <v/>
      </c>
    </row>
    <row r="47" ht="20" customHeight="1">
      <c r="A47" s="441" t="n"/>
      <c r="B47" s="1371" t="inlineStr">
        <is>
          <t>Revenue Before Expenses</t>
        </is>
      </c>
      <c r="C47" s="1368" t="n"/>
      <c r="D47" s="1364" t="n"/>
      <c r="E47" s="1365" t="n"/>
      <c r="F47" s="1372" t="n"/>
      <c r="G47" s="1373">
        <f>G24-G46</f>
        <v/>
      </c>
      <c r="H47" s="1373">
        <f>H24-H46</f>
        <v/>
      </c>
      <c r="I47" s="1373">
        <f>I24-I46</f>
        <v/>
      </c>
      <c r="J47" s="1373">
        <f>J24-J46</f>
        <v/>
      </c>
      <c r="K47" s="1373">
        <f>K24-K46</f>
        <v/>
      </c>
      <c r="L47" s="1373">
        <f>L24-L46</f>
        <v/>
      </c>
      <c r="M47" s="1373">
        <f>M24-M46</f>
        <v/>
      </c>
      <c r="N47" s="1373">
        <f>N24-N46</f>
        <v/>
      </c>
      <c r="O47" s="1373">
        <f>O24-O46</f>
        <v/>
      </c>
      <c r="P47" s="1373">
        <f>P24-P46</f>
        <v/>
      </c>
      <c r="Q47" s="1373">
        <f>Q24-Q46</f>
        <v/>
      </c>
      <c r="R47" s="1373">
        <f>R24-R46</f>
        <v/>
      </c>
      <c r="S47" s="1374">
        <f>S24-S46</f>
        <v/>
      </c>
      <c r="U47" s="1373">
        <f>U24-U46</f>
        <v/>
      </c>
      <c r="V47" s="1373">
        <f>V24-V46</f>
        <v/>
      </c>
      <c r="W47" s="1373">
        <f>W24-W46</f>
        <v/>
      </c>
      <c r="X47" s="1373">
        <f>X24-X46</f>
        <v/>
      </c>
      <c r="Y47" s="1373">
        <f>Y24-Y46</f>
        <v/>
      </c>
      <c r="Z47" s="1373">
        <f>Z24-Z46</f>
        <v/>
      </c>
      <c r="AA47" s="1373">
        <f>AA24-AA46</f>
        <v/>
      </c>
      <c r="AB47" s="1373">
        <f>AB24-AB46</f>
        <v/>
      </c>
      <c r="AC47" s="1373">
        <f>AC24-AC46</f>
        <v/>
      </c>
      <c r="AD47" s="1373">
        <f>AD24-AD46</f>
        <v/>
      </c>
      <c r="AE47" s="1373">
        <f>AE24-AE46</f>
        <v/>
      </c>
      <c r="AF47" s="1373">
        <f>AF24-AF46</f>
        <v/>
      </c>
      <c r="AG47" s="1374">
        <f>AG24-AG46</f>
        <v/>
      </c>
      <c r="AI47" s="1373">
        <f>AI24-AI46</f>
        <v/>
      </c>
      <c r="AJ47" s="1373">
        <f>AJ24-AJ46</f>
        <v/>
      </c>
      <c r="AK47" s="1373">
        <f>AK24-AK46</f>
        <v/>
      </c>
      <c r="AL47" s="1373">
        <f>AL24-AL46</f>
        <v/>
      </c>
      <c r="AM47" s="1373">
        <f>AM24-AM46</f>
        <v/>
      </c>
      <c r="AN47" s="1373">
        <f>AN24-AN46</f>
        <v/>
      </c>
      <c r="AO47" s="1373">
        <f>AO24-AO46</f>
        <v/>
      </c>
      <c r="AP47" s="1373">
        <f>AP24-AP46</f>
        <v/>
      </c>
      <c r="AQ47" s="1373">
        <f>AQ24-AQ46</f>
        <v/>
      </c>
      <c r="AR47" s="1373">
        <f>AR24-AR46</f>
        <v/>
      </c>
      <c r="AS47" s="1373">
        <f>AS24-AS46</f>
        <v/>
      </c>
      <c r="AT47" s="1373">
        <f>AT24-AT46</f>
        <v/>
      </c>
      <c r="AU47" s="1374">
        <f>AU24-AU46</f>
        <v/>
      </c>
      <c r="AW47" s="1375">
        <f>AW24-AW46</f>
        <v/>
      </c>
      <c r="AX47" s="1375">
        <f>AX24-AX46</f>
        <v/>
      </c>
      <c r="AY47" s="1375">
        <f>AY24-AY46</f>
        <v/>
      </c>
      <c r="AZ47" s="1375">
        <f>AZ24-AZ46</f>
        <v/>
      </c>
      <c r="BA47" s="1375">
        <f>BA24-BA46</f>
        <v/>
      </c>
      <c r="BB47" s="1375">
        <f>BB24-BB46</f>
        <v/>
      </c>
      <c r="BC47" s="1375">
        <f>BC24-BC46</f>
        <v/>
      </c>
      <c r="BD47" s="1375">
        <f>BD24-BD46</f>
        <v/>
      </c>
      <c r="BE47" s="1375">
        <f>BE24-BE46</f>
        <v/>
      </c>
      <c r="BF47" s="1375">
        <f>BF24-BF46</f>
        <v/>
      </c>
      <c r="BG47" s="1375">
        <f>BG24-BG46</f>
        <v/>
      </c>
      <c r="BH47" s="1375">
        <f>BH24-BH46</f>
        <v/>
      </c>
      <c r="BI47" s="1376">
        <f>BI24-BI46</f>
        <v/>
      </c>
    </row>
    <row r="48" outlineLevel="1" ht="20" customHeight="1">
      <c r="A48" s="441" t="n"/>
      <c r="B48" s="1354" t="inlineStr">
        <is>
          <t xml:space="preserve"> </t>
        </is>
      </c>
      <c r="C48" s="1368" t="n"/>
      <c r="D48" s="1364" t="n"/>
      <c r="E48" s="1365" t="n"/>
      <c r="F48" s="1379" t="n"/>
      <c r="G48" s="1380" t="n"/>
      <c r="H48" s="1381" t="n"/>
      <c r="I48" s="1381" t="n"/>
      <c r="J48" s="1381" t="n"/>
      <c r="K48" s="1381" t="n"/>
      <c r="L48" s="1381" t="n"/>
      <c r="M48" s="1381" t="n"/>
      <c r="N48" s="1381" t="n"/>
      <c r="O48" s="1381" t="n"/>
      <c r="P48" s="1381" t="n"/>
      <c r="Q48" s="1381" t="n"/>
      <c r="R48" s="1381" t="n"/>
      <c r="S48" s="1382" t="n"/>
      <c r="U48" s="1380" t="n"/>
      <c r="V48" s="1381" t="n"/>
      <c r="W48" s="1381" t="n"/>
      <c r="X48" s="1381" t="n"/>
      <c r="Y48" s="1381" t="n"/>
      <c r="Z48" s="1381" t="n"/>
      <c r="AA48" s="1381" t="n"/>
      <c r="AB48" s="1381" t="n"/>
      <c r="AC48" s="1381" t="n"/>
      <c r="AD48" s="1381" t="n"/>
      <c r="AE48" s="1381" t="n"/>
      <c r="AF48" s="1381" t="n"/>
      <c r="AG48" s="1382" t="n"/>
      <c r="AI48" s="1380" t="n"/>
      <c r="AJ48" s="1381" t="n"/>
      <c r="AK48" s="1381" t="n"/>
      <c r="AL48" s="1381" t="n"/>
      <c r="AM48" s="1381" t="n"/>
      <c r="AN48" s="1381" t="n"/>
      <c r="AO48" s="1381" t="n"/>
      <c r="AP48" s="1381" t="n"/>
      <c r="AQ48" s="1381" t="n"/>
      <c r="AR48" s="1381" t="n"/>
      <c r="AS48" s="1381" t="n"/>
      <c r="AT48" s="1381" t="n"/>
      <c r="AU48" s="1382" t="n"/>
      <c r="AW48" s="1380" t="n"/>
      <c r="AX48" s="1381" t="n"/>
      <c r="AY48" s="1381" t="n"/>
      <c r="AZ48" s="1381" t="n"/>
      <c r="BA48" s="1381" t="n"/>
      <c r="BB48" s="1381" t="n"/>
      <c r="BC48" s="1381" t="n"/>
      <c r="BD48" s="1381" t="n"/>
      <c r="BE48" s="1381" t="n"/>
      <c r="BF48" s="1381" t="n"/>
      <c r="BG48" s="1381" t="n"/>
      <c r="BH48" s="1381" t="n"/>
      <c r="BI48" s="1382" t="n"/>
    </row>
    <row r="49" outlineLevel="1" ht="20" customHeight="1">
      <c r="A49" s="441" t="n"/>
      <c r="B49" s="1383" t="inlineStr">
        <is>
          <t>Salaries and Wages</t>
        </is>
      </c>
      <c r="C49" s="1368" t="n"/>
      <c r="D49" s="1364" t="n"/>
      <c r="E49" s="1365" t="n"/>
      <c r="F49" s="1370" t="n"/>
      <c r="G49" s="1384" t="n"/>
      <c r="H49" s="1385" t="n"/>
      <c r="I49" s="1385" t="n"/>
      <c r="J49" s="1385" t="n"/>
      <c r="K49" s="1385" t="n"/>
      <c r="L49" s="1385" t="n"/>
      <c r="M49" s="1385" t="n"/>
      <c r="N49" s="1385" t="n"/>
      <c r="O49" s="1385" t="n"/>
      <c r="P49" s="1385" t="n"/>
      <c r="Q49" s="1385" t="n"/>
      <c r="R49" s="1385" t="n"/>
      <c r="S49" s="1382" t="n"/>
      <c r="U49" s="1384" t="n"/>
      <c r="V49" s="1385" t="n"/>
      <c r="W49" s="1385" t="n"/>
      <c r="X49" s="1385" t="n"/>
      <c r="Y49" s="1385" t="n"/>
      <c r="Z49" s="1385" t="n"/>
      <c r="AA49" s="1385" t="n"/>
      <c r="AB49" s="1385" t="n"/>
      <c r="AC49" s="1385" t="n"/>
      <c r="AD49" s="1385" t="n"/>
      <c r="AE49" s="1385" t="n"/>
      <c r="AF49" s="1385" t="n"/>
      <c r="AG49" s="1382" t="n"/>
      <c r="AI49" s="1384" t="n"/>
      <c r="AJ49" s="1385" t="n"/>
      <c r="AK49" s="1385" t="n"/>
      <c r="AL49" s="1385" t="n"/>
      <c r="AM49" s="1385" t="n"/>
      <c r="AN49" s="1385" t="n"/>
      <c r="AO49" s="1385" t="n"/>
      <c r="AP49" s="1385" t="n"/>
      <c r="AQ49" s="1385" t="n"/>
      <c r="AR49" s="1385" t="n"/>
      <c r="AS49" s="1385" t="n"/>
      <c r="AT49" s="1385" t="n"/>
      <c r="AU49" s="1382" t="n"/>
      <c r="AW49" s="1384" t="n"/>
      <c r="AX49" s="1385" t="n"/>
      <c r="AY49" s="1385" t="n"/>
      <c r="AZ49" s="1385" t="n"/>
      <c r="BA49" s="1385" t="n"/>
      <c r="BB49" s="1385" t="n"/>
      <c r="BC49" s="1385" t="n"/>
      <c r="BD49" s="1385" t="n"/>
      <c r="BE49" s="1385" t="n"/>
      <c r="BF49" s="1385" t="n"/>
      <c r="BG49" s="1385" t="n"/>
      <c r="BH49" s="1385" t="n"/>
      <c r="BI49" s="1382" t="n"/>
    </row>
    <row r="50" outlineLevel="1" ht="20" customHeight="1">
      <c r="A50" s="441" t="n"/>
      <c r="B50" s="1325">
        <f>'Salaries &amp; Wages'!A8</f>
        <v/>
      </c>
      <c r="C50" s="46" t="n"/>
      <c r="D50" s="114" t="n">
        <v>6500</v>
      </c>
      <c r="E50" s="114" t="n">
        <v>6500</v>
      </c>
      <c r="F50" s="114" t="inlineStr">
        <is>
          <t xml:space="preserve"> </t>
        </is>
      </c>
      <c r="G50" s="355">
        <f>'Salaries &amp; Wages'!C8</f>
        <v/>
      </c>
      <c r="H50" s="355">
        <f>'Salaries &amp; Wages'!D8</f>
        <v/>
      </c>
      <c r="I50" s="355">
        <f>'Salaries &amp; Wages'!E8</f>
        <v/>
      </c>
      <c r="J50" s="355">
        <f>'Salaries &amp; Wages'!F8</f>
        <v/>
      </c>
      <c r="K50" s="355">
        <f>'Salaries &amp; Wages'!G8</f>
        <v/>
      </c>
      <c r="L50" s="355">
        <f>'Salaries &amp; Wages'!H8</f>
        <v/>
      </c>
      <c r="M50" s="355">
        <f>'Salaries &amp; Wages'!I8</f>
        <v/>
      </c>
      <c r="N50" s="355">
        <f>'Salaries &amp; Wages'!J8</f>
        <v/>
      </c>
      <c r="O50" s="355">
        <f>'Salaries &amp; Wages'!K8</f>
        <v/>
      </c>
      <c r="P50" s="355">
        <f>'Salaries &amp; Wages'!L8</f>
        <v/>
      </c>
      <c r="Q50" s="355">
        <f>'Salaries &amp; Wages'!M8</f>
        <v/>
      </c>
      <c r="R50" s="355">
        <f>'Salaries &amp; Wages'!N8</f>
        <v/>
      </c>
      <c r="S50" s="358">
        <f>SUM(G50:R50)</f>
        <v/>
      </c>
      <c r="U50" s="355">
        <f>'Salaries &amp; Wages'!Q8</f>
        <v/>
      </c>
      <c r="V50" s="355">
        <f>'Salaries &amp; Wages'!R8</f>
        <v/>
      </c>
      <c r="W50" s="355">
        <f>'Salaries &amp; Wages'!S8</f>
        <v/>
      </c>
      <c r="X50" s="355">
        <f>'Salaries &amp; Wages'!T8</f>
        <v/>
      </c>
      <c r="Y50" s="355">
        <f>'Salaries &amp; Wages'!U8</f>
        <v/>
      </c>
      <c r="Z50" s="355">
        <f>'Salaries &amp; Wages'!V8</f>
        <v/>
      </c>
      <c r="AA50" s="355">
        <f>'Salaries &amp; Wages'!W8</f>
        <v/>
      </c>
      <c r="AB50" s="355">
        <f>'Salaries &amp; Wages'!X8</f>
        <v/>
      </c>
      <c r="AC50" s="355">
        <f>'Salaries &amp; Wages'!Y8</f>
        <v/>
      </c>
      <c r="AD50" s="355">
        <f>'Salaries &amp; Wages'!Z8</f>
        <v/>
      </c>
      <c r="AE50" s="355">
        <f>'Salaries &amp; Wages'!AA8</f>
        <v/>
      </c>
      <c r="AF50" s="355">
        <f>'Salaries &amp; Wages'!AB8</f>
        <v/>
      </c>
      <c r="AG50" s="358">
        <f>SUM(U50:AF50)</f>
        <v/>
      </c>
      <c r="AI50" s="355">
        <f>'Salaries &amp; Wages'!AE8</f>
        <v/>
      </c>
      <c r="AJ50" s="355">
        <f>'Salaries &amp; Wages'!AF8</f>
        <v/>
      </c>
      <c r="AK50" s="355">
        <f>'Salaries &amp; Wages'!AG8</f>
        <v/>
      </c>
      <c r="AL50" s="355">
        <f>'Salaries &amp; Wages'!AH8</f>
        <v/>
      </c>
      <c r="AM50" s="355">
        <f>'Salaries &amp; Wages'!AI8</f>
        <v/>
      </c>
      <c r="AN50" s="355">
        <f>'Salaries &amp; Wages'!AJ8</f>
        <v/>
      </c>
      <c r="AO50" s="355">
        <f>'Salaries &amp; Wages'!AK8</f>
        <v/>
      </c>
      <c r="AP50" s="355">
        <f>'Salaries &amp; Wages'!AL8</f>
        <v/>
      </c>
      <c r="AQ50" s="355">
        <f>'Salaries &amp; Wages'!AM8</f>
        <v/>
      </c>
      <c r="AR50" s="355">
        <f>'Salaries &amp; Wages'!AN8</f>
        <v/>
      </c>
      <c r="AS50" s="355">
        <f>'Salaries &amp; Wages'!AO8</f>
        <v/>
      </c>
      <c r="AT50" s="355">
        <f>'Salaries &amp; Wages'!AP8</f>
        <v/>
      </c>
      <c r="AU50" s="358">
        <f>SUM(AI50:AT50)</f>
        <v/>
      </c>
      <c r="AW50" s="355">
        <f>'Salaries &amp; Wages'!AS8</f>
        <v/>
      </c>
      <c r="AX50" s="355">
        <f>'Salaries &amp; Wages'!AT8</f>
        <v/>
      </c>
      <c r="AY50" s="355">
        <f>'Salaries &amp; Wages'!AU8</f>
        <v/>
      </c>
      <c r="AZ50" s="355">
        <f>'Salaries &amp; Wages'!AV8</f>
        <v/>
      </c>
      <c r="BA50" s="355">
        <f>'Salaries &amp; Wages'!AW8</f>
        <v/>
      </c>
      <c r="BB50" s="355">
        <f>'Salaries &amp; Wages'!AX8</f>
        <v/>
      </c>
      <c r="BC50" s="355">
        <f>'Salaries &amp; Wages'!AY8</f>
        <v/>
      </c>
      <c r="BD50" s="355">
        <f>'Salaries &amp; Wages'!AZ8</f>
        <v/>
      </c>
      <c r="BE50" s="355">
        <f>'Salaries &amp; Wages'!BA8</f>
        <v/>
      </c>
      <c r="BF50" s="355">
        <f>'Salaries &amp; Wages'!BB8</f>
        <v/>
      </c>
      <c r="BG50" s="355">
        <f>'Salaries &amp; Wages'!BC8</f>
        <v/>
      </c>
      <c r="BH50" s="355">
        <f>'Salaries &amp; Wages'!BD8</f>
        <v/>
      </c>
      <c r="BI50" s="358">
        <f>SUM(AW50:BH50)</f>
        <v/>
      </c>
    </row>
    <row r="51" outlineLevel="1" ht="20" customHeight="1">
      <c r="A51" s="441" t="n"/>
      <c r="B51" s="1325">
        <f>'Salaries &amp; Wages'!A9</f>
        <v/>
      </c>
      <c r="C51" s="46" t="n"/>
      <c r="D51" s="114" t="n">
        <v>3000</v>
      </c>
      <c r="E51" s="114" t="n">
        <v>3000</v>
      </c>
      <c r="F51" s="114" t="inlineStr">
        <is>
          <t xml:space="preserve"> </t>
        </is>
      </c>
      <c r="G51" s="355">
        <f>'Salaries &amp; Wages'!C9</f>
        <v/>
      </c>
      <c r="H51" s="355">
        <f>'Salaries &amp; Wages'!D9</f>
        <v/>
      </c>
      <c r="I51" s="355">
        <f>'Salaries &amp; Wages'!E9</f>
        <v/>
      </c>
      <c r="J51" s="355">
        <f>'Salaries &amp; Wages'!F9</f>
        <v/>
      </c>
      <c r="K51" s="355">
        <f>'Salaries &amp; Wages'!G9</f>
        <v/>
      </c>
      <c r="L51" s="355">
        <f>'Salaries &amp; Wages'!H9</f>
        <v/>
      </c>
      <c r="M51" s="355">
        <f>'Salaries &amp; Wages'!I9</f>
        <v/>
      </c>
      <c r="N51" s="355">
        <f>'Salaries &amp; Wages'!J9</f>
        <v/>
      </c>
      <c r="O51" s="355">
        <f>'Salaries &amp; Wages'!K9</f>
        <v/>
      </c>
      <c r="P51" s="355">
        <f>'Salaries &amp; Wages'!L9</f>
        <v/>
      </c>
      <c r="Q51" s="355">
        <f>'Salaries &amp; Wages'!M9</f>
        <v/>
      </c>
      <c r="R51" s="355">
        <f>'Salaries &amp; Wages'!N9</f>
        <v/>
      </c>
      <c r="S51" s="358">
        <f>SUM(G51:R51)</f>
        <v/>
      </c>
      <c r="U51" s="355">
        <f>'Salaries &amp; Wages'!Q9</f>
        <v/>
      </c>
      <c r="V51" s="355">
        <f>'Salaries &amp; Wages'!R9</f>
        <v/>
      </c>
      <c r="W51" s="355">
        <f>'Salaries &amp; Wages'!S9</f>
        <v/>
      </c>
      <c r="X51" s="355">
        <f>'Salaries &amp; Wages'!T9</f>
        <v/>
      </c>
      <c r="Y51" s="355">
        <f>'Salaries &amp; Wages'!U9</f>
        <v/>
      </c>
      <c r="Z51" s="355">
        <f>'Salaries &amp; Wages'!V9</f>
        <v/>
      </c>
      <c r="AA51" s="355">
        <f>'Salaries &amp; Wages'!W9</f>
        <v/>
      </c>
      <c r="AB51" s="355">
        <f>'Salaries &amp; Wages'!X9</f>
        <v/>
      </c>
      <c r="AC51" s="355">
        <f>'Salaries &amp; Wages'!Y9</f>
        <v/>
      </c>
      <c r="AD51" s="355">
        <f>'Salaries &amp; Wages'!Z9</f>
        <v/>
      </c>
      <c r="AE51" s="355">
        <f>'Salaries &amp; Wages'!AA9</f>
        <v/>
      </c>
      <c r="AF51" s="355">
        <f>'Salaries &amp; Wages'!AB9</f>
        <v/>
      </c>
      <c r="AG51" s="358">
        <f>SUM(U51:AF51)</f>
        <v/>
      </c>
      <c r="AI51" s="355">
        <f>'Salaries &amp; Wages'!AE9</f>
        <v/>
      </c>
      <c r="AJ51" s="355">
        <f>'Salaries &amp; Wages'!AF9</f>
        <v/>
      </c>
      <c r="AK51" s="355">
        <f>'Salaries &amp; Wages'!AG9</f>
        <v/>
      </c>
      <c r="AL51" s="355">
        <f>'Salaries &amp; Wages'!AH9</f>
        <v/>
      </c>
      <c r="AM51" s="355">
        <f>'Salaries &amp; Wages'!AI9</f>
        <v/>
      </c>
      <c r="AN51" s="355">
        <f>'Salaries &amp; Wages'!AJ9</f>
        <v/>
      </c>
      <c r="AO51" s="355">
        <f>'Salaries &amp; Wages'!AK9</f>
        <v/>
      </c>
      <c r="AP51" s="355">
        <f>'Salaries &amp; Wages'!AL9</f>
        <v/>
      </c>
      <c r="AQ51" s="355">
        <f>'Salaries &amp; Wages'!AM9</f>
        <v/>
      </c>
      <c r="AR51" s="355">
        <f>'Salaries &amp; Wages'!AN9</f>
        <v/>
      </c>
      <c r="AS51" s="355">
        <f>'Salaries &amp; Wages'!AO9</f>
        <v/>
      </c>
      <c r="AT51" s="355">
        <f>'Salaries &amp; Wages'!AP9</f>
        <v/>
      </c>
      <c r="AU51" s="358">
        <f>SUM(AI51:AT51)</f>
        <v/>
      </c>
      <c r="AW51" s="355">
        <f>'Salaries &amp; Wages'!AS9</f>
        <v/>
      </c>
      <c r="AX51" s="355">
        <f>'Salaries &amp; Wages'!AT9</f>
        <v/>
      </c>
      <c r="AY51" s="355">
        <f>'Salaries &amp; Wages'!AU9</f>
        <v/>
      </c>
      <c r="AZ51" s="355">
        <f>'Salaries &amp; Wages'!AV9</f>
        <v/>
      </c>
      <c r="BA51" s="355">
        <f>'Salaries &amp; Wages'!AW9</f>
        <v/>
      </c>
      <c r="BB51" s="355">
        <f>'Salaries &amp; Wages'!AX9</f>
        <v/>
      </c>
      <c r="BC51" s="355">
        <f>'Salaries &amp; Wages'!AY9</f>
        <v/>
      </c>
      <c r="BD51" s="355">
        <f>'Salaries &amp; Wages'!AZ9</f>
        <v/>
      </c>
      <c r="BE51" s="355">
        <f>'Salaries &amp; Wages'!BA9</f>
        <v/>
      </c>
      <c r="BF51" s="355">
        <f>'Salaries &amp; Wages'!BB9</f>
        <v/>
      </c>
      <c r="BG51" s="355">
        <f>'Salaries &amp; Wages'!BC9</f>
        <v/>
      </c>
      <c r="BH51" s="355">
        <f>'Salaries &amp; Wages'!BD9</f>
        <v/>
      </c>
      <c r="BI51" s="358">
        <f>SUM(AW51:BH51)</f>
        <v/>
      </c>
    </row>
    <row r="52" outlineLevel="1" ht="20" customHeight="1">
      <c r="A52" s="441" t="n"/>
      <c r="B52" s="1325">
        <f>'Salaries &amp; Wages'!A10</f>
        <v/>
      </c>
      <c r="C52" s="46" t="n"/>
      <c r="D52" s="114" t="n">
        <v>5000</v>
      </c>
      <c r="E52" s="114" t="n">
        <v>6500</v>
      </c>
      <c r="F52" s="114" t="inlineStr">
        <is>
          <t xml:space="preserve"> </t>
        </is>
      </c>
      <c r="G52" s="355">
        <f>'Salaries &amp; Wages'!C10</f>
        <v/>
      </c>
      <c r="H52" s="355">
        <f>'Salaries &amp; Wages'!D10</f>
        <v/>
      </c>
      <c r="I52" s="355">
        <f>'Salaries &amp; Wages'!E10</f>
        <v/>
      </c>
      <c r="J52" s="355">
        <f>'Salaries &amp; Wages'!F10</f>
        <v/>
      </c>
      <c r="K52" s="355">
        <f>'Salaries &amp; Wages'!G10</f>
        <v/>
      </c>
      <c r="L52" s="355">
        <f>'Salaries &amp; Wages'!H10</f>
        <v/>
      </c>
      <c r="M52" s="355">
        <f>'Salaries &amp; Wages'!I10</f>
        <v/>
      </c>
      <c r="N52" s="355">
        <f>'Salaries &amp; Wages'!J10</f>
        <v/>
      </c>
      <c r="O52" s="355">
        <f>'Salaries &amp; Wages'!K10</f>
        <v/>
      </c>
      <c r="P52" s="355">
        <f>'Salaries &amp; Wages'!L10</f>
        <v/>
      </c>
      <c r="Q52" s="355">
        <f>'Salaries &amp; Wages'!M10</f>
        <v/>
      </c>
      <c r="R52" s="355">
        <f>'Salaries &amp; Wages'!N10</f>
        <v/>
      </c>
      <c r="S52" s="358" t="n"/>
      <c r="U52" s="355">
        <f>'Salaries &amp; Wages'!Q10</f>
        <v/>
      </c>
      <c r="V52" s="355">
        <f>'Salaries &amp; Wages'!R10</f>
        <v/>
      </c>
      <c r="W52" s="355">
        <f>'Salaries &amp; Wages'!S10</f>
        <v/>
      </c>
      <c r="X52" s="355">
        <f>'Salaries &amp; Wages'!T10</f>
        <v/>
      </c>
      <c r="Y52" s="355">
        <f>'Salaries &amp; Wages'!U10</f>
        <v/>
      </c>
      <c r="Z52" s="355">
        <f>'Salaries &amp; Wages'!V10</f>
        <v/>
      </c>
      <c r="AA52" s="355">
        <f>'Salaries &amp; Wages'!W10</f>
        <v/>
      </c>
      <c r="AB52" s="355">
        <f>'Salaries &amp; Wages'!X10</f>
        <v/>
      </c>
      <c r="AC52" s="355">
        <f>'Salaries &amp; Wages'!Y10</f>
        <v/>
      </c>
      <c r="AD52" s="355">
        <f>'Salaries &amp; Wages'!Z10</f>
        <v/>
      </c>
      <c r="AE52" s="355">
        <f>'Salaries &amp; Wages'!AA10</f>
        <v/>
      </c>
      <c r="AF52" s="355">
        <f>'Salaries &amp; Wages'!AB10</f>
        <v/>
      </c>
      <c r="AG52" s="358" t="n"/>
      <c r="AI52" s="355">
        <f>'Salaries &amp; Wages'!AE10</f>
        <v/>
      </c>
      <c r="AJ52" s="355">
        <f>'Salaries &amp; Wages'!AF10</f>
        <v/>
      </c>
      <c r="AK52" s="355">
        <f>'Salaries &amp; Wages'!AG10</f>
        <v/>
      </c>
      <c r="AL52" s="355">
        <f>'Salaries &amp; Wages'!AH10</f>
        <v/>
      </c>
      <c r="AM52" s="355">
        <f>'Salaries &amp; Wages'!AI10</f>
        <v/>
      </c>
      <c r="AN52" s="355">
        <f>'Salaries &amp; Wages'!AJ10</f>
        <v/>
      </c>
      <c r="AO52" s="355">
        <f>'Salaries &amp; Wages'!AK10</f>
        <v/>
      </c>
      <c r="AP52" s="355">
        <f>'Salaries &amp; Wages'!AL10</f>
        <v/>
      </c>
      <c r="AQ52" s="355">
        <f>'Salaries &amp; Wages'!AM10</f>
        <v/>
      </c>
      <c r="AR52" s="355">
        <f>'Salaries &amp; Wages'!AN10</f>
        <v/>
      </c>
      <c r="AS52" s="355">
        <f>'Salaries &amp; Wages'!AO10</f>
        <v/>
      </c>
      <c r="AT52" s="355">
        <f>'Salaries &amp; Wages'!AP10</f>
        <v/>
      </c>
      <c r="AU52" s="358" t="n"/>
      <c r="AW52" s="355">
        <f>'Salaries &amp; Wages'!AS10</f>
        <v/>
      </c>
      <c r="AX52" s="355">
        <f>'Salaries &amp; Wages'!AT10</f>
        <v/>
      </c>
      <c r="AY52" s="355">
        <f>'Salaries &amp; Wages'!AU10</f>
        <v/>
      </c>
      <c r="AZ52" s="355">
        <f>'Salaries &amp; Wages'!AV10</f>
        <v/>
      </c>
      <c r="BA52" s="355">
        <f>'Salaries &amp; Wages'!AW10</f>
        <v/>
      </c>
      <c r="BB52" s="355">
        <f>'Salaries &amp; Wages'!AX10</f>
        <v/>
      </c>
      <c r="BC52" s="355">
        <f>'Salaries &amp; Wages'!AY10</f>
        <v/>
      </c>
      <c r="BD52" s="355">
        <f>'Salaries &amp; Wages'!AZ10</f>
        <v/>
      </c>
      <c r="BE52" s="355">
        <f>'Salaries &amp; Wages'!BA10</f>
        <v/>
      </c>
      <c r="BF52" s="355">
        <f>'Salaries &amp; Wages'!BB10</f>
        <v/>
      </c>
      <c r="BG52" s="355">
        <f>'Salaries &amp; Wages'!BC10</f>
        <v/>
      </c>
      <c r="BH52" s="355">
        <f>'Salaries &amp; Wages'!BD10</f>
        <v/>
      </c>
      <c r="BI52" s="358" t="n"/>
    </row>
    <row r="53" outlineLevel="1" ht="20" customHeight="1">
      <c r="A53" s="441" t="n"/>
      <c r="B53" s="1325">
        <f>'Salaries &amp; Wages'!A11</f>
        <v/>
      </c>
      <c r="C53" s="46" t="n"/>
      <c r="D53" s="114" t="n">
        <v>6500</v>
      </c>
      <c r="E53" s="114" t="n">
        <v>6500</v>
      </c>
      <c r="F53" s="114" t="inlineStr">
        <is>
          <t xml:space="preserve"> </t>
        </is>
      </c>
      <c r="G53" s="355">
        <f>'Salaries &amp; Wages'!C11</f>
        <v/>
      </c>
      <c r="H53" s="355">
        <f>'Salaries &amp; Wages'!D11</f>
        <v/>
      </c>
      <c r="I53" s="355">
        <f>'Salaries &amp; Wages'!E11</f>
        <v/>
      </c>
      <c r="J53" s="355">
        <f>'Salaries &amp; Wages'!F11</f>
        <v/>
      </c>
      <c r="K53" s="355">
        <f>'Salaries &amp; Wages'!G11</f>
        <v/>
      </c>
      <c r="L53" s="355">
        <f>'Salaries &amp; Wages'!H11</f>
        <v/>
      </c>
      <c r="M53" s="355">
        <f>'Salaries &amp; Wages'!I11</f>
        <v/>
      </c>
      <c r="N53" s="355">
        <f>'Salaries &amp; Wages'!J11</f>
        <v/>
      </c>
      <c r="O53" s="355">
        <f>'Salaries &amp; Wages'!K11</f>
        <v/>
      </c>
      <c r="P53" s="355">
        <f>'Salaries &amp; Wages'!L11</f>
        <v/>
      </c>
      <c r="Q53" s="355">
        <f>'Salaries &amp; Wages'!M11</f>
        <v/>
      </c>
      <c r="R53" s="355">
        <f>'Salaries &amp; Wages'!N11</f>
        <v/>
      </c>
      <c r="S53" s="358" t="n"/>
      <c r="U53" s="355">
        <f>'Salaries &amp; Wages'!Q11</f>
        <v/>
      </c>
      <c r="V53" s="355">
        <f>'Salaries &amp; Wages'!R11</f>
        <v/>
      </c>
      <c r="W53" s="355">
        <f>'Salaries &amp; Wages'!S11</f>
        <v/>
      </c>
      <c r="X53" s="355">
        <f>'Salaries &amp; Wages'!T11</f>
        <v/>
      </c>
      <c r="Y53" s="355">
        <f>'Salaries &amp; Wages'!U11</f>
        <v/>
      </c>
      <c r="Z53" s="355">
        <f>'Salaries &amp; Wages'!V11</f>
        <v/>
      </c>
      <c r="AA53" s="355">
        <f>'Salaries &amp; Wages'!W11</f>
        <v/>
      </c>
      <c r="AB53" s="355">
        <f>'Salaries &amp; Wages'!X11</f>
        <v/>
      </c>
      <c r="AC53" s="355">
        <f>'Salaries &amp; Wages'!Y11</f>
        <v/>
      </c>
      <c r="AD53" s="355">
        <f>'Salaries &amp; Wages'!Z11</f>
        <v/>
      </c>
      <c r="AE53" s="355">
        <f>'Salaries &amp; Wages'!AA11</f>
        <v/>
      </c>
      <c r="AF53" s="355">
        <f>'Salaries &amp; Wages'!AB11</f>
        <v/>
      </c>
      <c r="AG53" s="358" t="n"/>
      <c r="AI53" s="355">
        <f>'Salaries &amp; Wages'!AE11</f>
        <v/>
      </c>
      <c r="AJ53" s="355">
        <f>'Salaries &amp; Wages'!AF11</f>
        <v/>
      </c>
      <c r="AK53" s="355">
        <f>'Salaries &amp; Wages'!AG11</f>
        <v/>
      </c>
      <c r="AL53" s="355">
        <f>'Salaries &amp; Wages'!AH11</f>
        <v/>
      </c>
      <c r="AM53" s="355">
        <f>'Salaries &amp; Wages'!AI11</f>
        <v/>
      </c>
      <c r="AN53" s="355">
        <f>'Salaries &amp; Wages'!AJ11</f>
        <v/>
      </c>
      <c r="AO53" s="355">
        <f>'Salaries &amp; Wages'!AK11</f>
        <v/>
      </c>
      <c r="AP53" s="355">
        <f>'Salaries &amp; Wages'!AL11</f>
        <v/>
      </c>
      <c r="AQ53" s="355">
        <f>'Salaries &amp; Wages'!AM11</f>
        <v/>
      </c>
      <c r="AR53" s="355">
        <f>'Salaries &amp; Wages'!AN11</f>
        <v/>
      </c>
      <c r="AS53" s="355">
        <f>'Salaries &amp; Wages'!AO11</f>
        <v/>
      </c>
      <c r="AT53" s="355">
        <f>'Salaries &amp; Wages'!AP11</f>
        <v/>
      </c>
      <c r="AU53" s="358" t="n"/>
      <c r="AW53" s="355">
        <f>'Salaries &amp; Wages'!AS11</f>
        <v/>
      </c>
      <c r="AX53" s="355">
        <f>'Salaries &amp; Wages'!AT11</f>
        <v/>
      </c>
      <c r="AY53" s="355">
        <f>'Salaries &amp; Wages'!AU11</f>
        <v/>
      </c>
      <c r="AZ53" s="355">
        <f>'Salaries &amp; Wages'!AV11</f>
        <v/>
      </c>
      <c r="BA53" s="355">
        <f>'Salaries &amp; Wages'!AW11</f>
        <v/>
      </c>
      <c r="BB53" s="355">
        <f>'Salaries &amp; Wages'!AX11</f>
        <v/>
      </c>
      <c r="BC53" s="355">
        <f>'Salaries &amp; Wages'!AY11</f>
        <v/>
      </c>
      <c r="BD53" s="355">
        <f>'Salaries &amp; Wages'!AZ11</f>
        <v/>
      </c>
      <c r="BE53" s="355">
        <f>'Salaries &amp; Wages'!BA11</f>
        <v/>
      </c>
      <c r="BF53" s="355">
        <f>'Salaries &amp; Wages'!BB11</f>
        <v/>
      </c>
      <c r="BG53" s="355">
        <f>'Salaries &amp; Wages'!BC11</f>
        <v/>
      </c>
      <c r="BH53" s="355">
        <f>'Salaries &amp; Wages'!BD11</f>
        <v/>
      </c>
      <c r="BI53" s="358" t="n"/>
    </row>
    <row r="54" outlineLevel="1" ht="20" customHeight="1">
      <c r="A54" s="441" t="n"/>
      <c r="B54" s="1325">
        <f>'Salaries &amp; Wages'!A12</f>
        <v/>
      </c>
      <c r="C54" s="46" t="n"/>
      <c r="D54" s="46" t="n">
        <v>0</v>
      </c>
      <c r="E54" s="46" t="n">
        <v>0</v>
      </c>
      <c r="F54" s="46" t="inlineStr">
        <is>
          <t xml:space="preserve"> </t>
        </is>
      </c>
      <c r="G54" s="355">
        <f>'Salaries &amp; Wages'!C12</f>
        <v/>
      </c>
      <c r="H54" s="355">
        <f>'Salaries &amp; Wages'!D12</f>
        <v/>
      </c>
      <c r="I54" s="355">
        <f>'Salaries &amp; Wages'!E12</f>
        <v/>
      </c>
      <c r="J54" s="355">
        <f>'Salaries &amp; Wages'!F12</f>
        <v/>
      </c>
      <c r="K54" s="355">
        <f>'Salaries &amp; Wages'!G12</f>
        <v/>
      </c>
      <c r="L54" s="355">
        <f>'Salaries &amp; Wages'!H12</f>
        <v/>
      </c>
      <c r="M54" s="355">
        <f>'Salaries &amp; Wages'!I12</f>
        <v/>
      </c>
      <c r="N54" s="355">
        <f>'Salaries &amp; Wages'!J12</f>
        <v/>
      </c>
      <c r="O54" s="355">
        <f>'Salaries &amp; Wages'!K12</f>
        <v/>
      </c>
      <c r="P54" s="355">
        <f>'Salaries &amp; Wages'!L12</f>
        <v/>
      </c>
      <c r="Q54" s="355">
        <f>'Salaries &amp; Wages'!M12</f>
        <v/>
      </c>
      <c r="R54" s="355">
        <f>'Salaries &amp; Wages'!N12</f>
        <v/>
      </c>
      <c r="S54" s="393">
        <f>SUM(G54:R54)</f>
        <v/>
      </c>
      <c r="U54" s="355">
        <f>'Salaries &amp; Wages'!Q12</f>
        <v/>
      </c>
      <c r="V54" s="355">
        <f>'Salaries &amp; Wages'!R12</f>
        <v/>
      </c>
      <c r="W54" s="355">
        <f>'Salaries &amp; Wages'!S12</f>
        <v/>
      </c>
      <c r="X54" s="355">
        <f>'Salaries &amp; Wages'!T12</f>
        <v/>
      </c>
      <c r="Y54" s="355">
        <f>'Salaries &amp; Wages'!U12</f>
        <v/>
      </c>
      <c r="Z54" s="355">
        <f>'Salaries &amp; Wages'!V12</f>
        <v/>
      </c>
      <c r="AA54" s="355">
        <f>'Salaries &amp; Wages'!W12</f>
        <v/>
      </c>
      <c r="AB54" s="355">
        <f>'Salaries &amp; Wages'!X12</f>
        <v/>
      </c>
      <c r="AC54" s="355">
        <f>'Salaries &amp; Wages'!Y12</f>
        <v/>
      </c>
      <c r="AD54" s="355">
        <f>'Salaries &amp; Wages'!Z12</f>
        <v/>
      </c>
      <c r="AE54" s="355">
        <f>'Salaries &amp; Wages'!AA12</f>
        <v/>
      </c>
      <c r="AF54" s="355">
        <f>'Salaries &amp; Wages'!AB12</f>
        <v/>
      </c>
      <c r="AG54" s="393">
        <f>SUM(U54:AF54)</f>
        <v/>
      </c>
      <c r="AI54" s="355">
        <f>'Salaries &amp; Wages'!AE12</f>
        <v/>
      </c>
      <c r="AJ54" s="355">
        <f>'Salaries &amp; Wages'!AF12</f>
        <v/>
      </c>
      <c r="AK54" s="355">
        <f>'Salaries &amp; Wages'!AG12</f>
        <v/>
      </c>
      <c r="AL54" s="355">
        <f>'Salaries &amp; Wages'!AH12</f>
        <v/>
      </c>
      <c r="AM54" s="355">
        <f>'Salaries &amp; Wages'!AI12</f>
        <v/>
      </c>
      <c r="AN54" s="355">
        <f>'Salaries &amp; Wages'!AJ12</f>
        <v/>
      </c>
      <c r="AO54" s="355">
        <f>'Salaries &amp; Wages'!AK12</f>
        <v/>
      </c>
      <c r="AP54" s="355">
        <f>'Salaries &amp; Wages'!AL12</f>
        <v/>
      </c>
      <c r="AQ54" s="355">
        <f>'Salaries &amp; Wages'!AM12</f>
        <v/>
      </c>
      <c r="AR54" s="355">
        <f>'Salaries &amp; Wages'!AN12</f>
        <v/>
      </c>
      <c r="AS54" s="355">
        <f>'Salaries &amp; Wages'!AO12</f>
        <v/>
      </c>
      <c r="AT54" s="355">
        <f>'Salaries &amp; Wages'!AP12</f>
        <v/>
      </c>
      <c r="AU54" s="393">
        <f>SUM(AI54:AT54)</f>
        <v/>
      </c>
      <c r="AW54" s="355">
        <f>'Salaries &amp; Wages'!AS12</f>
        <v/>
      </c>
      <c r="AX54" s="355">
        <f>'Salaries &amp; Wages'!AT12</f>
        <v/>
      </c>
      <c r="AY54" s="355">
        <f>'Salaries &amp; Wages'!AU12</f>
        <v/>
      </c>
      <c r="AZ54" s="355">
        <f>'Salaries &amp; Wages'!AV12</f>
        <v/>
      </c>
      <c r="BA54" s="355">
        <f>'Salaries &amp; Wages'!AW12</f>
        <v/>
      </c>
      <c r="BB54" s="355">
        <f>'Salaries &amp; Wages'!AX12</f>
        <v/>
      </c>
      <c r="BC54" s="355">
        <f>'Salaries &amp; Wages'!AY12</f>
        <v/>
      </c>
      <c r="BD54" s="355">
        <f>'Salaries &amp; Wages'!AZ12</f>
        <v/>
      </c>
      <c r="BE54" s="355">
        <f>'Salaries &amp; Wages'!BA12</f>
        <v/>
      </c>
      <c r="BF54" s="355">
        <f>'Salaries &amp; Wages'!BB12</f>
        <v/>
      </c>
      <c r="BG54" s="355">
        <f>'Salaries &amp; Wages'!BC12</f>
        <v/>
      </c>
      <c r="BH54" s="355">
        <f>'Salaries &amp; Wages'!BD12</f>
        <v/>
      </c>
      <c r="BI54" s="393">
        <f>SUM(AW54:BH54)</f>
        <v/>
      </c>
    </row>
    <row r="55" outlineLevel="1" ht="20" customHeight="1">
      <c r="A55" s="441" t="n"/>
      <c r="B55" s="1325">
        <f>'Salaries &amp; Wages'!A13</f>
        <v/>
      </c>
      <c r="C55" s="46" t="n"/>
      <c r="D55" s="46" t="n">
        <v>0</v>
      </c>
      <c r="E55" s="46" t="n">
        <v>0</v>
      </c>
      <c r="F55" s="46" t="inlineStr">
        <is>
          <t xml:space="preserve"> </t>
        </is>
      </c>
      <c r="G55" s="355">
        <f>'Salaries &amp; Wages'!C13</f>
        <v/>
      </c>
      <c r="H55" s="355">
        <f>'Salaries &amp; Wages'!D13</f>
        <v/>
      </c>
      <c r="I55" s="355">
        <f>'Salaries &amp; Wages'!E13</f>
        <v/>
      </c>
      <c r="J55" s="355">
        <f>'Salaries &amp; Wages'!F13</f>
        <v/>
      </c>
      <c r="K55" s="355">
        <f>'Salaries &amp; Wages'!G13</f>
        <v/>
      </c>
      <c r="L55" s="355">
        <f>'Salaries &amp; Wages'!H13</f>
        <v/>
      </c>
      <c r="M55" s="355">
        <f>'Salaries &amp; Wages'!I13</f>
        <v/>
      </c>
      <c r="N55" s="355">
        <f>'Salaries &amp; Wages'!J13</f>
        <v/>
      </c>
      <c r="O55" s="355">
        <f>'Salaries &amp; Wages'!K13</f>
        <v/>
      </c>
      <c r="P55" s="355">
        <f>'Salaries &amp; Wages'!L13</f>
        <v/>
      </c>
      <c r="Q55" s="355">
        <f>'Salaries &amp; Wages'!M13</f>
        <v/>
      </c>
      <c r="R55" s="355">
        <f>'Salaries &amp; Wages'!N13</f>
        <v/>
      </c>
      <c r="S55" s="393">
        <f>SUM(G55:R55)</f>
        <v/>
      </c>
      <c r="U55" s="355">
        <f>'Salaries &amp; Wages'!Q13</f>
        <v/>
      </c>
      <c r="V55" s="355">
        <f>'Salaries &amp; Wages'!R13</f>
        <v/>
      </c>
      <c r="W55" s="355">
        <f>'Salaries &amp; Wages'!S13</f>
        <v/>
      </c>
      <c r="X55" s="355">
        <f>'Salaries &amp; Wages'!T13</f>
        <v/>
      </c>
      <c r="Y55" s="355">
        <f>'Salaries &amp; Wages'!U13</f>
        <v/>
      </c>
      <c r="Z55" s="355">
        <f>'Salaries &amp; Wages'!V13</f>
        <v/>
      </c>
      <c r="AA55" s="355">
        <f>'Salaries &amp; Wages'!W13</f>
        <v/>
      </c>
      <c r="AB55" s="355">
        <f>'Salaries &amp; Wages'!X13</f>
        <v/>
      </c>
      <c r="AC55" s="355">
        <f>'Salaries &amp; Wages'!Y13</f>
        <v/>
      </c>
      <c r="AD55" s="355">
        <f>'Salaries &amp; Wages'!Z13</f>
        <v/>
      </c>
      <c r="AE55" s="355">
        <f>'Salaries &amp; Wages'!AA13</f>
        <v/>
      </c>
      <c r="AF55" s="355">
        <f>'Salaries &amp; Wages'!AB13</f>
        <v/>
      </c>
      <c r="AG55" s="393">
        <f>SUM(U55:AF55)</f>
        <v/>
      </c>
      <c r="AI55" s="355">
        <f>'Salaries &amp; Wages'!AE13</f>
        <v/>
      </c>
      <c r="AJ55" s="355">
        <f>'Salaries &amp; Wages'!AF13</f>
        <v/>
      </c>
      <c r="AK55" s="355">
        <f>'Salaries &amp; Wages'!AG13</f>
        <v/>
      </c>
      <c r="AL55" s="355">
        <f>'Salaries &amp; Wages'!AH13</f>
        <v/>
      </c>
      <c r="AM55" s="355">
        <f>'Salaries &amp; Wages'!AI13</f>
        <v/>
      </c>
      <c r="AN55" s="355">
        <f>'Salaries &amp; Wages'!AJ13</f>
        <v/>
      </c>
      <c r="AO55" s="355">
        <f>'Salaries &amp; Wages'!AK13</f>
        <v/>
      </c>
      <c r="AP55" s="355">
        <f>'Salaries &amp; Wages'!AL13</f>
        <v/>
      </c>
      <c r="AQ55" s="355">
        <f>'Salaries &amp; Wages'!AM13</f>
        <v/>
      </c>
      <c r="AR55" s="355">
        <f>'Salaries &amp; Wages'!AN13</f>
        <v/>
      </c>
      <c r="AS55" s="355">
        <f>'Salaries &amp; Wages'!AO13</f>
        <v/>
      </c>
      <c r="AT55" s="355">
        <f>'Salaries &amp; Wages'!AP13</f>
        <v/>
      </c>
      <c r="AU55" s="393">
        <f>SUM(AI55:AT55)</f>
        <v/>
      </c>
      <c r="AW55" s="355">
        <f>'Salaries &amp; Wages'!AS13</f>
        <v/>
      </c>
      <c r="AX55" s="355">
        <f>'Salaries &amp; Wages'!AT13</f>
        <v/>
      </c>
      <c r="AY55" s="355">
        <f>'Salaries &amp; Wages'!AU13</f>
        <v/>
      </c>
      <c r="AZ55" s="355">
        <f>'Salaries &amp; Wages'!AV13</f>
        <v/>
      </c>
      <c r="BA55" s="355">
        <f>'Salaries &amp; Wages'!AW13</f>
        <v/>
      </c>
      <c r="BB55" s="355">
        <f>'Salaries &amp; Wages'!AX13</f>
        <v/>
      </c>
      <c r="BC55" s="355">
        <f>'Salaries &amp; Wages'!AY13</f>
        <v/>
      </c>
      <c r="BD55" s="355">
        <f>'Salaries &amp; Wages'!AZ13</f>
        <v/>
      </c>
      <c r="BE55" s="355">
        <f>'Salaries &amp; Wages'!BA13</f>
        <v/>
      </c>
      <c r="BF55" s="355">
        <f>'Salaries &amp; Wages'!BB13</f>
        <v/>
      </c>
      <c r="BG55" s="355">
        <f>'Salaries &amp; Wages'!BC13</f>
        <v/>
      </c>
      <c r="BH55" s="355">
        <f>'Salaries &amp; Wages'!BD13</f>
        <v/>
      </c>
      <c r="BI55" s="393">
        <f>SUM(AW55:BH55)</f>
        <v/>
      </c>
    </row>
    <row r="56" outlineLevel="1" ht="20" customHeight="1">
      <c r="A56" s="441" t="n"/>
      <c r="B56" s="1325">
        <f>'Salaries &amp; Wages'!A14</f>
        <v/>
      </c>
      <c r="C56" s="46" t="n"/>
      <c r="D56" s="46" t="n">
        <v>2000</v>
      </c>
      <c r="E56" s="46" t="n">
        <v>2000</v>
      </c>
      <c r="F56" s="46" t="inlineStr">
        <is>
          <t xml:space="preserve"> </t>
        </is>
      </c>
      <c r="G56" s="355">
        <f>'Salaries &amp; Wages'!C14</f>
        <v/>
      </c>
      <c r="H56" s="355">
        <f>'Salaries &amp; Wages'!D14</f>
        <v/>
      </c>
      <c r="I56" s="355">
        <f>'Salaries &amp; Wages'!E14</f>
        <v/>
      </c>
      <c r="J56" s="355">
        <f>'Salaries &amp; Wages'!F14</f>
        <v/>
      </c>
      <c r="K56" s="355">
        <f>'Salaries &amp; Wages'!G14</f>
        <v/>
      </c>
      <c r="L56" s="355">
        <f>'Salaries &amp; Wages'!H14</f>
        <v/>
      </c>
      <c r="M56" s="355">
        <f>'Salaries &amp; Wages'!I14</f>
        <v/>
      </c>
      <c r="N56" s="355">
        <f>'Salaries &amp; Wages'!J14</f>
        <v/>
      </c>
      <c r="O56" s="355">
        <f>'Salaries &amp; Wages'!K14</f>
        <v/>
      </c>
      <c r="P56" s="355">
        <f>'Salaries &amp; Wages'!L14</f>
        <v/>
      </c>
      <c r="Q56" s="355">
        <f>'Salaries &amp; Wages'!M14</f>
        <v/>
      </c>
      <c r="R56" s="355">
        <f>'Salaries &amp; Wages'!N14</f>
        <v/>
      </c>
      <c r="S56" s="393" t="n"/>
      <c r="U56" s="355">
        <f>'Salaries &amp; Wages'!Q14</f>
        <v/>
      </c>
      <c r="V56" s="355">
        <f>'Salaries &amp; Wages'!R14</f>
        <v/>
      </c>
      <c r="W56" s="355">
        <f>'Salaries &amp; Wages'!S14</f>
        <v/>
      </c>
      <c r="X56" s="355">
        <f>'Salaries &amp; Wages'!T14</f>
        <v/>
      </c>
      <c r="Y56" s="355">
        <f>'Salaries &amp; Wages'!U14</f>
        <v/>
      </c>
      <c r="Z56" s="355">
        <f>'Salaries &amp; Wages'!V14</f>
        <v/>
      </c>
      <c r="AA56" s="355">
        <f>'Salaries &amp; Wages'!W14</f>
        <v/>
      </c>
      <c r="AB56" s="355">
        <f>'Salaries &amp; Wages'!X14</f>
        <v/>
      </c>
      <c r="AC56" s="355">
        <f>'Salaries &amp; Wages'!Y14</f>
        <v/>
      </c>
      <c r="AD56" s="355">
        <f>'Salaries &amp; Wages'!Z14</f>
        <v/>
      </c>
      <c r="AE56" s="355">
        <f>'Salaries &amp; Wages'!AA14</f>
        <v/>
      </c>
      <c r="AF56" s="355">
        <f>'Salaries &amp; Wages'!AB14</f>
        <v/>
      </c>
      <c r="AG56" s="393" t="n"/>
      <c r="AI56" s="355">
        <f>'Salaries &amp; Wages'!AE14</f>
        <v/>
      </c>
      <c r="AJ56" s="355">
        <f>'Salaries &amp; Wages'!AF14</f>
        <v/>
      </c>
      <c r="AK56" s="355">
        <f>'Salaries &amp; Wages'!AG14</f>
        <v/>
      </c>
      <c r="AL56" s="355">
        <f>'Salaries &amp; Wages'!AH14</f>
        <v/>
      </c>
      <c r="AM56" s="355">
        <f>'Salaries &amp; Wages'!AI14</f>
        <v/>
      </c>
      <c r="AN56" s="355">
        <f>'Salaries &amp; Wages'!AJ14</f>
        <v/>
      </c>
      <c r="AO56" s="355">
        <f>'Salaries &amp; Wages'!AK14</f>
        <v/>
      </c>
      <c r="AP56" s="355">
        <f>'Salaries &amp; Wages'!AL14</f>
        <v/>
      </c>
      <c r="AQ56" s="355">
        <f>'Salaries &amp; Wages'!AM14</f>
        <v/>
      </c>
      <c r="AR56" s="355">
        <f>'Salaries &amp; Wages'!AN14</f>
        <v/>
      </c>
      <c r="AS56" s="355">
        <f>'Salaries &amp; Wages'!AO14</f>
        <v/>
      </c>
      <c r="AT56" s="355">
        <f>'Salaries &amp; Wages'!AP14</f>
        <v/>
      </c>
      <c r="AU56" s="393" t="n"/>
      <c r="AW56" s="355">
        <f>'Salaries &amp; Wages'!AS14</f>
        <v/>
      </c>
      <c r="AX56" s="355">
        <f>'Salaries &amp; Wages'!AT14</f>
        <v/>
      </c>
      <c r="AY56" s="355">
        <f>'Salaries &amp; Wages'!AU14</f>
        <v/>
      </c>
      <c r="AZ56" s="355">
        <f>'Salaries &amp; Wages'!AV14</f>
        <v/>
      </c>
      <c r="BA56" s="355">
        <f>'Salaries &amp; Wages'!AW14</f>
        <v/>
      </c>
      <c r="BB56" s="355">
        <f>'Salaries &amp; Wages'!AX14</f>
        <v/>
      </c>
      <c r="BC56" s="355">
        <f>'Salaries &amp; Wages'!AY14</f>
        <v/>
      </c>
      <c r="BD56" s="355">
        <f>'Salaries &amp; Wages'!AZ14</f>
        <v/>
      </c>
      <c r="BE56" s="355">
        <f>'Salaries &amp; Wages'!BA14</f>
        <v/>
      </c>
      <c r="BF56" s="355">
        <f>'Salaries &amp; Wages'!BB14</f>
        <v/>
      </c>
      <c r="BG56" s="355">
        <f>'Salaries &amp; Wages'!BC14</f>
        <v/>
      </c>
      <c r="BH56" s="355">
        <f>'Salaries &amp; Wages'!BD14</f>
        <v/>
      </c>
      <c r="BI56" s="393" t="n"/>
    </row>
    <row r="57" outlineLevel="1" ht="20" customHeight="1">
      <c r="A57" s="441" t="n"/>
      <c r="B57" s="1325">
        <f>'Salaries &amp; Wages'!A15</f>
        <v/>
      </c>
      <c r="C57" s="46" t="n"/>
      <c r="D57" s="46" t="n">
        <v>0</v>
      </c>
      <c r="E57" s="46" t="n">
        <v>6000</v>
      </c>
      <c r="F57" s="46" t="inlineStr">
        <is>
          <t xml:space="preserve"> </t>
        </is>
      </c>
      <c r="G57" s="355">
        <f>'Salaries &amp; Wages'!C15</f>
        <v/>
      </c>
      <c r="H57" s="355">
        <f>'Salaries &amp; Wages'!D15</f>
        <v/>
      </c>
      <c r="I57" s="355">
        <f>'Salaries &amp; Wages'!E15</f>
        <v/>
      </c>
      <c r="J57" s="355">
        <f>'Salaries &amp; Wages'!F15</f>
        <v/>
      </c>
      <c r="K57" s="355">
        <f>'Salaries &amp; Wages'!G15</f>
        <v/>
      </c>
      <c r="L57" s="355">
        <f>'Salaries &amp; Wages'!H15</f>
        <v/>
      </c>
      <c r="M57" s="355">
        <f>'Salaries &amp; Wages'!I15</f>
        <v/>
      </c>
      <c r="N57" s="355">
        <f>'Salaries &amp; Wages'!J15</f>
        <v/>
      </c>
      <c r="O57" s="355">
        <f>'Salaries &amp; Wages'!K15</f>
        <v/>
      </c>
      <c r="P57" s="355">
        <f>'Salaries &amp; Wages'!L15</f>
        <v/>
      </c>
      <c r="Q57" s="355">
        <f>'Salaries &amp; Wages'!M15</f>
        <v/>
      </c>
      <c r="R57" s="355">
        <f>'Salaries &amp; Wages'!N15</f>
        <v/>
      </c>
      <c r="S57" s="358">
        <f>SUM(G57:R57)</f>
        <v/>
      </c>
      <c r="U57" s="355">
        <f>'Salaries &amp; Wages'!Q15</f>
        <v/>
      </c>
      <c r="V57" s="355">
        <f>'Salaries &amp; Wages'!R15</f>
        <v/>
      </c>
      <c r="W57" s="355">
        <f>'Salaries &amp; Wages'!S15</f>
        <v/>
      </c>
      <c r="X57" s="355">
        <f>'Salaries &amp; Wages'!T15</f>
        <v/>
      </c>
      <c r="Y57" s="355">
        <f>'Salaries &amp; Wages'!U15</f>
        <v/>
      </c>
      <c r="Z57" s="355">
        <f>'Salaries &amp; Wages'!V15</f>
        <v/>
      </c>
      <c r="AA57" s="355">
        <f>'Salaries &amp; Wages'!W15</f>
        <v/>
      </c>
      <c r="AB57" s="355">
        <f>'Salaries &amp; Wages'!X15</f>
        <v/>
      </c>
      <c r="AC57" s="355">
        <f>'Salaries &amp; Wages'!Y15</f>
        <v/>
      </c>
      <c r="AD57" s="355">
        <f>'Salaries &amp; Wages'!Z15</f>
        <v/>
      </c>
      <c r="AE57" s="355">
        <f>'Salaries &amp; Wages'!AA15</f>
        <v/>
      </c>
      <c r="AF57" s="355">
        <f>'Salaries &amp; Wages'!AB15</f>
        <v/>
      </c>
      <c r="AG57" s="358">
        <f>SUM(U57:AF57)</f>
        <v/>
      </c>
      <c r="AI57" s="355">
        <f>'Salaries &amp; Wages'!AE15</f>
        <v/>
      </c>
      <c r="AJ57" s="355">
        <f>'Salaries &amp; Wages'!AF15</f>
        <v/>
      </c>
      <c r="AK57" s="355">
        <f>'Salaries &amp; Wages'!AG15</f>
        <v/>
      </c>
      <c r="AL57" s="355">
        <f>'Salaries &amp; Wages'!AH15</f>
        <v/>
      </c>
      <c r="AM57" s="355">
        <f>'Salaries &amp; Wages'!AI15</f>
        <v/>
      </c>
      <c r="AN57" s="355">
        <f>'Salaries &amp; Wages'!AJ15</f>
        <v/>
      </c>
      <c r="AO57" s="355">
        <f>'Salaries &amp; Wages'!AK15</f>
        <v/>
      </c>
      <c r="AP57" s="355">
        <f>'Salaries &amp; Wages'!AL15</f>
        <v/>
      </c>
      <c r="AQ57" s="355">
        <f>'Salaries &amp; Wages'!AM15</f>
        <v/>
      </c>
      <c r="AR57" s="355">
        <f>'Salaries &amp; Wages'!AN15</f>
        <v/>
      </c>
      <c r="AS57" s="355">
        <f>'Salaries &amp; Wages'!AO15</f>
        <v/>
      </c>
      <c r="AT57" s="355">
        <f>'Salaries &amp; Wages'!AP15</f>
        <v/>
      </c>
      <c r="AU57" s="358">
        <f>SUM(AI57:AT57)</f>
        <v/>
      </c>
      <c r="AW57" s="355">
        <f>'Salaries &amp; Wages'!AS15</f>
        <v/>
      </c>
      <c r="AX57" s="355">
        <f>'Salaries &amp; Wages'!AT15</f>
        <v/>
      </c>
      <c r="AY57" s="355">
        <f>'Salaries &amp; Wages'!AU15</f>
        <v/>
      </c>
      <c r="AZ57" s="355">
        <f>'Salaries &amp; Wages'!AV15</f>
        <v/>
      </c>
      <c r="BA57" s="355">
        <f>'Salaries &amp; Wages'!AW15</f>
        <v/>
      </c>
      <c r="BB57" s="355">
        <f>'Salaries &amp; Wages'!AX15</f>
        <v/>
      </c>
      <c r="BC57" s="355">
        <f>'Salaries &amp; Wages'!AY15</f>
        <v/>
      </c>
      <c r="BD57" s="355">
        <f>'Salaries &amp; Wages'!AZ15</f>
        <v/>
      </c>
      <c r="BE57" s="355">
        <f>'Salaries &amp; Wages'!BA15</f>
        <v/>
      </c>
      <c r="BF57" s="355">
        <f>'Salaries &amp; Wages'!BB15</f>
        <v/>
      </c>
      <c r="BG57" s="355">
        <f>'Salaries &amp; Wages'!BC15</f>
        <v/>
      </c>
      <c r="BH57" s="355">
        <f>'Salaries &amp; Wages'!BD15</f>
        <v/>
      </c>
      <c r="BI57" s="358">
        <f>SUM(AW57:BH57)</f>
        <v/>
      </c>
    </row>
    <row r="58" outlineLevel="1" ht="20" customHeight="1">
      <c r="A58" s="441" t="n"/>
      <c r="B58" s="1325">
        <f>'Salaries &amp; Wages'!A16</f>
        <v/>
      </c>
      <c r="C58" s="46" t="n"/>
      <c r="D58" s="46" t="n">
        <v>0</v>
      </c>
      <c r="E58" s="46" t="n">
        <v>0</v>
      </c>
      <c r="F58" s="46" t="inlineStr">
        <is>
          <t xml:space="preserve"> </t>
        </is>
      </c>
      <c r="G58" s="355">
        <f>'Salaries &amp; Wages'!C16</f>
        <v/>
      </c>
      <c r="H58" s="355">
        <f>'Salaries &amp; Wages'!D16</f>
        <v/>
      </c>
      <c r="I58" s="355">
        <f>'Salaries &amp; Wages'!E16</f>
        <v/>
      </c>
      <c r="J58" s="355">
        <f>'Salaries &amp; Wages'!F16</f>
        <v/>
      </c>
      <c r="K58" s="355">
        <f>'Salaries &amp; Wages'!G16</f>
        <v/>
      </c>
      <c r="L58" s="355">
        <f>'Salaries &amp; Wages'!H16</f>
        <v/>
      </c>
      <c r="M58" s="355">
        <f>'Salaries &amp; Wages'!I16</f>
        <v/>
      </c>
      <c r="N58" s="355">
        <f>'Salaries &amp; Wages'!J16</f>
        <v/>
      </c>
      <c r="O58" s="355">
        <f>'Salaries &amp; Wages'!K16</f>
        <v/>
      </c>
      <c r="P58" s="355">
        <f>'Salaries &amp; Wages'!L16</f>
        <v/>
      </c>
      <c r="Q58" s="355">
        <f>'Salaries &amp; Wages'!M16</f>
        <v/>
      </c>
      <c r="R58" s="355">
        <f>'Salaries &amp; Wages'!N16</f>
        <v/>
      </c>
      <c r="S58" s="393">
        <f>SUM(G58:R58)</f>
        <v/>
      </c>
      <c r="U58" s="355">
        <f>'Salaries &amp; Wages'!Q16</f>
        <v/>
      </c>
      <c r="V58" s="355">
        <f>'Salaries &amp; Wages'!R16</f>
        <v/>
      </c>
      <c r="W58" s="355">
        <f>'Salaries &amp; Wages'!S16</f>
        <v/>
      </c>
      <c r="X58" s="355">
        <f>'Salaries &amp; Wages'!T16</f>
        <v/>
      </c>
      <c r="Y58" s="355">
        <f>'Salaries &amp; Wages'!U16</f>
        <v/>
      </c>
      <c r="Z58" s="355">
        <f>'Salaries &amp; Wages'!V16</f>
        <v/>
      </c>
      <c r="AA58" s="355">
        <f>'Salaries &amp; Wages'!W16</f>
        <v/>
      </c>
      <c r="AB58" s="355">
        <f>'Salaries &amp; Wages'!X16</f>
        <v/>
      </c>
      <c r="AC58" s="355">
        <f>'Salaries &amp; Wages'!Y16</f>
        <v/>
      </c>
      <c r="AD58" s="355">
        <f>'Salaries &amp; Wages'!Z16</f>
        <v/>
      </c>
      <c r="AE58" s="355">
        <f>'Salaries &amp; Wages'!AA16</f>
        <v/>
      </c>
      <c r="AF58" s="355">
        <f>'Salaries &amp; Wages'!AB16</f>
        <v/>
      </c>
      <c r="AG58" s="393">
        <f>SUM(U58:AF58)</f>
        <v/>
      </c>
      <c r="AI58" s="355">
        <f>'Salaries &amp; Wages'!AE16</f>
        <v/>
      </c>
      <c r="AJ58" s="355">
        <f>'Salaries &amp; Wages'!AF16</f>
        <v/>
      </c>
      <c r="AK58" s="355">
        <f>'Salaries &amp; Wages'!AG16</f>
        <v/>
      </c>
      <c r="AL58" s="355">
        <f>'Salaries &amp; Wages'!AH16</f>
        <v/>
      </c>
      <c r="AM58" s="355">
        <f>'Salaries &amp; Wages'!AI16</f>
        <v/>
      </c>
      <c r="AN58" s="355">
        <f>'Salaries &amp; Wages'!AJ16</f>
        <v/>
      </c>
      <c r="AO58" s="355">
        <f>'Salaries &amp; Wages'!AK16</f>
        <v/>
      </c>
      <c r="AP58" s="355">
        <f>'Salaries &amp; Wages'!AL16</f>
        <v/>
      </c>
      <c r="AQ58" s="355">
        <f>'Salaries &amp; Wages'!AM16</f>
        <v/>
      </c>
      <c r="AR58" s="355">
        <f>'Salaries &amp; Wages'!AN16</f>
        <v/>
      </c>
      <c r="AS58" s="355">
        <f>'Salaries &amp; Wages'!AO16</f>
        <v/>
      </c>
      <c r="AT58" s="355">
        <f>'Salaries &amp; Wages'!AP16</f>
        <v/>
      </c>
      <c r="AU58" s="393">
        <f>SUM(AI58:AT58)</f>
        <v/>
      </c>
      <c r="AW58" s="355">
        <f>'Salaries &amp; Wages'!AS16</f>
        <v/>
      </c>
      <c r="AX58" s="355">
        <f>'Salaries &amp; Wages'!AT16</f>
        <v/>
      </c>
      <c r="AY58" s="355">
        <f>'Salaries &amp; Wages'!AU16</f>
        <v/>
      </c>
      <c r="AZ58" s="355">
        <f>'Salaries &amp; Wages'!AV16</f>
        <v/>
      </c>
      <c r="BA58" s="355">
        <f>'Salaries &amp; Wages'!AW16</f>
        <v/>
      </c>
      <c r="BB58" s="355">
        <f>'Salaries &amp; Wages'!AX16</f>
        <v/>
      </c>
      <c r="BC58" s="355">
        <f>'Salaries &amp; Wages'!AY16</f>
        <v/>
      </c>
      <c r="BD58" s="355">
        <f>'Salaries &amp; Wages'!AZ16</f>
        <v/>
      </c>
      <c r="BE58" s="355">
        <f>'Salaries &amp; Wages'!BA16</f>
        <v/>
      </c>
      <c r="BF58" s="355">
        <f>'Salaries &amp; Wages'!BB16</f>
        <v/>
      </c>
      <c r="BG58" s="355">
        <f>'Salaries &amp; Wages'!BC16</f>
        <v/>
      </c>
      <c r="BH58" s="355">
        <f>'Salaries &amp; Wages'!BD16</f>
        <v/>
      </c>
      <c r="BI58" s="393">
        <f>SUM(AW58:BH58)</f>
        <v/>
      </c>
    </row>
    <row r="59" outlineLevel="1" ht="20" customHeight="1">
      <c r="A59" s="441" t="n"/>
      <c r="B59" s="1325">
        <f>'Salaries &amp; Wages'!A17</f>
        <v/>
      </c>
      <c r="C59" s="46" t="n"/>
      <c r="D59" s="46" t="n">
        <v>0</v>
      </c>
      <c r="E59" s="46" t="n">
        <v>0</v>
      </c>
      <c r="F59" s="46" t="inlineStr">
        <is>
          <t xml:space="preserve"> </t>
        </is>
      </c>
      <c r="G59" s="355">
        <f>'Salaries &amp; Wages'!C17</f>
        <v/>
      </c>
      <c r="H59" s="355">
        <f>'Salaries &amp; Wages'!D17</f>
        <v/>
      </c>
      <c r="I59" s="355">
        <f>'Salaries &amp; Wages'!E17</f>
        <v/>
      </c>
      <c r="J59" s="355">
        <f>'Salaries &amp; Wages'!F17</f>
        <v/>
      </c>
      <c r="K59" s="355">
        <f>'Salaries &amp; Wages'!G17</f>
        <v/>
      </c>
      <c r="L59" s="355">
        <f>'Salaries &amp; Wages'!H17</f>
        <v/>
      </c>
      <c r="M59" s="355">
        <f>'Salaries &amp; Wages'!I17</f>
        <v/>
      </c>
      <c r="N59" s="355">
        <f>'Salaries &amp; Wages'!J17</f>
        <v/>
      </c>
      <c r="O59" s="355">
        <f>'Salaries &amp; Wages'!K17</f>
        <v/>
      </c>
      <c r="P59" s="355">
        <f>'Salaries &amp; Wages'!L17</f>
        <v/>
      </c>
      <c r="Q59" s="355">
        <f>'Salaries &amp; Wages'!M17</f>
        <v/>
      </c>
      <c r="R59" s="355">
        <f>'Salaries &amp; Wages'!N17</f>
        <v/>
      </c>
      <c r="S59" s="393" t="n"/>
      <c r="U59" s="355">
        <f>'Salaries &amp; Wages'!Q17</f>
        <v/>
      </c>
      <c r="V59" s="355">
        <f>'Salaries &amp; Wages'!R17</f>
        <v/>
      </c>
      <c r="W59" s="355">
        <f>'Salaries &amp; Wages'!S17</f>
        <v/>
      </c>
      <c r="X59" s="355">
        <f>'Salaries &amp; Wages'!T17</f>
        <v/>
      </c>
      <c r="Y59" s="355">
        <f>'Salaries &amp; Wages'!U17</f>
        <v/>
      </c>
      <c r="Z59" s="355">
        <f>'Salaries &amp; Wages'!V17</f>
        <v/>
      </c>
      <c r="AA59" s="355">
        <f>'Salaries &amp; Wages'!W17</f>
        <v/>
      </c>
      <c r="AB59" s="355">
        <f>'Salaries &amp; Wages'!X17</f>
        <v/>
      </c>
      <c r="AC59" s="355">
        <f>'Salaries &amp; Wages'!Y17</f>
        <v/>
      </c>
      <c r="AD59" s="355">
        <f>'Salaries &amp; Wages'!Z17</f>
        <v/>
      </c>
      <c r="AE59" s="355">
        <f>'Salaries &amp; Wages'!AA17</f>
        <v/>
      </c>
      <c r="AF59" s="355">
        <f>'Salaries &amp; Wages'!AB17</f>
        <v/>
      </c>
      <c r="AG59" s="393" t="n"/>
      <c r="AI59" s="355">
        <f>'Salaries &amp; Wages'!AE17</f>
        <v/>
      </c>
      <c r="AJ59" s="355">
        <f>'Salaries &amp; Wages'!AF17</f>
        <v/>
      </c>
      <c r="AK59" s="355">
        <f>'Salaries &amp; Wages'!AG17</f>
        <v/>
      </c>
      <c r="AL59" s="355">
        <f>'Salaries &amp; Wages'!AH17</f>
        <v/>
      </c>
      <c r="AM59" s="355">
        <f>'Salaries &amp; Wages'!AI17</f>
        <v/>
      </c>
      <c r="AN59" s="355">
        <f>'Salaries &amp; Wages'!AJ17</f>
        <v/>
      </c>
      <c r="AO59" s="355">
        <f>'Salaries &amp; Wages'!AK17</f>
        <v/>
      </c>
      <c r="AP59" s="355">
        <f>'Salaries &amp; Wages'!AL17</f>
        <v/>
      </c>
      <c r="AQ59" s="355">
        <f>'Salaries &amp; Wages'!AM17</f>
        <v/>
      </c>
      <c r="AR59" s="355">
        <f>'Salaries &amp; Wages'!AN17</f>
        <v/>
      </c>
      <c r="AS59" s="355">
        <f>'Salaries &amp; Wages'!AO17</f>
        <v/>
      </c>
      <c r="AT59" s="355">
        <f>'Salaries &amp; Wages'!AP17</f>
        <v/>
      </c>
      <c r="AU59" s="393" t="n"/>
      <c r="AW59" s="355">
        <f>'Salaries &amp; Wages'!AS17</f>
        <v/>
      </c>
      <c r="AX59" s="355">
        <f>'Salaries &amp; Wages'!AT17</f>
        <v/>
      </c>
      <c r="AY59" s="355">
        <f>'Salaries &amp; Wages'!AU17</f>
        <v/>
      </c>
      <c r="AZ59" s="355">
        <f>'Salaries &amp; Wages'!AV17</f>
        <v/>
      </c>
      <c r="BA59" s="355">
        <f>'Salaries &amp; Wages'!AW17</f>
        <v/>
      </c>
      <c r="BB59" s="355">
        <f>'Salaries &amp; Wages'!AX17</f>
        <v/>
      </c>
      <c r="BC59" s="355">
        <f>'Salaries &amp; Wages'!AY17</f>
        <v/>
      </c>
      <c r="BD59" s="355">
        <f>'Salaries &amp; Wages'!AZ17</f>
        <v/>
      </c>
      <c r="BE59" s="355">
        <f>'Salaries &amp; Wages'!BA17</f>
        <v/>
      </c>
      <c r="BF59" s="355">
        <f>'Salaries &amp; Wages'!BB17</f>
        <v/>
      </c>
      <c r="BG59" s="355">
        <f>'Salaries &amp; Wages'!BC17</f>
        <v/>
      </c>
      <c r="BH59" s="355">
        <f>'Salaries &amp; Wages'!BD17</f>
        <v/>
      </c>
      <c r="BI59" s="393" t="n"/>
    </row>
    <row r="60" outlineLevel="1" ht="20" customHeight="1">
      <c r="A60" s="441" t="n"/>
      <c r="B60" s="1325">
        <f>'Salaries &amp; Wages'!A18</f>
        <v/>
      </c>
      <c r="C60" s="46" t="n"/>
      <c r="D60" s="46" t="n">
        <v>0</v>
      </c>
      <c r="E60" s="46" t="n">
        <v>0</v>
      </c>
      <c r="F60" s="46" t="inlineStr">
        <is>
          <t xml:space="preserve"> </t>
        </is>
      </c>
      <c r="G60" s="355">
        <f>'Salaries &amp; Wages'!C18</f>
        <v/>
      </c>
      <c r="H60" s="355">
        <f>'Salaries &amp; Wages'!D18</f>
        <v/>
      </c>
      <c r="I60" s="355">
        <f>'Salaries &amp; Wages'!E18</f>
        <v/>
      </c>
      <c r="J60" s="355">
        <f>'Salaries &amp; Wages'!F18</f>
        <v/>
      </c>
      <c r="K60" s="355">
        <f>'Salaries &amp; Wages'!G18</f>
        <v/>
      </c>
      <c r="L60" s="355">
        <f>'Salaries &amp; Wages'!H18</f>
        <v/>
      </c>
      <c r="M60" s="355">
        <f>'Salaries &amp; Wages'!I18</f>
        <v/>
      </c>
      <c r="N60" s="355">
        <f>'Salaries &amp; Wages'!J18</f>
        <v/>
      </c>
      <c r="O60" s="355">
        <f>'Salaries &amp; Wages'!K18</f>
        <v/>
      </c>
      <c r="P60" s="355">
        <f>'Salaries &amp; Wages'!L18</f>
        <v/>
      </c>
      <c r="Q60" s="355">
        <f>'Salaries &amp; Wages'!M18</f>
        <v/>
      </c>
      <c r="R60" s="355">
        <f>'Salaries &amp; Wages'!N18</f>
        <v/>
      </c>
      <c r="S60" s="393">
        <f>SUM(G60:R60)</f>
        <v/>
      </c>
      <c r="U60" s="355">
        <f>'Salaries &amp; Wages'!Q18</f>
        <v/>
      </c>
      <c r="V60" s="355">
        <f>'Salaries &amp; Wages'!R18</f>
        <v/>
      </c>
      <c r="W60" s="355">
        <f>'Salaries &amp; Wages'!S18</f>
        <v/>
      </c>
      <c r="X60" s="355">
        <f>'Salaries &amp; Wages'!T18</f>
        <v/>
      </c>
      <c r="Y60" s="355">
        <f>'Salaries &amp; Wages'!U18</f>
        <v/>
      </c>
      <c r="Z60" s="355">
        <f>'Salaries &amp; Wages'!V18</f>
        <v/>
      </c>
      <c r="AA60" s="355">
        <f>'Salaries &amp; Wages'!W18</f>
        <v/>
      </c>
      <c r="AB60" s="355">
        <f>'Salaries &amp; Wages'!X18</f>
        <v/>
      </c>
      <c r="AC60" s="355">
        <f>'Salaries &amp; Wages'!Y18</f>
        <v/>
      </c>
      <c r="AD60" s="355">
        <f>'Salaries &amp; Wages'!Z18</f>
        <v/>
      </c>
      <c r="AE60" s="355">
        <f>'Salaries &amp; Wages'!AA18</f>
        <v/>
      </c>
      <c r="AF60" s="355">
        <f>'Salaries &amp; Wages'!AB18</f>
        <v/>
      </c>
      <c r="AG60" s="393">
        <f>SUM(U60:AF60)</f>
        <v/>
      </c>
      <c r="AI60" s="355">
        <f>'Salaries &amp; Wages'!AE18</f>
        <v/>
      </c>
      <c r="AJ60" s="355">
        <f>'Salaries &amp; Wages'!AF18</f>
        <v/>
      </c>
      <c r="AK60" s="355">
        <f>'Salaries &amp; Wages'!AG18</f>
        <v/>
      </c>
      <c r="AL60" s="355">
        <f>'Salaries &amp; Wages'!AH18</f>
        <v/>
      </c>
      <c r="AM60" s="355">
        <f>'Salaries &amp; Wages'!AI18</f>
        <v/>
      </c>
      <c r="AN60" s="355">
        <f>'Salaries &amp; Wages'!AJ18</f>
        <v/>
      </c>
      <c r="AO60" s="355">
        <f>'Salaries &amp; Wages'!AK18</f>
        <v/>
      </c>
      <c r="AP60" s="355">
        <f>'Salaries &amp; Wages'!AL18</f>
        <v/>
      </c>
      <c r="AQ60" s="355">
        <f>'Salaries &amp; Wages'!AM18</f>
        <v/>
      </c>
      <c r="AR60" s="355">
        <f>'Salaries &amp; Wages'!AN18</f>
        <v/>
      </c>
      <c r="AS60" s="355">
        <f>'Salaries &amp; Wages'!AO18</f>
        <v/>
      </c>
      <c r="AT60" s="355">
        <f>'Salaries &amp; Wages'!AP18</f>
        <v/>
      </c>
      <c r="AU60" s="393">
        <f>SUM(AI60:AT60)</f>
        <v/>
      </c>
      <c r="AW60" s="355">
        <f>'Salaries &amp; Wages'!AS18</f>
        <v/>
      </c>
      <c r="AX60" s="355">
        <f>'Salaries &amp; Wages'!AT18</f>
        <v/>
      </c>
      <c r="AY60" s="355">
        <f>'Salaries &amp; Wages'!AU18</f>
        <v/>
      </c>
      <c r="AZ60" s="355">
        <f>'Salaries &amp; Wages'!AV18</f>
        <v/>
      </c>
      <c r="BA60" s="355">
        <f>'Salaries &amp; Wages'!AW18</f>
        <v/>
      </c>
      <c r="BB60" s="355">
        <f>'Salaries &amp; Wages'!AX18</f>
        <v/>
      </c>
      <c r="BC60" s="355">
        <f>'Salaries &amp; Wages'!AY18</f>
        <v/>
      </c>
      <c r="BD60" s="355">
        <f>'Salaries &amp; Wages'!AZ18</f>
        <v/>
      </c>
      <c r="BE60" s="355">
        <f>'Salaries &amp; Wages'!BA18</f>
        <v/>
      </c>
      <c r="BF60" s="355">
        <f>'Salaries &amp; Wages'!BB18</f>
        <v/>
      </c>
      <c r="BG60" s="355">
        <f>'Salaries &amp; Wages'!BC18</f>
        <v/>
      </c>
      <c r="BH60" s="355">
        <f>'Salaries &amp; Wages'!BD18</f>
        <v/>
      </c>
      <c r="BI60" s="393">
        <f>SUM(AW60:BH60)</f>
        <v/>
      </c>
    </row>
    <row r="61" outlineLevel="1" ht="20" customHeight="1">
      <c r="A61" s="441" t="n"/>
      <c r="B61" s="1325">
        <f>'Salaries &amp; Wages'!A19</f>
        <v/>
      </c>
      <c r="C61" s="46" t="n"/>
      <c r="D61" s="46" t="n">
        <v>0</v>
      </c>
      <c r="E61" s="46" t="n">
        <v>0</v>
      </c>
      <c r="F61" s="46" t="inlineStr">
        <is>
          <t xml:space="preserve"> </t>
        </is>
      </c>
      <c r="G61" s="355">
        <f>'Salaries &amp; Wages'!C19</f>
        <v/>
      </c>
      <c r="H61" s="355">
        <f>'Salaries &amp; Wages'!D19</f>
        <v/>
      </c>
      <c r="I61" s="355">
        <f>'Salaries &amp; Wages'!E19</f>
        <v/>
      </c>
      <c r="J61" s="355">
        <f>'Salaries &amp; Wages'!F19</f>
        <v/>
      </c>
      <c r="K61" s="355">
        <f>'Salaries &amp; Wages'!G19</f>
        <v/>
      </c>
      <c r="L61" s="355">
        <f>'Salaries &amp; Wages'!H19</f>
        <v/>
      </c>
      <c r="M61" s="355">
        <f>'Salaries &amp; Wages'!I19</f>
        <v/>
      </c>
      <c r="N61" s="355">
        <f>'Salaries &amp; Wages'!J19</f>
        <v/>
      </c>
      <c r="O61" s="355">
        <f>'Salaries &amp; Wages'!K19</f>
        <v/>
      </c>
      <c r="P61" s="355">
        <f>'Salaries &amp; Wages'!L19</f>
        <v/>
      </c>
      <c r="Q61" s="355">
        <f>'Salaries &amp; Wages'!M19</f>
        <v/>
      </c>
      <c r="R61" s="355">
        <f>'Salaries &amp; Wages'!N19</f>
        <v/>
      </c>
      <c r="S61" s="393">
        <f>SUM(G61:R61)</f>
        <v/>
      </c>
      <c r="U61" s="355">
        <f>'Salaries &amp; Wages'!Q19</f>
        <v/>
      </c>
      <c r="V61" s="355">
        <f>'Salaries &amp; Wages'!R19</f>
        <v/>
      </c>
      <c r="W61" s="355">
        <f>'Salaries &amp; Wages'!S19</f>
        <v/>
      </c>
      <c r="X61" s="355">
        <f>'Salaries &amp; Wages'!T19</f>
        <v/>
      </c>
      <c r="Y61" s="355">
        <f>'Salaries &amp; Wages'!U19</f>
        <v/>
      </c>
      <c r="Z61" s="355">
        <f>'Salaries &amp; Wages'!V19</f>
        <v/>
      </c>
      <c r="AA61" s="355">
        <f>'Salaries &amp; Wages'!W19</f>
        <v/>
      </c>
      <c r="AB61" s="355">
        <f>'Salaries &amp; Wages'!X19</f>
        <v/>
      </c>
      <c r="AC61" s="355">
        <f>'Salaries &amp; Wages'!Y19</f>
        <v/>
      </c>
      <c r="AD61" s="355">
        <f>'Salaries &amp; Wages'!Z19</f>
        <v/>
      </c>
      <c r="AE61" s="355">
        <f>'Salaries &amp; Wages'!AA19</f>
        <v/>
      </c>
      <c r="AF61" s="355">
        <f>'Salaries &amp; Wages'!AB19</f>
        <v/>
      </c>
      <c r="AG61" s="393">
        <f>SUM(U61:AF61)</f>
        <v/>
      </c>
      <c r="AI61" s="355">
        <f>'Salaries &amp; Wages'!AE19</f>
        <v/>
      </c>
      <c r="AJ61" s="355">
        <f>'Salaries &amp; Wages'!AF19</f>
        <v/>
      </c>
      <c r="AK61" s="355">
        <f>'Salaries &amp; Wages'!AG19</f>
        <v/>
      </c>
      <c r="AL61" s="355">
        <f>'Salaries &amp; Wages'!AH19</f>
        <v/>
      </c>
      <c r="AM61" s="355">
        <f>'Salaries &amp; Wages'!AI19</f>
        <v/>
      </c>
      <c r="AN61" s="355">
        <f>'Salaries &amp; Wages'!AJ19</f>
        <v/>
      </c>
      <c r="AO61" s="355">
        <f>'Salaries &amp; Wages'!AK19</f>
        <v/>
      </c>
      <c r="AP61" s="355">
        <f>'Salaries &amp; Wages'!AL19</f>
        <v/>
      </c>
      <c r="AQ61" s="355">
        <f>'Salaries &amp; Wages'!AM19</f>
        <v/>
      </c>
      <c r="AR61" s="355">
        <f>'Salaries &amp; Wages'!AN19</f>
        <v/>
      </c>
      <c r="AS61" s="355">
        <f>'Salaries &amp; Wages'!AO19</f>
        <v/>
      </c>
      <c r="AT61" s="355">
        <f>'Salaries &amp; Wages'!AP19</f>
        <v/>
      </c>
      <c r="AU61" s="393">
        <f>SUM(AI61:AT61)</f>
        <v/>
      </c>
      <c r="AW61" s="355">
        <f>'Salaries &amp; Wages'!AS19</f>
        <v/>
      </c>
      <c r="AX61" s="355">
        <f>'Salaries &amp; Wages'!AT19</f>
        <v/>
      </c>
      <c r="AY61" s="355">
        <f>'Salaries &amp; Wages'!AU19</f>
        <v/>
      </c>
      <c r="AZ61" s="355">
        <f>'Salaries &amp; Wages'!AV19</f>
        <v/>
      </c>
      <c r="BA61" s="355">
        <f>'Salaries &amp; Wages'!AW19</f>
        <v/>
      </c>
      <c r="BB61" s="355">
        <f>'Salaries &amp; Wages'!AX19</f>
        <v/>
      </c>
      <c r="BC61" s="355">
        <f>'Salaries &amp; Wages'!AY19</f>
        <v/>
      </c>
      <c r="BD61" s="355">
        <f>'Salaries &amp; Wages'!AZ19</f>
        <v/>
      </c>
      <c r="BE61" s="355">
        <f>'Salaries &amp; Wages'!BA19</f>
        <v/>
      </c>
      <c r="BF61" s="355">
        <f>'Salaries &amp; Wages'!BB19</f>
        <v/>
      </c>
      <c r="BG61" s="355">
        <f>'Salaries &amp; Wages'!BC19</f>
        <v/>
      </c>
      <c r="BH61" s="355">
        <f>'Salaries &amp; Wages'!BD19</f>
        <v/>
      </c>
      <c r="BI61" s="393">
        <f>SUM(AW61:BH61)</f>
        <v/>
      </c>
    </row>
    <row r="62" outlineLevel="1" ht="20" customHeight="1">
      <c r="A62" s="441" t="n"/>
      <c r="B62" s="1325">
        <f>'Salaries &amp; Wages'!A20</f>
        <v/>
      </c>
      <c r="C62" s="46" t="n"/>
      <c r="D62" s="46" t="n">
        <v>0</v>
      </c>
      <c r="E62" s="46" t="n">
        <v>0</v>
      </c>
      <c r="F62" s="46" t="inlineStr">
        <is>
          <t xml:space="preserve"> </t>
        </is>
      </c>
      <c r="G62" s="355">
        <f>'Salaries &amp; Wages'!C20</f>
        <v/>
      </c>
      <c r="H62" s="355">
        <f>'Salaries &amp; Wages'!D20</f>
        <v/>
      </c>
      <c r="I62" s="355">
        <f>'Salaries &amp; Wages'!E20</f>
        <v/>
      </c>
      <c r="J62" s="355">
        <f>'Salaries &amp; Wages'!F20</f>
        <v/>
      </c>
      <c r="K62" s="355">
        <f>'Salaries &amp; Wages'!G20</f>
        <v/>
      </c>
      <c r="L62" s="355">
        <f>'Salaries &amp; Wages'!H20</f>
        <v/>
      </c>
      <c r="M62" s="355">
        <f>'Salaries &amp; Wages'!I20</f>
        <v/>
      </c>
      <c r="N62" s="355">
        <f>'Salaries &amp; Wages'!J20</f>
        <v/>
      </c>
      <c r="O62" s="355">
        <f>'Salaries &amp; Wages'!K20</f>
        <v/>
      </c>
      <c r="P62" s="355">
        <f>'Salaries &amp; Wages'!L20</f>
        <v/>
      </c>
      <c r="Q62" s="355">
        <f>'Salaries &amp; Wages'!M20</f>
        <v/>
      </c>
      <c r="R62" s="355">
        <f>'Salaries &amp; Wages'!N20</f>
        <v/>
      </c>
      <c r="S62" s="393">
        <f>SUM(G62:R62)</f>
        <v/>
      </c>
      <c r="U62" s="355">
        <f>'Salaries &amp; Wages'!Q20</f>
        <v/>
      </c>
      <c r="V62" s="355">
        <f>'Salaries &amp; Wages'!R20</f>
        <v/>
      </c>
      <c r="W62" s="355">
        <f>'Salaries &amp; Wages'!S20</f>
        <v/>
      </c>
      <c r="X62" s="355">
        <f>'Salaries &amp; Wages'!T20</f>
        <v/>
      </c>
      <c r="Y62" s="355">
        <f>'Salaries &amp; Wages'!U20</f>
        <v/>
      </c>
      <c r="Z62" s="355">
        <f>'Salaries &amp; Wages'!V20</f>
        <v/>
      </c>
      <c r="AA62" s="355">
        <f>'Salaries &amp; Wages'!W20</f>
        <v/>
      </c>
      <c r="AB62" s="355">
        <f>'Salaries &amp; Wages'!X20</f>
        <v/>
      </c>
      <c r="AC62" s="355">
        <f>'Salaries &amp; Wages'!Y20</f>
        <v/>
      </c>
      <c r="AD62" s="355">
        <f>'Salaries &amp; Wages'!Z20</f>
        <v/>
      </c>
      <c r="AE62" s="355">
        <f>'Salaries &amp; Wages'!AA20</f>
        <v/>
      </c>
      <c r="AF62" s="355">
        <f>'Salaries &amp; Wages'!AB20</f>
        <v/>
      </c>
      <c r="AG62" s="393">
        <f>SUM(U62:AF62)</f>
        <v/>
      </c>
      <c r="AI62" s="355">
        <f>'Salaries &amp; Wages'!AE20</f>
        <v/>
      </c>
      <c r="AJ62" s="355">
        <f>'Salaries &amp; Wages'!AF20</f>
        <v/>
      </c>
      <c r="AK62" s="355">
        <f>'Salaries &amp; Wages'!AG20</f>
        <v/>
      </c>
      <c r="AL62" s="355">
        <f>'Salaries &amp; Wages'!AH20</f>
        <v/>
      </c>
      <c r="AM62" s="355">
        <f>'Salaries &amp; Wages'!AI20</f>
        <v/>
      </c>
      <c r="AN62" s="355">
        <f>'Salaries &amp; Wages'!AJ20</f>
        <v/>
      </c>
      <c r="AO62" s="355">
        <f>'Salaries &amp; Wages'!AK20</f>
        <v/>
      </c>
      <c r="AP62" s="355">
        <f>'Salaries &amp; Wages'!AL20</f>
        <v/>
      </c>
      <c r="AQ62" s="355">
        <f>'Salaries &amp; Wages'!AM20</f>
        <v/>
      </c>
      <c r="AR62" s="355">
        <f>'Salaries &amp; Wages'!AN20</f>
        <v/>
      </c>
      <c r="AS62" s="355">
        <f>'Salaries &amp; Wages'!AO20</f>
        <v/>
      </c>
      <c r="AT62" s="355">
        <f>'Salaries &amp; Wages'!AP20</f>
        <v/>
      </c>
      <c r="AU62" s="393">
        <f>SUM(AI62:AT62)</f>
        <v/>
      </c>
      <c r="AW62" s="355">
        <f>'Salaries &amp; Wages'!AS20</f>
        <v/>
      </c>
      <c r="AX62" s="355">
        <f>'Salaries &amp; Wages'!AT20</f>
        <v/>
      </c>
      <c r="AY62" s="355">
        <f>'Salaries &amp; Wages'!AU20</f>
        <v/>
      </c>
      <c r="AZ62" s="355">
        <f>'Salaries &amp; Wages'!AV20</f>
        <v/>
      </c>
      <c r="BA62" s="355">
        <f>'Salaries &amp; Wages'!AW20</f>
        <v/>
      </c>
      <c r="BB62" s="355">
        <f>'Salaries &amp; Wages'!AX20</f>
        <v/>
      </c>
      <c r="BC62" s="355">
        <f>'Salaries &amp; Wages'!AY20</f>
        <v/>
      </c>
      <c r="BD62" s="355">
        <f>'Salaries &amp; Wages'!AZ20</f>
        <v/>
      </c>
      <c r="BE62" s="355">
        <f>'Salaries &amp; Wages'!BA20</f>
        <v/>
      </c>
      <c r="BF62" s="355">
        <f>'Salaries &amp; Wages'!BB20</f>
        <v/>
      </c>
      <c r="BG62" s="355">
        <f>'Salaries &amp; Wages'!BC20</f>
        <v/>
      </c>
      <c r="BH62" s="355">
        <f>'Salaries &amp; Wages'!BD20</f>
        <v/>
      </c>
      <c r="BI62" s="393">
        <f>SUM(AW62:BH62)</f>
        <v/>
      </c>
    </row>
    <row r="63" outlineLevel="1" ht="20" customHeight="1">
      <c r="A63" s="441" t="n"/>
      <c r="B63" s="1325">
        <f>'Salaries &amp; Wages'!A21</f>
        <v/>
      </c>
      <c r="C63" s="46" t="n"/>
      <c r="D63" s="46" t="n"/>
      <c r="E63" s="46" t="n"/>
      <c r="F63" s="46" t="n"/>
      <c r="G63" s="355">
        <f>'Salaries &amp; Wages'!C21</f>
        <v/>
      </c>
      <c r="H63" s="355">
        <f>'Salaries &amp; Wages'!D21</f>
        <v/>
      </c>
      <c r="I63" s="355">
        <f>'Salaries &amp; Wages'!E21</f>
        <v/>
      </c>
      <c r="J63" s="355">
        <f>'Salaries &amp; Wages'!F21</f>
        <v/>
      </c>
      <c r="K63" s="355">
        <f>'Salaries &amp; Wages'!G21</f>
        <v/>
      </c>
      <c r="L63" s="355">
        <f>'Salaries &amp; Wages'!H21</f>
        <v/>
      </c>
      <c r="M63" s="355">
        <f>'Salaries &amp; Wages'!I21</f>
        <v/>
      </c>
      <c r="N63" s="355">
        <f>'Salaries &amp; Wages'!J21</f>
        <v/>
      </c>
      <c r="O63" s="355">
        <f>'Salaries &amp; Wages'!K21</f>
        <v/>
      </c>
      <c r="P63" s="355">
        <f>'Salaries &amp; Wages'!L21</f>
        <v/>
      </c>
      <c r="Q63" s="355">
        <f>'Salaries &amp; Wages'!M21</f>
        <v/>
      </c>
      <c r="R63" s="355">
        <f>'Salaries &amp; Wages'!N21</f>
        <v/>
      </c>
      <c r="S63" s="393">
        <f>SUM(G63:R63)</f>
        <v/>
      </c>
      <c r="U63" s="355">
        <f>'Salaries &amp; Wages'!Q21</f>
        <v/>
      </c>
      <c r="V63" s="355">
        <f>'Salaries &amp; Wages'!R21</f>
        <v/>
      </c>
      <c r="W63" s="355">
        <f>'Salaries &amp; Wages'!S21</f>
        <v/>
      </c>
      <c r="X63" s="355">
        <f>'Salaries &amp; Wages'!T21</f>
        <v/>
      </c>
      <c r="Y63" s="355">
        <f>'Salaries &amp; Wages'!U21</f>
        <v/>
      </c>
      <c r="Z63" s="355">
        <f>'Salaries &amp; Wages'!V21</f>
        <v/>
      </c>
      <c r="AA63" s="355">
        <f>'Salaries &amp; Wages'!W21</f>
        <v/>
      </c>
      <c r="AB63" s="355">
        <f>'Salaries &amp; Wages'!X21</f>
        <v/>
      </c>
      <c r="AC63" s="355">
        <f>'Salaries &amp; Wages'!Y21</f>
        <v/>
      </c>
      <c r="AD63" s="355">
        <f>'Salaries &amp; Wages'!Z21</f>
        <v/>
      </c>
      <c r="AE63" s="355">
        <f>'Salaries &amp; Wages'!AA21</f>
        <v/>
      </c>
      <c r="AF63" s="355">
        <f>'Salaries &amp; Wages'!AB21</f>
        <v/>
      </c>
      <c r="AG63" s="393">
        <f>SUM(U63:AF63)</f>
        <v/>
      </c>
      <c r="AI63" s="355">
        <f>'Salaries &amp; Wages'!AE21</f>
        <v/>
      </c>
      <c r="AJ63" s="355">
        <f>'Salaries &amp; Wages'!AF21</f>
        <v/>
      </c>
      <c r="AK63" s="355">
        <f>'Salaries &amp; Wages'!AG21</f>
        <v/>
      </c>
      <c r="AL63" s="355">
        <f>'Salaries &amp; Wages'!AH21</f>
        <v/>
      </c>
      <c r="AM63" s="355">
        <f>'Salaries &amp; Wages'!AI21</f>
        <v/>
      </c>
      <c r="AN63" s="355">
        <f>'Salaries &amp; Wages'!AJ21</f>
        <v/>
      </c>
      <c r="AO63" s="355">
        <f>'Salaries &amp; Wages'!AK21</f>
        <v/>
      </c>
      <c r="AP63" s="355">
        <f>'Salaries &amp; Wages'!AL21</f>
        <v/>
      </c>
      <c r="AQ63" s="355">
        <f>'Salaries &amp; Wages'!AM21</f>
        <v/>
      </c>
      <c r="AR63" s="355">
        <f>'Salaries &amp; Wages'!AN21</f>
        <v/>
      </c>
      <c r="AS63" s="355">
        <f>'Salaries &amp; Wages'!AO21</f>
        <v/>
      </c>
      <c r="AT63" s="355">
        <f>'Salaries &amp; Wages'!AP21</f>
        <v/>
      </c>
      <c r="AU63" s="393">
        <f>SUM(AI63:AT63)</f>
        <v/>
      </c>
      <c r="AW63" s="355">
        <f>'Salaries &amp; Wages'!AS21</f>
        <v/>
      </c>
      <c r="AX63" s="355">
        <f>'Salaries &amp; Wages'!AT21</f>
        <v/>
      </c>
      <c r="AY63" s="355">
        <f>'Salaries &amp; Wages'!AU21</f>
        <v/>
      </c>
      <c r="AZ63" s="355">
        <f>'Salaries &amp; Wages'!AV21</f>
        <v/>
      </c>
      <c r="BA63" s="355">
        <f>'Salaries &amp; Wages'!AW21</f>
        <v/>
      </c>
      <c r="BB63" s="355">
        <f>'Salaries &amp; Wages'!AX21</f>
        <v/>
      </c>
      <c r="BC63" s="355">
        <f>'Salaries &amp; Wages'!AY21</f>
        <v/>
      </c>
      <c r="BD63" s="355">
        <f>'Salaries &amp; Wages'!AZ21</f>
        <v/>
      </c>
      <c r="BE63" s="355">
        <f>'Salaries &amp; Wages'!BA21</f>
        <v/>
      </c>
      <c r="BF63" s="355">
        <f>'Salaries &amp; Wages'!BB21</f>
        <v/>
      </c>
      <c r="BG63" s="355">
        <f>'Salaries &amp; Wages'!BC21</f>
        <v/>
      </c>
      <c r="BH63" s="355">
        <f>'Salaries &amp; Wages'!BD21</f>
        <v/>
      </c>
      <c r="BI63" s="393">
        <f>SUM(AW63:BH63)</f>
        <v/>
      </c>
    </row>
    <row r="64" outlineLevel="1" ht="20" customHeight="1">
      <c r="A64" s="441" t="n"/>
      <c r="B64" s="1325">
        <f>'Salaries &amp; Wages'!A22</f>
        <v/>
      </c>
      <c r="C64" s="46" t="n"/>
      <c r="D64" s="46" t="n">
        <v>0</v>
      </c>
      <c r="E64" s="46" t="n">
        <v>0</v>
      </c>
      <c r="F64" s="46" t="inlineStr">
        <is>
          <t xml:space="preserve"> </t>
        </is>
      </c>
      <c r="G64" s="355">
        <f>'Salaries &amp; Wages'!C22</f>
        <v/>
      </c>
      <c r="H64" s="355">
        <f>'Salaries &amp; Wages'!D22</f>
        <v/>
      </c>
      <c r="I64" s="355">
        <f>'Salaries &amp; Wages'!E22</f>
        <v/>
      </c>
      <c r="J64" s="355">
        <f>'Salaries &amp; Wages'!F22</f>
        <v/>
      </c>
      <c r="K64" s="355">
        <f>'Salaries &amp; Wages'!G22</f>
        <v/>
      </c>
      <c r="L64" s="355">
        <f>'Salaries &amp; Wages'!H22</f>
        <v/>
      </c>
      <c r="M64" s="355">
        <f>'Salaries &amp; Wages'!I22</f>
        <v/>
      </c>
      <c r="N64" s="355">
        <f>'Salaries &amp; Wages'!J22</f>
        <v/>
      </c>
      <c r="O64" s="355">
        <f>'Salaries &amp; Wages'!K22</f>
        <v/>
      </c>
      <c r="P64" s="355">
        <f>'Salaries &amp; Wages'!L22</f>
        <v/>
      </c>
      <c r="Q64" s="355">
        <f>'Salaries &amp; Wages'!M22</f>
        <v/>
      </c>
      <c r="R64" s="355">
        <f>'Salaries &amp; Wages'!N22</f>
        <v/>
      </c>
      <c r="S64" s="393">
        <f>SUM(G64:R64)</f>
        <v/>
      </c>
      <c r="U64" s="355">
        <f>'Salaries &amp; Wages'!Q22</f>
        <v/>
      </c>
      <c r="V64" s="355">
        <f>'Salaries &amp; Wages'!R22</f>
        <v/>
      </c>
      <c r="W64" s="355">
        <f>'Salaries &amp; Wages'!S22</f>
        <v/>
      </c>
      <c r="X64" s="355">
        <f>'Salaries &amp; Wages'!T22</f>
        <v/>
      </c>
      <c r="Y64" s="355">
        <f>'Salaries &amp; Wages'!U22</f>
        <v/>
      </c>
      <c r="Z64" s="355">
        <f>'Salaries &amp; Wages'!V22</f>
        <v/>
      </c>
      <c r="AA64" s="355">
        <f>'Salaries &amp; Wages'!W22</f>
        <v/>
      </c>
      <c r="AB64" s="355">
        <f>'Salaries &amp; Wages'!X22</f>
        <v/>
      </c>
      <c r="AC64" s="355">
        <f>'Salaries &amp; Wages'!Y22</f>
        <v/>
      </c>
      <c r="AD64" s="355">
        <f>'Salaries &amp; Wages'!Z22</f>
        <v/>
      </c>
      <c r="AE64" s="355">
        <f>'Salaries &amp; Wages'!AA22</f>
        <v/>
      </c>
      <c r="AF64" s="355">
        <f>'Salaries &amp; Wages'!AB22</f>
        <v/>
      </c>
      <c r="AG64" s="393">
        <f>SUM(U64:AF64)</f>
        <v/>
      </c>
      <c r="AI64" s="355">
        <f>'Salaries &amp; Wages'!AE22</f>
        <v/>
      </c>
      <c r="AJ64" s="355">
        <f>'Salaries &amp; Wages'!AF22</f>
        <v/>
      </c>
      <c r="AK64" s="355">
        <f>'Salaries &amp; Wages'!AG22</f>
        <v/>
      </c>
      <c r="AL64" s="355">
        <f>'Salaries &amp; Wages'!AH22</f>
        <v/>
      </c>
      <c r="AM64" s="355">
        <f>'Salaries &amp; Wages'!AI22</f>
        <v/>
      </c>
      <c r="AN64" s="355">
        <f>'Salaries &amp; Wages'!AJ22</f>
        <v/>
      </c>
      <c r="AO64" s="355">
        <f>'Salaries &amp; Wages'!AK22</f>
        <v/>
      </c>
      <c r="AP64" s="355">
        <f>'Salaries &amp; Wages'!AL22</f>
        <v/>
      </c>
      <c r="AQ64" s="355">
        <f>'Salaries &amp; Wages'!AM22</f>
        <v/>
      </c>
      <c r="AR64" s="355">
        <f>'Salaries &amp; Wages'!AN22</f>
        <v/>
      </c>
      <c r="AS64" s="355">
        <f>'Salaries &amp; Wages'!AO22</f>
        <v/>
      </c>
      <c r="AT64" s="355">
        <f>'Salaries &amp; Wages'!AP22</f>
        <v/>
      </c>
      <c r="AU64" s="393">
        <f>SUM(AI64:AT64)</f>
        <v/>
      </c>
      <c r="AW64" s="355">
        <f>'Salaries &amp; Wages'!AS22</f>
        <v/>
      </c>
      <c r="AX64" s="355">
        <f>'Salaries &amp; Wages'!AT22</f>
        <v/>
      </c>
      <c r="AY64" s="355">
        <f>'Salaries &amp; Wages'!AU22</f>
        <v/>
      </c>
      <c r="AZ64" s="355">
        <f>'Salaries &amp; Wages'!AV22</f>
        <v/>
      </c>
      <c r="BA64" s="355">
        <f>'Salaries &amp; Wages'!AW22</f>
        <v/>
      </c>
      <c r="BB64" s="355">
        <f>'Salaries &amp; Wages'!AX22</f>
        <v/>
      </c>
      <c r="BC64" s="355">
        <f>'Salaries &amp; Wages'!AY22</f>
        <v/>
      </c>
      <c r="BD64" s="355">
        <f>'Salaries &amp; Wages'!AZ22</f>
        <v/>
      </c>
      <c r="BE64" s="355">
        <f>'Salaries &amp; Wages'!BA22</f>
        <v/>
      </c>
      <c r="BF64" s="355">
        <f>'Salaries &amp; Wages'!BB22</f>
        <v/>
      </c>
      <c r="BG64" s="355">
        <f>'Salaries &amp; Wages'!BC22</f>
        <v/>
      </c>
      <c r="BH64" s="355">
        <f>'Salaries &amp; Wages'!BD22</f>
        <v/>
      </c>
      <c r="BI64" s="393">
        <f>SUM(AW64:BH64)</f>
        <v/>
      </c>
    </row>
    <row r="65" outlineLevel="1" ht="20" customHeight="1">
      <c r="A65" s="441" t="n"/>
      <c r="B65" s="1325">
        <f>'Salaries &amp; Wages'!A23</f>
        <v/>
      </c>
      <c r="C65" s="46" t="n"/>
      <c r="D65" s="46" t="n">
        <v>2500</v>
      </c>
      <c r="E65" s="46" t="n">
        <v>2500</v>
      </c>
      <c r="F65" s="46" t="inlineStr">
        <is>
          <t xml:space="preserve"> </t>
        </is>
      </c>
      <c r="G65" s="355">
        <f>'Salaries &amp; Wages'!C23</f>
        <v/>
      </c>
      <c r="H65" s="355">
        <f>'Salaries &amp; Wages'!D23</f>
        <v/>
      </c>
      <c r="I65" s="355">
        <f>'Salaries &amp; Wages'!E23</f>
        <v/>
      </c>
      <c r="J65" s="355">
        <f>'Salaries &amp; Wages'!F23</f>
        <v/>
      </c>
      <c r="K65" s="355">
        <f>'Salaries &amp; Wages'!G23</f>
        <v/>
      </c>
      <c r="L65" s="355">
        <f>'Salaries &amp; Wages'!H23</f>
        <v/>
      </c>
      <c r="M65" s="355">
        <f>'Salaries &amp; Wages'!I23</f>
        <v/>
      </c>
      <c r="N65" s="355">
        <f>'Salaries &amp; Wages'!J23</f>
        <v/>
      </c>
      <c r="O65" s="355">
        <f>'Salaries &amp; Wages'!K23</f>
        <v/>
      </c>
      <c r="P65" s="355">
        <f>'Salaries &amp; Wages'!L23</f>
        <v/>
      </c>
      <c r="Q65" s="355">
        <f>'Salaries &amp; Wages'!M23</f>
        <v/>
      </c>
      <c r="R65" s="355">
        <f>'Salaries &amp; Wages'!N23</f>
        <v/>
      </c>
      <c r="S65" s="393">
        <f>SUM(G65:R65)</f>
        <v/>
      </c>
      <c r="U65" s="355">
        <f>'Salaries &amp; Wages'!Q23</f>
        <v/>
      </c>
      <c r="V65" s="355">
        <f>'Salaries &amp; Wages'!R23</f>
        <v/>
      </c>
      <c r="W65" s="355">
        <f>'Salaries &amp; Wages'!S23</f>
        <v/>
      </c>
      <c r="X65" s="355">
        <f>'Salaries &amp; Wages'!T23</f>
        <v/>
      </c>
      <c r="Y65" s="355">
        <f>'Salaries &amp; Wages'!U23</f>
        <v/>
      </c>
      <c r="Z65" s="355">
        <f>'Salaries &amp; Wages'!V23</f>
        <v/>
      </c>
      <c r="AA65" s="355">
        <f>'Salaries &amp; Wages'!W23</f>
        <v/>
      </c>
      <c r="AB65" s="355">
        <f>'Salaries &amp; Wages'!X23</f>
        <v/>
      </c>
      <c r="AC65" s="355">
        <f>'Salaries &amp; Wages'!Y23</f>
        <v/>
      </c>
      <c r="AD65" s="355">
        <f>'Salaries &amp; Wages'!Z23</f>
        <v/>
      </c>
      <c r="AE65" s="355">
        <f>'Salaries &amp; Wages'!AA23</f>
        <v/>
      </c>
      <c r="AF65" s="355">
        <f>'Salaries &amp; Wages'!AB23</f>
        <v/>
      </c>
      <c r="AG65" s="393">
        <f>SUM(U65:AF65)</f>
        <v/>
      </c>
      <c r="AI65" s="355">
        <f>'Salaries &amp; Wages'!AE23</f>
        <v/>
      </c>
      <c r="AJ65" s="355">
        <f>'Salaries &amp; Wages'!AF23</f>
        <v/>
      </c>
      <c r="AK65" s="355">
        <f>'Salaries &amp; Wages'!AG23</f>
        <v/>
      </c>
      <c r="AL65" s="355">
        <f>'Salaries &amp; Wages'!AH23</f>
        <v/>
      </c>
      <c r="AM65" s="355">
        <f>'Salaries &amp; Wages'!AI23</f>
        <v/>
      </c>
      <c r="AN65" s="355">
        <f>'Salaries &amp; Wages'!AJ23</f>
        <v/>
      </c>
      <c r="AO65" s="355">
        <f>'Salaries &amp; Wages'!AK23</f>
        <v/>
      </c>
      <c r="AP65" s="355">
        <f>'Salaries &amp; Wages'!AL23</f>
        <v/>
      </c>
      <c r="AQ65" s="355">
        <f>'Salaries &amp; Wages'!AM23</f>
        <v/>
      </c>
      <c r="AR65" s="355">
        <f>'Salaries &amp; Wages'!AN23</f>
        <v/>
      </c>
      <c r="AS65" s="355">
        <f>'Salaries &amp; Wages'!AO23</f>
        <v/>
      </c>
      <c r="AT65" s="355">
        <f>'Salaries &amp; Wages'!AP23</f>
        <v/>
      </c>
      <c r="AU65" s="393">
        <f>SUM(AI65:AT65)</f>
        <v/>
      </c>
      <c r="AW65" s="355">
        <f>'Salaries &amp; Wages'!AS23</f>
        <v/>
      </c>
      <c r="AX65" s="355">
        <f>'Salaries &amp; Wages'!AT23</f>
        <v/>
      </c>
      <c r="AY65" s="355">
        <f>'Salaries &amp; Wages'!AU23</f>
        <v/>
      </c>
      <c r="AZ65" s="355">
        <f>'Salaries &amp; Wages'!AV23</f>
        <v/>
      </c>
      <c r="BA65" s="355">
        <f>'Salaries &amp; Wages'!AW23</f>
        <v/>
      </c>
      <c r="BB65" s="355">
        <f>'Salaries &amp; Wages'!AX23</f>
        <v/>
      </c>
      <c r="BC65" s="355">
        <f>'Salaries &amp; Wages'!AY23</f>
        <v/>
      </c>
      <c r="BD65" s="355">
        <f>'Salaries &amp; Wages'!AZ23</f>
        <v/>
      </c>
      <c r="BE65" s="355">
        <f>'Salaries &amp; Wages'!BA23</f>
        <v/>
      </c>
      <c r="BF65" s="355">
        <f>'Salaries &amp; Wages'!BB23</f>
        <v/>
      </c>
      <c r="BG65" s="355">
        <f>'Salaries &amp; Wages'!BC23</f>
        <v/>
      </c>
      <c r="BH65" s="355">
        <f>'Salaries &amp; Wages'!BD23</f>
        <v/>
      </c>
      <c r="BI65" s="393">
        <f>SUM(AW65:BH65)</f>
        <v/>
      </c>
    </row>
    <row r="66" outlineLevel="1" ht="20" customHeight="1">
      <c r="A66" s="441" t="n"/>
      <c r="B66" s="1325">
        <f>'Salaries &amp; Wages'!A24</f>
        <v/>
      </c>
      <c r="C66" s="46" t="n"/>
      <c r="D66" s="46" t="n">
        <v>4000</v>
      </c>
      <c r="E66" s="46" t="n">
        <v>2500</v>
      </c>
      <c r="F66" s="46" t="inlineStr">
        <is>
          <t xml:space="preserve"> </t>
        </is>
      </c>
      <c r="G66" s="355">
        <f>'Salaries &amp; Wages'!C24</f>
        <v/>
      </c>
      <c r="H66" s="355">
        <f>'Salaries &amp; Wages'!D24</f>
        <v/>
      </c>
      <c r="I66" s="355">
        <f>'Salaries &amp; Wages'!E24</f>
        <v/>
      </c>
      <c r="J66" s="355">
        <f>'Salaries &amp; Wages'!F24</f>
        <v/>
      </c>
      <c r="K66" s="355">
        <f>'Salaries &amp; Wages'!G24</f>
        <v/>
      </c>
      <c r="L66" s="355">
        <f>'Salaries &amp; Wages'!H24</f>
        <v/>
      </c>
      <c r="M66" s="355">
        <f>'Salaries &amp; Wages'!I24</f>
        <v/>
      </c>
      <c r="N66" s="355">
        <f>'Salaries &amp; Wages'!J24</f>
        <v/>
      </c>
      <c r="O66" s="355">
        <f>'Salaries &amp; Wages'!K24</f>
        <v/>
      </c>
      <c r="P66" s="355">
        <f>'Salaries &amp; Wages'!L24</f>
        <v/>
      </c>
      <c r="Q66" s="355">
        <f>'Salaries &amp; Wages'!M24</f>
        <v/>
      </c>
      <c r="R66" s="355">
        <f>'Salaries &amp; Wages'!N24</f>
        <v/>
      </c>
      <c r="S66" s="393" t="n">
        <v>2500</v>
      </c>
      <c r="U66" s="355">
        <f>'Salaries &amp; Wages'!Q24</f>
        <v/>
      </c>
      <c r="V66" s="355">
        <f>'Salaries &amp; Wages'!R24</f>
        <v/>
      </c>
      <c r="W66" s="355">
        <f>'Salaries &amp; Wages'!S24</f>
        <v/>
      </c>
      <c r="X66" s="355">
        <f>'Salaries &amp; Wages'!T24</f>
        <v/>
      </c>
      <c r="Y66" s="355">
        <f>'Salaries &amp; Wages'!U24</f>
        <v/>
      </c>
      <c r="Z66" s="355">
        <f>'Salaries &amp; Wages'!V24</f>
        <v/>
      </c>
      <c r="AA66" s="355">
        <f>'Salaries &amp; Wages'!W24</f>
        <v/>
      </c>
      <c r="AB66" s="355">
        <f>'Salaries &amp; Wages'!X24</f>
        <v/>
      </c>
      <c r="AC66" s="355">
        <f>'Salaries &amp; Wages'!Y24</f>
        <v/>
      </c>
      <c r="AD66" s="355">
        <f>'Salaries &amp; Wages'!Z24</f>
        <v/>
      </c>
      <c r="AE66" s="355">
        <f>'Salaries &amp; Wages'!AA24</f>
        <v/>
      </c>
      <c r="AF66" s="355">
        <f>'Salaries &amp; Wages'!AB24</f>
        <v/>
      </c>
      <c r="AG66" s="393" t="n">
        <v>2500</v>
      </c>
      <c r="AI66" s="355">
        <f>'Salaries &amp; Wages'!AE24</f>
        <v/>
      </c>
      <c r="AJ66" s="355">
        <f>'Salaries &amp; Wages'!AF24</f>
        <v/>
      </c>
      <c r="AK66" s="355">
        <f>'Salaries &amp; Wages'!AG24</f>
        <v/>
      </c>
      <c r="AL66" s="355">
        <f>'Salaries &amp; Wages'!AH24</f>
        <v/>
      </c>
      <c r="AM66" s="355">
        <f>'Salaries &amp; Wages'!AI24</f>
        <v/>
      </c>
      <c r="AN66" s="355">
        <f>'Salaries &amp; Wages'!AJ24</f>
        <v/>
      </c>
      <c r="AO66" s="355">
        <f>'Salaries &amp; Wages'!AK24</f>
        <v/>
      </c>
      <c r="AP66" s="355">
        <f>'Salaries &amp; Wages'!AL24</f>
        <v/>
      </c>
      <c r="AQ66" s="355">
        <f>'Salaries &amp; Wages'!AM24</f>
        <v/>
      </c>
      <c r="AR66" s="355">
        <f>'Salaries &amp; Wages'!AN24</f>
        <v/>
      </c>
      <c r="AS66" s="355">
        <f>'Salaries &amp; Wages'!AO24</f>
        <v/>
      </c>
      <c r="AT66" s="355">
        <f>'Salaries &amp; Wages'!AP24</f>
        <v/>
      </c>
      <c r="AU66" s="393" t="n">
        <v>2500</v>
      </c>
      <c r="AW66" s="355">
        <f>'Salaries &amp; Wages'!AS24</f>
        <v/>
      </c>
      <c r="AX66" s="355">
        <f>'Salaries &amp; Wages'!AT24</f>
        <v/>
      </c>
      <c r="AY66" s="355">
        <f>'Salaries &amp; Wages'!AU24</f>
        <v/>
      </c>
      <c r="AZ66" s="355">
        <f>'Salaries &amp; Wages'!AV24</f>
        <v/>
      </c>
      <c r="BA66" s="355">
        <f>'Salaries &amp; Wages'!AW24</f>
        <v/>
      </c>
      <c r="BB66" s="355">
        <f>'Salaries &amp; Wages'!AX24</f>
        <v/>
      </c>
      <c r="BC66" s="355">
        <f>'Salaries &amp; Wages'!AY24</f>
        <v/>
      </c>
      <c r="BD66" s="355">
        <f>'Salaries &amp; Wages'!AZ24</f>
        <v/>
      </c>
      <c r="BE66" s="355">
        <f>'Salaries &amp; Wages'!BA24</f>
        <v/>
      </c>
      <c r="BF66" s="355">
        <f>'Salaries &amp; Wages'!BB24</f>
        <v/>
      </c>
      <c r="BG66" s="355">
        <f>'Salaries &amp; Wages'!BC24</f>
        <v/>
      </c>
      <c r="BH66" s="355">
        <f>'Salaries &amp; Wages'!BD24</f>
        <v/>
      </c>
      <c r="BI66" s="393" t="n">
        <v>2500</v>
      </c>
    </row>
    <row r="67" outlineLevel="1" ht="20" customHeight="1">
      <c r="A67" s="441" t="n"/>
      <c r="B67" s="1325">
        <f>'Salaries &amp; Wages'!A25</f>
        <v/>
      </c>
      <c r="C67" s="46" t="inlineStr">
        <is>
          <t xml:space="preserve"> </t>
        </is>
      </c>
      <c r="D67" s="46" t="n">
        <v>500</v>
      </c>
      <c r="E67" s="46" t="n">
        <v>500</v>
      </c>
      <c r="F67" s="46" t="inlineStr">
        <is>
          <t xml:space="preserve"> </t>
        </is>
      </c>
      <c r="G67" s="355">
        <f>'Salaries &amp; Wages'!C25</f>
        <v/>
      </c>
      <c r="H67" s="355">
        <f>'Salaries &amp; Wages'!D25</f>
        <v/>
      </c>
      <c r="I67" s="355">
        <f>'Salaries &amp; Wages'!E25</f>
        <v/>
      </c>
      <c r="J67" s="355">
        <f>'Salaries &amp; Wages'!F25</f>
        <v/>
      </c>
      <c r="K67" s="355">
        <f>'Salaries &amp; Wages'!G25</f>
        <v/>
      </c>
      <c r="L67" s="355">
        <f>'Salaries &amp; Wages'!H25</f>
        <v/>
      </c>
      <c r="M67" s="355">
        <f>'Salaries &amp; Wages'!I25</f>
        <v/>
      </c>
      <c r="N67" s="355">
        <f>'Salaries &amp; Wages'!J25</f>
        <v/>
      </c>
      <c r="O67" s="355">
        <f>'Salaries &amp; Wages'!K25</f>
        <v/>
      </c>
      <c r="P67" s="355">
        <f>'Salaries &amp; Wages'!L25</f>
        <v/>
      </c>
      <c r="Q67" s="355">
        <f>'Salaries &amp; Wages'!M25</f>
        <v/>
      </c>
      <c r="R67" s="355">
        <f>'Salaries &amp; Wages'!N25</f>
        <v/>
      </c>
      <c r="S67" s="393">
        <f>SUM(G67:R67)</f>
        <v/>
      </c>
      <c r="U67" s="355">
        <f>'Salaries &amp; Wages'!Q25</f>
        <v/>
      </c>
      <c r="V67" s="355">
        <f>'Salaries &amp; Wages'!R25</f>
        <v/>
      </c>
      <c r="W67" s="355">
        <f>'Salaries &amp; Wages'!S25</f>
        <v/>
      </c>
      <c r="X67" s="355">
        <f>'Salaries &amp; Wages'!T25</f>
        <v/>
      </c>
      <c r="Y67" s="355">
        <f>'Salaries &amp; Wages'!U25</f>
        <v/>
      </c>
      <c r="Z67" s="355">
        <f>'Salaries &amp; Wages'!V25</f>
        <v/>
      </c>
      <c r="AA67" s="355">
        <f>'Salaries &amp; Wages'!W25</f>
        <v/>
      </c>
      <c r="AB67" s="355">
        <f>'Salaries &amp; Wages'!X25</f>
        <v/>
      </c>
      <c r="AC67" s="355">
        <f>'Salaries &amp; Wages'!Y25</f>
        <v/>
      </c>
      <c r="AD67" s="355">
        <f>'Salaries &amp; Wages'!Z25</f>
        <v/>
      </c>
      <c r="AE67" s="355">
        <f>'Salaries &amp; Wages'!AA25</f>
        <v/>
      </c>
      <c r="AF67" s="355">
        <f>'Salaries &amp; Wages'!AB25</f>
        <v/>
      </c>
      <c r="AG67" s="393">
        <f>SUM(U67:AF67)</f>
        <v/>
      </c>
      <c r="AI67" s="355">
        <f>'Salaries &amp; Wages'!AE25</f>
        <v/>
      </c>
      <c r="AJ67" s="355">
        <f>'Salaries &amp; Wages'!AF25</f>
        <v/>
      </c>
      <c r="AK67" s="355">
        <f>'Salaries &amp; Wages'!AG25</f>
        <v/>
      </c>
      <c r="AL67" s="355">
        <f>'Salaries &amp; Wages'!AH25</f>
        <v/>
      </c>
      <c r="AM67" s="355">
        <f>'Salaries &amp; Wages'!AI25</f>
        <v/>
      </c>
      <c r="AN67" s="355">
        <f>'Salaries &amp; Wages'!AJ25</f>
        <v/>
      </c>
      <c r="AO67" s="355">
        <f>'Salaries &amp; Wages'!AK25</f>
        <v/>
      </c>
      <c r="AP67" s="355">
        <f>'Salaries &amp; Wages'!AL25</f>
        <v/>
      </c>
      <c r="AQ67" s="355">
        <f>'Salaries &amp; Wages'!AM25</f>
        <v/>
      </c>
      <c r="AR67" s="355">
        <f>'Salaries &amp; Wages'!AN25</f>
        <v/>
      </c>
      <c r="AS67" s="355">
        <f>'Salaries &amp; Wages'!AO25</f>
        <v/>
      </c>
      <c r="AT67" s="355">
        <f>'Salaries &amp; Wages'!AP25</f>
        <v/>
      </c>
      <c r="AU67" s="393">
        <f>SUM(AI67:AT67)</f>
        <v/>
      </c>
      <c r="AW67" s="355">
        <f>'Salaries &amp; Wages'!AS25</f>
        <v/>
      </c>
      <c r="AX67" s="355">
        <f>'Salaries &amp; Wages'!AT25</f>
        <v/>
      </c>
      <c r="AY67" s="355">
        <f>'Salaries &amp; Wages'!AU25</f>
        <v/>
      </c>
      <c r="AZ67" s="355">
        <f>'Salaries &amp; Wages'!AV25</f>
        <v/>
      </c>
      <c r="BA67" s="355">
        <f>'Salaries &amp; Wages'!AW25</f>
        <v/>
      </c>
      <c r="BB67" s="355">
        <f>'Salaries &amp; Wages'!AX25</f>
        <v/>
      </c>
      <c r="BC67" s="355">
        <f>'Salaries &amp; Wages'!AY25</f>
        <v/>
      </c>
      <c r="BD67" s="355">
        <f>'Salaries &amp; Wages'!AZ25</f>
        <v/>
      </c>
      <c r="BE67" s="355">
        <f>'Salaries &amp; Wages'!BA25</f>
        <v/>
      </c>
      <c r="BF67" s="355">
        <f>'Salaries &amp; Wages'!BB25</f>
        <v/>
      </c>
      <c r="BG67" s="355">
        <f>'Salaries &amp; Wages'!BC25</f>
        <v/>
      </c>
      <c r="BH67" s="355">
        <f>'Salaries &amp; Wages'!BD25</f>
        <v/>
      </c>
      <c r="BI67" s="393">
        <f>SUM(AW67:BH67)</f>
        <v/>
      </c>
    </row>
    <row r="68" outlineLevel="1" ht="20" customHeight="1">
      <c r="A68" s="441" t="n"/>
      <c r="S68" s="359" t="n"/>
      <c r="AG68" s="359" t="n"/>
      <c r="AU68" s="359" t="n"/>
      <c r="BI68" s="359" t="n"/>
    </row>
    <row r="69" outlineLevel="1" ht="20" customHeight="1">
      <c r="A69" s="441" t="n"/>
      <c r="B69" s="1354" t="n"/>
      <c r="C69" s="1368" t="n"/>
      <c r="D69" s="1364" t="n"/>
      <c r="E69" s="1365" t="n"/>
      <c r="F69" s="1337" t="n"/>
      <c r="G69" s="1370" t="n"/>
      <c r="H69" s="1370" t="n"/>
      <c r="I69" s="1370" t="n"/>
      <c r="J69" s="1370" t="n"/>
      <c r="K69" s="1370" t="n"/>
      <c r="L69" s="1370" t="n"/>
      <c r="M69" s="1370" t="n"/>
      <c r="N69" s="1370" t="n"/>
      <c r="O69" s="1370" t="n"/>
      <c r="P69" s="1370" t="n"/>
      <c r="Q69" s="1370" t="n"/>
      <c r="R69" s="1370" t="n"/>
      <c r="S69" s="1382" t="n"/>
      <c r="U69" s="1370" t="n"/>
      <c r="V69" s="1370" t="n"/>
      <c r="W69" s="1370" t="n"/>
      <c r="X69" s="1370" t="n"/>
      <c r="Y69" s="1370" t="n"/>
      <c r="Z69" s="1370" t="n"/>
      <c r="AA69" s="1370" t="n"/>
      <c r="AB69" s="1370" t="n"/>
      <c r="AC69" s="1370" t="n"/>
      <c r="AD69" s="1370" t="n"/>
      <c r="AE69" s="1370" t="n"/>
      <c r="AF69" s="1370" t="n"/>
      <c r="AG69" s="1382" t="n"/>
      <c r="AI69" s="1370" t="n"/>
      <c r="AJ69" s="1370" t="n"/>
      <c r="AK69" s="1370" t="n"/>
      <c r="AL69" s="1370" t="n"/>
      <c r="AM69" s="1370" t="n"/>
      <c r="AN69" s="1370" t="n"/>
      <c r="AO69" s="1370" t="n"/>
      <c r="AP69" s="1370" t="n"/>
      <c r="AQ69" s="1370" t="n"/>
      <c r="AR69" s="1370" t="n"/>
      <c r="AS69" s="1370" t="n"/>
      <c r="AT69" s="1370" t="n"/>
      <c r="AU69" s="1382" t="n"/>
      <c r="AW69" s="1370" t="n"/>
      <c r="AX69" s="1370" t="n"/>
      <c r="AY69" s="1370" t="n"/>
      <c r="AZ69" s="1370" t="n"/>
      <c r="BA69" s="1370" t="n"/>
      <c r="BB69" s="1370" t="n"/>
      <c r="BC69" s="1370" t="n"/>
      <c r="BD69" s="1370" t="n"/>
      <c r="BE69" s="1370" t="n"/>
      <c r="BF69" s="1370" t="n"/>
      <c r="BG69" s="1370" t="n"/>
      <c r="BH69" s="1370" t="n"/>
      <c r="BI69" s="1382" t="n"/>
    </row>
    <row r="70" outlineLevel="1" ht="20" customHeight="1">
      <c r="A70" s="441" t="n"/>
      <c r="B70" s="1354" t="inlineStr">
        <is>
          <t>Other Payroll</t>
        </is>
      </c>
      <c r="C70" s="1368" t="inlineStr">
        <is>
          <t>OtherPay</t>
        </is>
      </c>
      <c r="D70" s="1364" t="n"/>
      <c r="E70" s="1365" t="n"/>
      <c r="F70" s="1370" t="n"/>
      <c r="G70" s="1370" t="n">
        <v>0</v>
      </c>
      <c r="H70" s="1337" t="n">
        <v>0</v>
      </c>
      <c r="I70" s="1337" t="n">
        <v>0</v>
      </c>
      <c r="J70" s="1337" t="n">
        <v>0</v>
      </c>
      <c r="K70" s="1337" t="n">
        <v>0</v>
      </c>
      <c r="L70" s="1337" t="n">
        <v>0</v>
      </c>
      <c r="M70" s="1337" t="n">
        <v>0</v>
      </c>
      <c r="N70" s="1337" t="n">
        <v>0</v>
      </c>
      <c r="O70" s="1337" t="n">
        <v>0</v>
      </c>
      <c r="P70" s="1337" t="n">
        <v>0</v>
      </c>
      <c r="Q70" s="1337" t="n">
        <v>0</v>
      </c>
      <c r="R70" s="1337" t="n">
        <v>0</v>
      </c>
      <c r="S70" s="1382" t="n"/>
      <c r="U70" s="1370" t="n">
        <v>0</v>
      </c>
      <c r="V70" s="1337" t="n">
        <v>0</v>
      </c>
      <c r="W70" s="1337" t="n">
        <v>0</v>
      </c>
      <c r="X70" s="1337" t="n">
        <v>0</v>
      </c>
      <c r="Y70" s="1337" t="n">
        <v>0</v>
      </c>
      <c r="Z70" s="1337" t="n">
        <v>0</v>
      </c>
      <c r="AA70" s="1337" t="n">
        <v>0</v>
      </c>
      <c r="AB70" s="1337" t="n">
        <v>0</v>
      </c>
      <c r="AC70" s="1337" t="n">
        <v>0</v>
      </c>
      <c r="AD70" s="1337" t="n">
        <v>0</v>
      </c>
      <c r="AE70" s="1337" t="n">
        <v>0</v>
      </c>
      <c r="AF70" s="1337" t="n">
        <v>0</v>
      </c>
      <c r="AG70" s="1382" t="n"/>
      <c r="AI70" s="1370" t="n">
        <v>0</v>
      </c>
      <c r="AJ70" s="1337" t="n">
        <v>0</v>
      </c>
      <c r="AK70" s="1337" t="n">
        <v>0</v>
      </c>
      <c r="AL70" s="1337" t="n">
        <v>0</v>
      </c>
      <c r="AM70" s="1337" t="n">
        <v>0</v>
      </c>
      <c r="AN70" s="1337" t="n">
        <v>0</v>
      </c>
      <c r="AO70" s="1337" t="n">
        <v>0</v>
      </c>
      <c r="AP70" s="1337" t="n">
        <v>0</v>
      </c>
      <c r="AQ70" s="1337" t="n">
        <v>0</v>
      </c>
      <c r="AR70" s="1337" t="n">
        <v>0</v>
      </c>
      <c r="AS70" s="1337" t="n">
        <v>0</v>
      </c>
      <c r="AT70" s="1337" t="n">
        <v>0</v>
      </c>
      <c r="AU70" s="1382" t="n"/>
      <c r="AW70" s="1370" t="n">
        <v>0</v>
      </c>
      <c r="AX70" s="1337" t="n">
        <v>0</v>
      </c>
      <c r="AY70" s="1337" t="n">
        <v>0</v>
      </c>
      <c r="AZ70" s="1337" t="n">
        <v>0</v>
      </c>
      <c r="BA70" s="1337" t="n">
        <v>0</v>
      </c>
      <c r="BB70" s="1337" t="n">
        <v>0</v>
      </c>
      <c r="BC70" s="1337" t="n">
        <v>0</v>
      </c>
      <c r="BD70" s="1337" t="n">
        <v>0</v>
      </c>
      <c r="BE70" s="1337" t="n">
        <v>0</v>
      </c>
      <c r="BF70" s="1337" t="n">
        <v>0</v>
      </c>
      <c r="BG70" s="1337" t="n">
        <v>0</v>
      </c>
      <c r="BH70" s="1337" t="n">
        <v>0</v>
      </c>
      <c r="BI70" s="1382" t="n"/>
    </row>
    <row r="71" outlineLevel="1" ht="20" customHeight="1">
      <c r="A71" s="441" t="n"/>
      <c r="B71" s="1383" t="inlineStr">
        <is>
          <t>Bonus and Incentives</t>
        </is>
      </c>
      <c r="C71" s="1368" t="n"/>
      <c r="D71" s="1364" t="n"/>
      <c r="E71" s="1365" t="n"/>
      <c r="F71" s="1370" t="n"/>
      <c r="G71" s="1370" t="n"/>
      <c r="H71" s="1337" t="n"/>
      <c r="I71" s="1337" t="n"/>
      <c r="J71" s="1337" t="n"/>
      <c r="K71" s="1337" t="n"/>
      <c r="L71" s="1337" t="n"/>
      <c r="M71" s="1337" t="n"/>
      <c r="N71" s="1337" t="n"/>
      <c r="O71" s="1337" t="n"/>
      <c r="P71" s="1337" t="n"/>
      <c r="Q71" s="1337" t="n"/>
      <c r="R71" s="1337" t="n"/>
      <c r="S71" s="1382" t="n"/>
      <c r="U71" s="1370" t="n"/>
      <c r="V71" s="1337" t="n"/>
      <c r="W71" s="1337" t="n"/>
      <c r="X71" s="1337" t="n"/>
      <c r="Y71" s="1337" t="n"/>
      <c r="Z71" s="1337" t="n"/>
      <c r="AA71" s="1337" t="n"/>
      <c r="AB71" s="1337" t="n"/>
      <c r="AC71" s="1337" t="n"/>
      <c r="AD71" s="1337" t="n"/>
      <c r="AE71" s="1337" t="n"/>
      <c r="AF71" s="1337" t="n"/>
      <c r="AG71" s="1382" t="n"/>
      <c r="AI71" s="1370" t="n"/>
      <c r="AJ71" s="1337" t="n"/>
      <c r="AK71" s="1337" t="n"/>
      <c r="AL71" s="1337" t="n"/>
      <c r="AM71" s="1337" t="n"/>
      <c r="AN71" s="1337" t="n"/>
      <c r="AO71" s="1337" t="n"/>
      <c r="AP71" s="1337" t="n"/>
      <c r="AQ71" s="1337" t="n"/>
      <c r="AR71" s="1337" t="n"/>
      <c r="AS71" s="1337" t="n"/>
      <c r="AT71" s="1337" t="n"/>
      <c r="AU71" s="1382" t="n"/>
      <c r="AW71" s="1370" t="n"/>
      <c r="AX71" s="1337" t="n"/>
      <c r="AY71" s="1337" t="n"/>
      <c r="AZ71" s="1337" t="n"/>
      <c r="BA71" s="1337" t="n"/>
      <c r="BB71" s="1337" t="n"/>
      <c r="BC71" s="1337" t="n"/>
      <c r="BD71" s="1337" t="n"/>
      <c r="BE71" s="1337" t="n"/>
      <c r="BF71" s="1337" t="n"/>
      <c r="BG71" s="1337" t="n"/>
      <c r="BH71" s="1337" t="n"/>
      <c r="BI71" s="1382" t="n"/>
    </row>
    <row r="72" outlineLevel="1" ht="20" customHeight="1">
      <c r="A72" s="441" t="n"/>
      <c r="B72" s="1354" t="inlineStr">
        <is>
          <t>Bonus and Incentives</t>
        </is>
      </c>
      <c r="C72" s="1368" t="inlineStr">
        <is>
          <t>BonusInc</t>
        </is>
      </c>
      <c r="D72" s="1364" t="n"/>
      <c r="E72" s="1365" t="n"/>
      <c r="F72" s="1370" t="n"/>
      <c r="G72" s="1370" t="n">
        <v>0</v>
      </c>
      <c r="H72" s="1337" t="n">
        <v>0</v>
      </c>
      <c r="I72" s="1337" t="n">
        <v>0</v>
      </c>
      <c r="J72" s="1337" t="n">
        <v>0</v>
      </c>
      <c r="K72" s="1337" t="n">
        <v>0</v>
      </c>
      <c r="L72" s="1337" t="n">
        <v>0</v>
      </c>
      <c r="M72" s="1337" t="n">
        <v>0</v>
      </c>
      <c r="N72" s="1337" t="n">
        <v>0</v>
      </c>
      <c r="O72" s="1337" t="n">
        <v>0</v>
      </c>
      <c r="P72" s="1337" t="n">
        <v>0</v>
      </c>
      <c r="Q72" s="1337" t="n">
        <v>0</v>
      </c>
      <c r="R72" s="1337" t="n">
        <v>0</v>
      </c>
      <c r="S72" s="1382" t="n"/>
      <c r="U72" s="1370" t="n">
        <v>0</v>
      </c>
      <c r="V72" s="1337" t="n">
        <v>0</v>
      </c>
      <c r="W72" s="1337" t="n">
        <v>0</v>
      </c>
      <c r="X72" s="1337" t="n">
        <v>0</v>
      </c>
      <c r="Y72" s="1337" t="n">
        <v>0</v>
      </c>
      <c r="Z72" s="1337" t="n">
        <v>0</v>
      </c>
      <c r="AA72" s="1337" t="n">
        <v>0</v>
      </c>
      <c r="AB72" s="1337" t="n">
        <v>0</v>
      </c>
      <c r="AC72" s="1337" t="n">
        <v>0</v>
      </c>
      <c r="AD72" s="1337" t="n">
        <v>0</v>
      </c>
      <c r="AE72" s="1337" t="n">
        <v>0</v>
      </c>
      <c r="AF72" s="1337" t="n">
        <v>0</v>
      </c>
      <c r="AG72" s="1382" t="n"/>
      <c r="AI72" s="1370" t="n">
        <v>0</v>
      </c>
      <c r="AJ72" s="1337" t="n">
        <v>0</v>
      </c>
      <c r="AK72" s="1337" t="n">
        <v>0</v>
      </c>
      <c r="AL72" s="1337" t="n">
        <v>0</v>
      </c>
      <c r="AM72" s="1337" t="n">
        <v>0</v>
      </c>
      <c r="AN72" s="1337" t="n">
        <v>0</v>
      </c>
      <c r="AO72" s="1337" t="n">
        <v>0</v>
      </c>
      <c r="AP72" s="1337" t="n">
        <v>0</v>
      </c>
      <c r="AQ72" s="1337" t="n">
        <v>0</v>
      </c>
      <c r="AR72" s="1337" t="n">
        <v>0</v>
      </c>
      <c r="AS72" s="1337" t="n">
        <v>0</v>
      </c>
      <c r="AT72" s="1337" t="n">
        <v>0</v>
      </c>
      <c r="AU72" s="1382" t="n"/>
      <c r="AW72" s="1370" t="n">
        <v>0</v>
      </c>
      <c r="AX72" s="1337" t="n">
        <v>0</v>
      </c>
      <c r="AY72" s="1337" t="n">
        <v>0</v>
      </c>
      <c r="AZ72" s="1337" t="n">
        <v>0</v>
      </c>
      <c r="BA72" s="1337" t="n">
        <v>0</v>
      </c>
      <c r="BB72" s="1337" t="n">
        <v>0</v>
      </c>
      <c r="BC72" s="1337" t="n">
        <v>0</v>
      </c>
      <c r="BD72" s="1337" t="n">
        <v>0</v>
      </c>
      <c r="BE72" s="1337" t="n">
        <v>0</v>
      </c>
      <c r="BF72" s="1337" t="n">
        <v>0</v>
      </c>
      <c r="BG72" s="1337" t="n">
        <v>0</v>
      </c>
      <c r="BH72" s="1337" t="n">
        <v>0</v>
      </c>
      <c r="BI72" s="1382" t="n"/>
    </row>
    <row r="73" outlineLevel="1" ht="20" customHeight="1">
      <c r="A73" s="441" t="n"/>
      <c r="B73" s="1383" t="n"/>
      <c r="C73" s="1368" t="n"/>
      <c r="D73" s="1364" t="n"/>
      <c r="E73" s="1365" t="n"/>
      <c r="F73" s="1370" t="n"/>
      <c r="G73" s="1370" t="n"/>
      <c r="H73" s="1337" t="n"/>
      <c r="I73" s="1337" t="n"/>
      <c r="J73" s="1337" t="n"/>
      <c r="K73" s="1337" t="n"/>
      <c r="L73" s="1337" t="n"/>
      <c r="M73" s="1337" t="n"/>
      <c r="N73" s="1337" t="n"/>
      <c r="O73" s="1337" t="n"/>
      <c r="P73" s="1337" t="n"/>
      <c r="Q73" s="1337" t="n"/>
      <c r="R73" s="1337" t="n"/>
      <c r="S73" s="1382" t="n"/>
      <c r="U73" s="1370" t="n"/>
      <c r="V73" s="1337" t="n"/>
      <c r="W73" s="1337" t="n"/>
      <c r="X73" s="1337" t="n"/>
      <c r="Y73" s="1337" t="n"/>
      <c r="Z73" s="1337" t="n"/>
      <c r="AA73" s="1337" t="n"/>
      <c r="AB73" s="1337" t="n"/>
      <c r="AC73" s="1337" t="n"/>
      <c r="AD73" s="1337" t="n"/>
      <c r="AE73" s="1337" t="n"/>
      <c r="AF73" s="1337" t="n"/>
      <c r="AG73" s="1382" t="n"/>
      <c r="AI73" s="1370" t="n"/>
      <c r="AJ73" s="1337" t="n"/>
      <c r="AK73" s="1337" t="n"/>
      <c r="AL73" s="1337" t="n"/>
      <c r="AM73" s="1337" t="n"/>
      <c r="AN73" s="1337" t="n"/>
      <c r="AO73" s="1337" t="n"/>
      <c r="AP73" s="1337" t="n"/>
      <c r="AQ73" s="1337" t="n"/>
      <c r="AR73" s="1337" t="n"/>
      <c r="AS73" s="1337" t="n"/>
      <c r="AT73" s="1337" t="n"/>
      <c r="AU73" s="1382" t="n"/>
      <c r="AW73" s="1370" t="n"/>
      <c r="AX73" s="1337" t="n"/>
      <c r="AY73" s="1337" t="n"/>
      <c r="AZ73" s="1337" t="n"/>
      <c r="BA73" s="1337" t="n"/>
      <c r="BB73" s="1337" t="n"/>
      <c r="BC73" s="1337" t="n"/>
      <c r="BD73" s="1337" t="n"/>
      <c r="BE73" s="1337" t="n"/>
      <c r="BF73" s="1337" t="n"/>
      <c r="BG73" s="1337" t="n"/>
      <c r="BH73" s="1337" t="n"/>
      <c r="BI73" s="1382" t="n"/>
    </row>
    <row r="74" ht="20" customHeight="1">
      <c r="A74" s="441" t="n"/>
      <c r="B74" s="1371" t="inlineStr">
        <is>
          <t>Total  Salaries  &amp;  Wages</t>
        </is>
      </c>
      <c r="C74" s="1368" t="inlineStr">
        <is>
          <t>TotalSW</t>
        </is>
      </c>
      <c r="D74" s="1364" t="n"/>
      <c r="E74" s="1365" t="n"/>
      <c r="F74" s="1372" t="n"/>
      <c r="G74" s="1373">
        <f>SUM(G50:G72)</f>
        <v/>
      </c>
      <c r="H74" s="1373">
        <f>SUM(H50:H72)</f>
        <v/>
      </c>
      <c r="I74" s="1373">
        <f>SUM(I50:I72)</f>
        <v/>
      </c>
      <c r="J74" s="1373">
        <f>SUM(J50:J72)</f>
        <v/>
      </c>
      <c r="K74" s="1373">
        <f>SUM(K50:K72)</f>
        <v/>
      </c>
      <c r="L74" s="1373">
        <f>SUM(L50:L72)</f>
        <v/>
      </c>
      <c r="M74" s="1373">
        <f>SUM(M50:M72)</f>
        <v/>
      </c>
      <c r="N74" s="1373">
        <f>SUM(N50:N72)</f>
        <v/>
      </c>
      <c r="O74" s="1373">
        <f>SUM(O50:O72)</f>
        <v/>
      </c>
      <c r="P74" s="1373">
        <f>SUM(P50:P72)</f>
        <v/>
      </c>
      <c r="Q74" s="1373">
        <f>SUM(Q50:Q72)</f>
        <v/>
      </c>
      <c r="R74" s="1373">
        <f>SUM(R50:R72)</f>
        <v/>
      </c>
      <c r="S74" s="1386">
        <f>SUM(G74:R74)</f>
        <v/>
      </c>
      <c r="U74" s="1373">
        <f>SUM(U50:U72)</f>
        <v/>
      </c>
      <c r="V74" s="1373">
        <f>SUM(V50:V72)</f>
        <v/>
      </c>
      <c r="W74" s="1373">
        <f>SUM(W50:W72)</f>
        <v/>
      </c>
      <c r="X74" s="1373">
        <f>SUM(X50:X72)</f>
        <v/>
      </c>
      <c r="Y74" s="1373">
        <f>SUM(Y50:Y72)</f>
        <v/>
      </c>
      <c r="Z74" s="1373">
        <f>SUM(Z50:Z72)</f>
        <v/>
      </c>
      <c r="AA74" s="1373">
        <f>SUM(AA50:AA72)</f>
        <v/>
      </c>
      <c r="AB74" s="1373">
        <f>SUM(AB50:AB72)</f>
        <v/>
      </c>
      <c r="AC74" s="1373">
        <f>SUM(AC50:AC72)</f>
        <v/>
      </c>
      <c r="AD74" s="1373">
        <f>SUM(AD50:AD72)</f>
        <v/>
      </c>
      <c r="AE74" s="1373">
        <f>SUM(AE50:AE72)</f>
        <v/>
      </c>
      <c r="AF74" s="1373">
        <f>SUM(AF50:AF72)</f>
        <v/>
      </c>
      <c r="AG74" s="1386">
        <f>SUM(U74:AF74)</f>
        <v/>
      </c>
      <c r="AI74" s="1373">
        <f>SUM(AI50:AI72)</f>
        <v/>
      </c>
      <c r="AJ74" s="1373">
        <f>SUM(AJ50:AJ72)</f>
        <v/>
      </c>
      <c r="AK74" s="1373">
        <f>SUM(AK50:AK72)</f>
        <v/>
      </c>
      <c r="AL74" s="1373">
        <f>SUM(AL50:AL72)</f>
        <v/>
      </c>
      <c r="AM74" s="1373">
        <f>SUM(AM50:AM72)</f>
        <v/>
      </c>
      <c r="AN74" s="1373">
        <f>SUM(AN50:AN72)</f>
        <v/>
      </c>
      <c r="AO74" s="1373">
        <f>SUM(AO50:AO72)</f>
        <v/>
      </c>
      <c r="AP74" s="1373">
        <f>SUM(AP50:AP72)</f>
        <v/>
      </c>
      <c r="AQ74" s="1373">
        <f>SUM(AQ50:AQ72)</f>
        <v/>
      </c>
      <c r="AR74" s="1373">
        <f>SUM(AR50:AR72)</f>
        <v/>
      </c>
      <c r="AS74" s="1373">
        <f>SUM(AS50:AS72)</f>
        <v/>
      </c>
      <c r="AT74" s="1373">
        <f>SUM(AT50:AT72)</f>
        <v/>
      </c>
      <c r="AU74" s="1386">
        <f>SUM(AI74:AT74)</f>
        <v/>
      </c>
      <c r="AW74" s="1375">
        <f>SUM(AW50:AW72)</f>
        <v/>
      </c>
      <c r="AX74" s="1375">
        <f>SUM(AX50:AX72)</f>
        <v/>
      </c>
      <c r="AY74" s="1375">
        <f>SUM(AY50:AY72)</f>
        <v/>
      </c>
      <c r="AZ74" s="1375">
        <f>SUM(AZ50:AZ72)</f>
        <v/>
      </c>
      <c r="BA74" s="1375">
        <f>SUM(BA50:BA72)</f>
        <v/>
      </c>
      <c r="BB74" s="1375">
        <f>SUM(BB50:BB72)</f>
        <v/>
      </c>
      <c r="BC74" s="1375">
        <f>SUM(BC50:BC72)</f>
        <v/>
      </c>
      <c r="BD74" s="1375">
        <f>SUM(BD50:BD72)</f>
        <v/>
      </c>
      <c r="BE74" s="1375">
        <f>SUM(BE50:BE72)</f>
        <v/>
      </c>
      <c r="BF74" s="1375">
        <f>SUM(BF50:BF72)</f>
        <v/>
      </c>
      <c r="BG74" s="1375">
        <f>SUM(BG50:BG72)</f>
        <v/>
      </c>
      <c r="BH74" s="1375">
        <f>SUM(BH50:BH72)</f>
        <v/>
      </c>
      <c r="BI74" s="1386">
        <f>SUM(AW74:BH74)</f>
        <v/>
      </c>
    </row>
    <row r="75" outlineLevel="1" ht="20" customHeight="1">
      <c r="A75" s="441" t="n"/>
      <c r="B75" s="1383" t="n"/>
      <c r="C75" s="1368" t="n"/>
      <c r="D75" s="1364" t="n"/>
      <c r="E75" s="1365" t="n"/>
      <c r="F75" s="1387" t="n"/>
      <c r="G75" s="1387" t="n"/>
      <c r="H75" s="1388" t="n"/>
      <c r="I75" s="1388" t="n"/>
      <c r="J75" s="1388" t="n"/>
      <c r="K75" s="1388" t="n"/>
      <c r="L75" s="1388" t="n"/>
      <c r="M75" s="1388" t="n"/>
      <c r="N75" s="1388" t="n"/>
      <c r="O75" s="1388" t="n"/>
      <c r="P75" s="1388" t="n"/>
      <c r="Q75" s="1388" t="n"/>
      <c r="R75" s="1388" t="n"/>
      <c r="S75" s="1382" t="n"/>
      <c r="U75" s="1387" t="n"/>
      <c r="V75" s="1388" t="n"/>
      <c r="W75" s="1388" t="n"/>
      <c r="X75" s="1388" t="n"/>
      <c r="Y75" s="1388" t="n"/>
      <c r="Z75" s="1388" t="n"/>
      <c r="AA75" s="1388" t="n"/>
      <c r="AB75" s="1388" t="n"/>
      <c r="AC75" s="1388" t="n"/>
      <c r="AD75" s="1388" t="n"/>
      <c r="AE75" s="1388" t="n"/>
      <c r="AF75" s="1388" t="n"/>
      <c r="AG75" s="1382" t="n"/>
      <c r="AI75" s="1387" t="n"/>
      <c r="AJ75" s="1388" t="n"/>
      <c r="AK75" s="1388" t="n"/>
      <c r="AL75" s="1388" t="n"/>
      <c r="AM75" s="1388" t="n"/>
      <c r="AN75" s="1388" t="n"/>
      <c r="AO75" s="1388" t="n"/>
      <c r="AP75" s="1388" t="n"/>
      <c r="AQ75" s="1388" t="n"/>
      <c r="AR75" s="1388" t="n"/>
      <c r="AS75" s="1388" t="n"/>
      <c r="AT75" s="1388" t="n"/>
      <c r="AU75" s="1382" t="n"/>
      <c r="AW75" s="1387" t="n"/>
      <c r="AX75" s="1388" t="n"/>
      <c r="AY75" s="1388" t="n"/>
      <c r="AZ75" s="1388" t="n"/>
      <c r="BA75" s="1388" t="n"/>
      <c r="BB75" s="1388" t="n"/>
      <c r="BC75" s="1388" t="n"/>
      <c r="BD75" s="1388" t="n"/>
      <c r="BE75" s="1388" t="n"/>
      <c r="BF75" s="1388" t="n"/>
      <c r="BG75" s="1388" t="n"/>
      <c r="BH75" s="1388" t="n"/>
      <c r="BI75" s="1382" t="n"/>
    </row>
    <row r="76" outlineLevel="1" ht="20" customHeight="1">
      <c r="A76" s="441" t="n"/>
      <c r="B76" s="1383" t="inlineStr">
        <is>
          <t>Payroll Taxes</t>
        </is>
      </c>
      <c r="C76" s="1368" t="n"/>
      <c r="D76" s="1364" t="n"/>
      <c r="E76" s="1365" t="n"/>
      <c r="F76" s="1370" t="n"/>
      <c r="G76" s="1370" t="n"/>
      <c r="H76" s="1337" t="n"/>
      <c r="I76" s="1337" t="n"/>
      <c r="J76" s="1337" t="n"/>
      <c r="K76" s="1337" t="n"/>
      <c r="L76" s="1337" t="n"/>
      <c r="M76" s="1337" t="n"/>
      <c r="N76" s="1337" t="n"/>
      <c r="O76" s="1337" t="n"/>
      <c r="P76" s="1337" t="n"/>
      <c r="Q76" s="1337" t="n"/>
      <c r="R76" s="1337" t="n"/>
      <c r="S76" s="1382" t="n"/>
      <c r="U76" s="1370" t="n"/>
      <c r="V76" s="1337" t="n"/>
      <c r="W76" s="1337" t="n"/>
      <c r="X76" s="1337" t="n"/>
      <c r="Y76" s="1337" t="n"/>
      <c r="Z76" s="1337" t="n"/>
      <c r="AA76" s="1337" t="n"/>
      <c r="AB76" s="1337" t="n"/>
      <c r="AC76" s="1337" t="n"/>
      <c r="AD76" s="1337" t="n"/>
      <c r="AE76" s="1337" t="n"/>
      <c r="AF76" s="1337" t="n"/>
      <c r="AG76" s="1382" t="n"/>
      <c r="AI76" s="1370" t="n"/>
      <c r="AJ76" s="1337" t="n"/>
      <c r="AK76" s="1337" t="n"/>
      <c r="AL76" s="1337" t="n"/>
      <c r="AM76" s="1337" t="n"/>
      <c r="AN76" s="1337" t="n"/>
      <c r="AO76" s="1337" t="n"/>
      <c r="AP76" s="1337" t="n"/>
      <c r="AQ76" s="1337" t="n"/>
      <c r="AR76" s="1337" t="n"/>
      <c r="AS76" s="1337" t="n"/>
      <c r="AT76" s="1337" t="n"/>
      <c r="AU76" s="1382" t="n"/>
      <c r="AW76" s="1370" t="n"/>
      <c r="AX76" s="1337" t="n"/>
      <c r="AY76" s="1337" t="n"/>
      <c r="AZ76" s="1337" t="n"/>
      <c r="BA76" s="1337" t="n"/>
      <c r="BB76" s="1337" t="n"/>
      <c r="BC76" s="1337" t="n"/>
      <c r="BD76" s="1337" t="n"/>
      <c r="BE76" s="1337" t="n"/>
      <c r="BF76" s="1337" t="n"/>
      <c r="BG76" s="1337" t="n"/>
      <c r="BH76" s="1337" t="n"/>
      <c r="BI76" s="1382" t="n"/>
    </row>
    <row r="77" hidden="1" outlineLevel="2" ht="20" customHeight="1">
      <c r="A77" s="441" t="n"/>
      <c r="B77" s="1354" t="inlineStr">
        <is>
          <t>Fica Tax Expense</t>
        </is>
      </c>
      <c r="C77" s="1363" t="inlineStr">
        <is>
          <t xml:space="preserve"> </t>
        </is>
      </c>
      <c r="D77" s="1364" t="n"/>
      <c r="E77" s="1365" t="n"/>
      <c r="F77" s="1370" t="n"/>
      <c r="G77" s="1370" t="n">
        <v>0</v>
      </c>
      <c r="H77" s="1337" t="n">
        <v>0</v>
      </c>
      <c r="I77" s="1337" t="n">
        <v>0</v>
      </c>
      <c r="J77" s="1337" t="n">
        <v>0</v>
      </c>
      <c r="K77" s="1337" t="n">
        <v>0</v>
      </c>
      <c r="L77" s="1337" t="n">
        <v>0</v>
      </c>
      <c r="M77" s="1337" t="n">
        <v>0</v>
      </c>
      <c r="N77" s="1337" t="n">
        <v>0</v>
      </c>
      <c r="O77" s="1337" t="n">
        <v>0</v>
      </c>
      <c r="P77" s="1337" t="n">
        <v>0</v>
      </c>
      <c r="Q77" s="1337" t="n">
        <v>0</v>
      </c>
      <c r="R77" s="1337" t="n">
        <v>0</v>
      </c>
      <c r="S77" s="1382" t="n"/>
      <c r="U77" s="1370" t="n">
        <v>0</v>
      </c>
      <c r="V77" s="1337" t="n">
        <v>0</v>
      </c>
      <c r="W77" s="1337" t="n">
        <v>0</v>
      </c>
      <c r="X77" s="1337" t="n">
        <v>0</v>
      </c>
      <c r="Y77" s="1337" t="n">
        <v>0</v>
      </c>
      <c r="Z77" s="1337" t="n">
        <v>0</v>
      </c>
      <c r="AA77" s="1337" t="n">
        <v>0</v>
      </c>
      <c r="AB77" s="1337" t="n">
        <v>0</v>
      </c>
      <c r="AC77" s="1337" t="n">
        <v>0</v>
      </c>
      <c r="AD77" s="1337" t="n">
        <v>0</v>
      </c>
      <c r="AE77" s="1337" t="n">
        <v>0</v>
      </c>
      <c r="AF77" s="1337" t="n">
        <v>0</v>
      </c>
      <c r="AG77" s="1382" t="n"/>
      <c r="AI77" s="1370" t="n">
        <v>0</v>
      </c>
      <c r="AJ77" s="1337" t="n">
        <v>0</v>
      </c>
      <c r="AK77" s="1337" t="n">
        <v>0</v>
      </c>
      <c r="AL77" s="1337" t="n">
        <v>0</v>
      </c>
      <c r="AM77" s="1337" t="n">
        <v>0</v>
      </c>
      <c r="AN77" s="1337" t="n">
        <v>0</v>
      </c>
      <c r="AO77" s="1337" t="n">
        <v>0</v>
      </c>
      <c r="AP77" s="1337" t="n">
        <v>0</v>
      </c>
      <c r="AQ77" s="1337" t="n">
        <v>0</v>
      </c>
      <c r="AR77" s="1337" t="n">
        <v>0</v>
      </c>
      <c r="AS77" s="1337" t="n">
        <v>0</v>
      </c>
      <c r="AT77" s="1337" t="n">
        <v>0</v>
      </c>
      <c r="AU77" s="1382" t="n"/>
      <c r="AW77" s="1370" t="n">
        <v>0</v>
      </c>
      <c r="AX77" s="1337" t="n">
        <v>0</v>
      </c>
      <c r="AY77" s="1337" t="n">
        <v>0</v>
      </c>
      <c r="AZ77" s="1337" t="n">
        <v>0</v>
      </c>
      <c r="BA77" s="1337" t="n">
        <v>0</v>
      </c>
      <c r="BB77" s="1337" t="n">
        <v>0</v>
      </c>
      <c r="BC77" s="1337" t="n">
        <v>0</v>
      </c>
      <c r="BD77" s="1337" t="n">
        <v>0</v>
      </c>
      <c r="BE77" s="1337" t="n">
        <v>0</v>
      </c>
      <c r="BF77" s="1337" t="n">
        <v>0</v>
      </c>
      <c r="BG77" s="1337" t="n">
        <v>0</v>
      </c>
      <c r="BH77" s="1337" t="n">
        <v>0</v>
      </c>
      <c r="BI77" s="1382" t="n"/>
    </row>
    <row r="78" hidden="1" outlineLevel="2" ht="20" customHeight="1">
      <c r="A78" s="441" t="n"/>
      <c r="B78" s="1354" t="inlineStr">
        <is>
          <t>Futa Tax Expense</t>
        </is>
      </c>
      <c r="C78" s="1363" t="inlineStr">
        <is>
          <t xml:space="preserve"> </t>
        </is>
      </c>
      <c r="D78" s="1364" t="n"/>
      <c r="E78" s="1365" t="n"/>
      <c r="F78" s="1370" t="n"/>
      <c r="G78" s="1370" t="n">
        <v>0</v>
      </c>
      <c r="H78" s="1337" t="n">
        <v>0</v>
      </c>
      <c r="I78" s="1337" t="n">
        <v>0</v>
      </c>
      <c r="J78" s="1337" t="n">
        <v>0</v>
      </c>
      <c r="K78" s="1337" t="n">
        <v>0</v>
      </c>
      <c r="L78" s="1337" t="n">
        <v>0</v>
      </c>
      <c r="M78" s="1337" t="n">
        <v>0</v>
      </c>
      <c r="N78" s="1337" t="n">
        <v>0</v>
      </c>
      <c r="O78" s="1337" t="n">
        <v>0</v>
      </c>
      <c r="P78" s="1337" t="n">
        <v>0</v>
      </c>
      <c r="Q78" s="1337" t="n">
        <v>0</v>
      </c>
      <c r="R78" s="1337" t="n">
        <v>0</v>
      </c>
      <c r="S78" s="1382" t="n"/>
      <c r="U78" s="1370" t="n">
        <v>0</v>
      </c>
      <c r="V78" s="1337" t="n">
        <v>0</v>
      </c>
      <c r="W78" s="1337" t="n">
        <v>0</v>
      </c>
      <c r="X78" s="1337" t="n">
        <v>0</v>
      </c>
      <c r="Y78" s="1337" t="n">
        <v>0</v>
      </c>
      <c r="Z78" s="1337" t="n">
        <v>0</v>
      </c>
      <c r="AA78" s="1337" t="n">
        <v>0</v>
      </c>
      <c r="AB78" s="1337" t="n">
        <v>0</v>
      </c>
      <c r="AC78" s="1337" t="n">
        <v>0</v>
      </c>
      <c r="AD78" s="1337" t="n">
        <v>0</v>
      </c>
      <c r="AE78" s="1337" t="n">
        <v>0</v>
      </c>
      <c r="AF78" s="1337" t="n">
        <v>0</v>
      </c>
      <c r="AG78" s="1382" t="n"/>
      <c r="AI78" s="1370" t="n">
        <v>0</v>
      </c>
      <c r="AJ78" s="1337" t="n">
        <v>0</v>
      </c>
      <c r="AK78" s="1337" t="n">
        <v>0</v>
      </c>
      <c r="AL78" s="1337" t="n">
        <v>0</v>
      </c>
      <c r="AM78" s="1337" t="n">
        <v>0</v>
      </c>
      <c r="AN78" s="1337" t="n">
        <v>0</v>
      </c>
      <c r="AO78" s="1337" t="n">
        <v>0</v>
      </c>
      <c r="AP78" s="1337" t="n">
        <v>0</v>
      </c>
      <c r="AQ78" s="1337" t="n">
        <v>0</v>
      </c>
      <c r="AR78" s="1337" t="n">
        <v>0</v>
      </c>
      <c r="AS78" s="1337" t="n">
        <v>0</v>
      </c>
      <c r="AT78" s="1337" t="n">
        <v>0</v>
      </c>
      <c r="AU78" s="1382" t="n"/>
      <c r="AW78" s="1370" t="n">
        <v>0</v>
      </c>
      <c r="AX78" s="1337" t="n">
        <v>0</v>
      </c>
      <c r="AY78" s="1337" t="n">
        <v>0</v>
      </c>
      <c r="AZ78" s="1337" t="n">
        <v>0</v>
      </c>
      <c r="BA78" s="1337" t="n">
        <v>0</v>
      </c>
      <c r="BB78" s="1337" t="n">
        <v>0</v>
      </c>
      <c r="BC78" s="1337" t="n">
        <v>0</v>
      </c>
      <c r="BD78" s="1337" t="n">
        <v>0</v>
      </c>
      <c r="BE78" s="1337" t="n">
        <v>0</v>
      </c>
      <c r="BF78" s="1337" t="n">
        <v>0</v>
      </c>
      <c r="BG78" s="1337" t="n">
        <v>0</v>
      </c>
      <c r="BH78" s="1337" t="n">
        <v>0</v>
      </c>
      <c r="BI78" s="1382" t="n"/>
    </row>
    <row r="79" hidden="1" outlineLevel="2" ht="20" customHeight="1">
      <c r="A79" s="441" t="n"/>
      <c r="B79" s="1354" t="inlineStr">
        <is>
          <t>Intl Misc Payroll Tax</t>
        </is>
      </c>
      <c r="C79" s="1363" t="inlineStr">
        <is>
          <t xml:space="preserve"> </t>
        </is>
      </c>
      <c r="D79" s="1364" t="n"/>
      <c r="E79" s="1365" t="n"/>
      <c r="F79" s="1370" t="n"/>
      <c r="G79" s="1370" t="n">
        <v>0</v>
      </c>
      <c r="H79" s="1337" t="n">
        <v>0</v>
      </c>
      <c r="I79" s="1337" t="n">
        <v>0</v>
      </c>
      <c r="J79" s="1337" t="n">
        <v>0</v>
      </c>
      <c r="K79" s="1337" t="n">
        <v>0</v>
      </c>
      <c r="L79" s="1337" t="n">
        <v>0</v>
      </c>
      <c r="M79" s="1337" t="n">
        <v>0</v>
      </c>
      <c r="N79" s="1337" t="n">
        <v>0</v>
      </c>
      <c r="O79" s="1337" t="n">
        <v>0</v>
      </c>
      <c r="P79" s="1337" t="n">
        <v>0</v>
      </c>
      <c r="Q79" s="1337" t="n">
        <v>0</v>
      </c>
      <c r="R79" s="1337" t="n">
        <v>0</v>
      </c>
      <c r="S79" s="1382" t="n"/>
      <c r="U79" s="1370" t="n">
        <v>0</v>
      </c>
      <c r="V79" s="1337" t="n">
        <v>0</v>
      </c>
      <c r="W79" s="1337" t="n">
        <v>0</v>
      </c>
      <c r="X79" s="1337" t="n">
        <v>0</v>
      </c>
      <c r="Y79" s="1337" t="n">
        <v>0</v>
      </c>
      <c r="Z79" s="1337" t="n">
        <v>0</v>
      </c>
      <c r="AA79" s="1337" t="n">
        <v>0</v>
      </c>
      <c r="AB79" s="1337" t="n">
        <v>0</v>
      </c>
      <c r="AC79" s="1337" t="n">
        <v>0</v>
      </c>
      <c r="AD79" s="1337" t="n">
        <v>0</v>
      </c>
      <c r="AE79" s="1337" t="n">
        <v>0</v>
      </c>
      <c r="AF79" s="1337" t="n">
        <v>0</v>
      </c>
      <c r="AG79" s="1382" t="n"/>
      <c r="AI79" s="1370" t="n">
        <v>0</v>
      </c>
      <c r="AJ79" s="1337" t="n">
        <v>0</v>
      </c>
      <c r="AK79" s="1337" t="n">
        <v>0</v>
      </c>
      <c r="AL79" s="1337" t="n">
        <v>0</v>
      </c>
      <c r="AM79" s="1337" t="n">
        <v>0</v>
      </c>
      <c r="AN79" s="1337" t="n">
        <v>0</v>
      </c>
      <c r="AO79" s="1337" t="n">
        <v>0</v>
      </c>
      <c r="AP79" s="1337" t="n">
        <v>0</v>
      </c>
      <c r="AQ79" s="1337" t="n">
        <v>0</v>
      </c>
      <c r="AR79" s="1337" t="n">
        <v>0</v>
      </c>
      <c r="AS79" s="1337" t="n">
        <v>0</v>
      </c>
      <c r="AT79" s="1337" t="n">
        <v>0</v>
      </c>
      <c r="AU79" s="1382" t="n"/>
      <c r="AW79" s="1370" t="n">
        <v>0</v>
      </c>
      <c r="AX79" s="1337" t="n">
        <v>0</v>
      </c>
      <c r="AY79" s="1337" t="n">
        <v>0</v>
      </c>
      <c r="AZ79" s="1337" t="n">
        <v>0</v>
      </c>
      <c r="BA79" s="1337" t="n">
        <v>0</v>
      </c>
      <c r="BB79" s="1337" t="n">
        <v>0</v>
      </c>
      <c r="BC79" s="1337" t="n">
        <v>0</v>
      </c>
      <c r="BD79" s="1337" t="n">
        <v>0</v>
      </c>
      <c r="BE79" s="1337" t="n">
        <v>0</v>
      </c>
      <c r="BF79" s="1337" t="n">
        <v>0</v>
      </c>
      <c r="BG79" s="1337" t="n">
        <v>0</v>
      </c>
      <c r="BH79" s="1337" t="n">
        <v>0</v>
      </c>
      <c r="BI79" s="1382" t="n"/>
    </row>
    <row r="80" hidden="1" outlineLevel="2" ht="20" customHeight="1">
      <c r="A80" s="441" t="n"/>
      <c r="B80" s="1354" t="inlineStr">
        <is>
          <t>State - Local Tax Exp</t>
        </is>
      </c>
      <c r="C80" s="1363" t="inlineStr">
        <is>
          <t xml:space="preserve"> </t>
        </is>
      </c>
      <c r="D80" s="1364" t="n"/>
      <c r="E80" s="1365" t="n"/>
      <c r="F80" s="1370" t="n"/>
      <c r="G80" s="1370" t="n">
        <v>0</v>
      </c>
      <c r="H80" s="1337" t="n">
        <v>0</v>
      </c>
      <c r="I80" s="1337" t="n">
        <v>0</v>
      </c>
      <c r="J80" s="1337" t="n">
        <v>0</v>
      </c>
      <c r="K80" s="1337" t="n">
        <v>0</v>
      </c>
      <c r="L80" s="1337" t="n">
        <v>0</v>
      </c>
      <c r="M80" s="1337" t="n">
        <v>0</v>
      </c>
      <c r="N80" s="1337" t="n">
        <v>0</v>
      </c>
      <c r="O80" s="1337" t="n">
        <v>0</v>
      </c>
      <c r="P80" s="1337" t="n">
        <v>0</v>
      </c>
      <c r="Q80" s="1337" t="n">
        <v>0</v>
      </c>
      <c r="R80" s="1337" t="n">
        <v>0</v>
      </c>
      <c r="S80" s="1382" t="n"/>
      <c r="U80" s="1370" t="n">
        <v>0</v>
      </c>
      <c r="V80" s="1337" t="n">
        <v>0</v>
      </c>
      <c r="W80" s="1337" t="n">
        <v>0</v>
      </c>
      <c r="X80" s="1337" t="n">
        <v>0</v>
      </c>
      <c r="Y80" s="1337" t="n">
        <v>0</v>
      </c>
      <c r="Z80" s="1337" t="n">
        <v>0</v>
      </c>
      <c r="AA80" s="1337" t="n">
        <v>0</v>
      </c>
      <c r="AB80" s="1337" t="n">
        <v>0</v>
      </c>
      <c r="AC80" s="1337" t="n">
        <v>0</v>
      </c>
      <c r="AD80" s="1337" t="n">
        <v>0</v>
      </c>
      <c r="AE80" s="1337" t="n">
        <v>0</v>
      </c>
      <c r="AF80" s="1337" t="n">
        <v>0</v>
      </c>
      <c r="AG80" s="1382" t="n"/>
      <c r="AI80" s="1370" t="n">
        <v>0</v>
      </c>
      <c r="AJ80" s="1337" t="n">
        <v>0</v>
      </c>
      <c r="AK80" s="1337" t="n">
        <v>0</v>
      </c>
      <c r="AL80" s="1337" t="n">
        <v>0</v>
      </c>
      <c r="AM80" s="1337" t="n">
        <v>0</v>
      </c>
      <c r="AN80" s="1337" t="n">
        <v>0</v>
      </c>
      <c r="AO80" s="1337" t="n">
        <v>0</v>
      </c>
      <c r="AP80" s="1337" t="n">
        <v>0</v>
      </c>
      <c r="AQ80" s="1337" t="n">
        <v>0</v>
      </c>
      <c r="AR80" s="1337" t="n">
        <v>0</v>
      </c>
      <c r="AS80" s="1337" t="n">
        <v>0</v>
      </c>
      <c r="AT80" s="1337" t="n">
        <v>0</v>
      </c>
      <c r="AU80" s="1382" t="n"/>
      <c r="AW80" s="1370" t="n">
        <v>0</v>
      </c>
      <c r="AX80" s="1337" t="n">
        <v>0</v>
      </c>
      <c r="AY80" s="1337" t="n">
        <v>0</v>
      </c>
      <c r="AZ80" s="1337" t="n">
        <v>0</v>
      </c>
      <c r="BA80" s="1337" t="n">
        <v>0</v>
      </c>
      <c r="BB80" s="1337" t="n">
        <v>0</v>
      </c>
      <c r="BC80" s="1337" t="n">
        <v>0</v>
      </c>
      <c r="BD80" s="1337" t="n">
        <v>0</v>
      </c>
      <c r="BE80" s="1337" t="n">
        <v>0</v>
      </c>
      <c r="BF80" s="1337" t="n">
        <v>0</v>
      </c>
      <c r="BG80" s="1337" t="n">
        <v>0</v>
      </c>
      <c r="BH80" s="1337" t="n">
        <v>0</v>
      </c>
      <c r="BI80" s="1382" t="n"/>
    </row>
    <row r="81" hidden="1" outlineLevel="2" ht="20" customHeight="1">
      <c r="A81" s="441" t="n"/>
      <c r="B81" s="1354" t="inlineStr">
        <is>
          <t>Suta Tax Expense</t>
        </is>
      </c>
      <c r="C81" s="1363" t="inlineStr">
        <is>
          <t xml:space="preserve"> </t>
        </is>
      </c>
      <c r="D81" s="1364" t="n"/>
      <c r="E81" s="1365" t="n"/>
      <c r="F81" s="1370" t="n"/>
      <c r="G81" s="1370" t="n">
        <v>0</v>
      </c>
      <c r="H81" s="1337" t="n">
        <v>0</v>
      </c>
      <c r="I81" s="1337" t="n">
        <v>0</v>
      </c>
      <c r="J81" s="1337" t="n">
        <v>0</v>
      </c>
      <c r="K81" s="1337" t="n">
        <v>0</v>
      </c>
      <c r="L81" s="1337" t="n">
        <v>0</v>
      </c>
      <c r="M81" s="1337" t="n">
        <v>0</v>
      </c>
      <c r="N81" s="1337" t="n">
        <v>0</v>
      </c>
      <c r="O81" s="1337" t="n">
        <v>0</v>
      </c>
      <c r="P81" s="1337" t="n">
        <v>0</v>
      </c>
      <c r="Q81" s="1337" t="n">
        <v>0</v>
      </c>
      <c r="R81" s="1337" t="n">
        <v>0</v>
      </c>
      <c r="S81" s="1382" t="n"/>
      <c r="U81" s="1370" t="n">
        <v>0</v>
      </c>
      <c r="V81" s="1337" t="n">
        <v>0</v>
      </c>
      <c r="W81" s="1337" t="n">
        <v>0</v>
      </c>
      <c r="X81" s="1337" t="n">
        <v>0</v>
      </c>
      <c r="Y81" s="1337" t="n">
        <v>0</v>
      </c>
      <c r="Z81" s="1337" t="n">
        <v>0</v>
      </c>
      <c r="AA81" s="1337" t="n">
        <v>0</v>
      </c>
      <c r="AB81" s="1337" t="n">
        <v>0</v>
      </c>
      <c r="AC81" s="1337" t="n">
        <v>0</v>
      </c>
      <c r="AD81" s="1337" t="n">
        <v>0</v>
      </c>
      <c r="AE81" s="1337" t="n">
        <v>0</v>
      </c>
      <c r="AF81" s="1337" t="n">
        <v>0</v>
      </c>
      <c r="AG81" s="1382" t="n"/>
      <c r="AI81" s="1370" t="n">
        <v>0</v>
      </c>
      <c r="AJ81" s="1337" t="n">
        <v>0</v>
      </c>
      <c r="AK81" s="1337" t="n">
        <v>0</v>
      </c>
      <c r="AL81" s="1337" t="n">
        <v>0</v>
      </c>
      <c r="AM81" s="1337" t="n">
        <v>0</v>
      </c>
      <c r="AN81" s="1337" t="n">
        <v>0</v>
      </c>
      <c r="AO81" s="1337" t="n">
        <v>0</v>
      </c>
      <c r="AP81" s="1337" t="n">
        <v>0</v>
      </c>
      <c r="AQ81" s="1337" t="n">
        <v>0</v>
      </c>
      <c r="AR81" s="1337" t="n">
        <v>0</v>
      </c>
      <c r="AS81" s="1337" t="n">
        <v>0</v>
      </c>
      <c r="AT81" s="1337" t="n">
        <v>0</v>
      </c>
      <c r="AU81" s="1382" t="n"/>
      <c r="AW81" s="1370" t="n">
        <v>0</v>
      </c>
      <c r="AX81" s="1337" t="n">
        <v>0</v>
      </c>
      <c r="AY81" s="1337" t="n">
        <v>0</v>
      </c>
      <c r="AZ81" s="1337" t="n">
        <v>0</v>
      </c>
      <c r="BA81" s="1337" t="n">
        <v>0</v>
      </c>
      <c r="BB81" s="1337" t="n">
        <v>0</v>
      </c>
      <c r="BC81" s="1337" t="n">
        <v>0</v>
      </c>
      <c r="BD81" s="1337" t="n">
        <v>0</v>
      </c>
      <c r="BE81" s="1337" t="n">
        <v>0</v>
      </c>
      <c r="BF81" s="1337" t="n">
        <v>0</v>
      </c>
      <c r="BG81" s="1337" t="n">
        <v>0</v>
      </c>
      <c r="BH81" s="1337" t="n">
        <v>0</v>
      </c>
      <c r="BI81" s="1382" t="n"/>
    </row>
    <row r="82" hidden="1" outlineLevel="2" ht="20" customHeight="1">
      <c r="A82" s="441" t="n"/>
      <c r="B82" s="1354" t="inlineStr">
        <is>
          <t>A-T Fica Cron Tips</t>
        </is>
      </c>
      <c r="C82" s="1363" t="inlineStr">
        <is>
          <t xml:space="preserve"> </t>
        </is>
      </c>
      <c r="D82" s="1364" t="n"/>
      <c r="E82" s="1365" t="n"/>
      <c r="F82" s="1370" t="n"/>
      <c r="G82" s="1370" t="n">
        <v>0</v>
      </c>
      <c r="H82" s="1337" t="n">
        <v>0</v>
      </c>
      <c r="I82" s="1337" t="n">
        <v>0</v>
      </c>
      <c r="J82" s="1337" t="n">
        <v>0</v>
      </c>
      <c r="K82" s="1337" t="n">
        <v>0</v>
      </c>
      <c r="L82" s="1337" t="n">
        <v>0</v>
      </c>
      <c r="M82" s="1337" t="n">
        <v>0</v>
      </c>
      <c r="N82" s="1337" t="n">
        <v>0</v>
      </c>
      <c r="O82" s="1337" t="n">
        <v>0</v>
      </c>
      <c r="P82" s="1337" t="n">
        <v>0</v>
      </c>
      <c r="Q82" s="1337" t="n">
        <v>0</v>
      </c>
      <c r="R82" s="1337" t="n">
        <v>0</v>
      </c>
      <c r="S82" s="1382" t="n"/>
      <c r="U82" s="1370" t="n">
        <v>0</v>
      </c>
      <c r="V82" s="1337" t="n">
        <v>0</v>
      </c>
      <c r="W82" s="1337" t="n">
        <v>0</v>
      </c>
      <c r="X82" s="1337" t="n">
        <v>0</v>
      </c>
      <c r="Y82" s="1337" t="n">
        <v>0</v>
      </c>
      <c r="Z82" s="1337" t="n">
        <v>0</v>
      </c>
      <c r="AA82" s="1337" t="n">
        <v>0</v>
      </c>
      <c r="AB82" s="1337" t="n">
        <v>0</v>
      </c>
      <c r="AC82" s="1337" t="n">
        <v>0</v>
      </c>
      <c r="AD82" s="1337" t="n">
        <v>0</v>
      </c>
      <c r="AE82" s="1337" t="n">
        <v>0</v>
      </c>
      <c r="AF82" s="1337" t="n">
        <v>0</v>
      </c>
      <c r="AG82" s="1382" t="n"/>
      <c r="AI82" s="1370" t="n">
        <v>0</v>
      </c>
      <c r="AJ82" s="1337" t="n">
        <v>0</v>
      </c>
      <c r="AK82" s="1337" t="n">
        <v>0</v>
      </c>
      <c r="AL82" s="1337" t="n">
        <v>0</v>
      </c>
      <c r="AM82" s="1337" t="n">
        <v>0</v>
      </c>
      <c r="AN82" s="1337" t="n">
        <v>0</v>
      </c>
      <c r="AO82" s="1337" t="n">
        <v>0</v>
      </c>
      <c r="AP82" s="1337" t="n">
        <v>0</v>
      </c>
      <c r="AQ82" s="1337" t="n">
        <v>0</v>
      </c>
      <c r="AR82" s="1337" t="n">
        <v>0</v>
      </c>
      <c r="AS82" s="1337" t="n">
        <v>0</v>
      </c>
      <c r="AT82" s="1337" t="n">
        <v>0</v>
      </c>
      <c r="AU82" s="1382" t="n"/>
      <c r="AW82" s="1370" t="n">
        <v>0</v>
      </c>
      <c r="AX82" s="1337" t="n">
        <v>0</v>
      </c>
      <c r="AY82" s="1337" t="n">
        <v>0</v>
      </c>
      <c r="AZ82" s="1337" t="n">
        <v>0</v>
      </c>
      <c r="BA82" s="1337" t="n">
        <v>0</v>
      </c>
      <c r="BB82" s="1337" t="n">
        <v>0</v>
      </c>
      <c r="BC82" s="1337" t="n">
        <v>0</v>
      </c>
      <c r="BD82" s="1337" t="n">
        <v>0</v>
      </c>
      <c r="BE82" s="1337" t="n">
        <v>0</v>
      </c>
      <c r="BF82" s="1337" t="n">
        <v>0</v>
      </c>
      <c r="BG82" s="1337" t="n">
        <v>0</v>
      </c>
      <c r="BH82" s="1337" t="n">
        <v>0</v>
      </c>
      <c r="BI82" s="1382" t="n"/>
    </row>
    <row r="83" hidden="1" outlineLevel="2" ht="20" customHeight="1">
      <c r="A83" s="441" t="n"/>
      <c r="B83" s="1354" t="inlineStr">
        <is>
          <t>Employee Benefits - Tax</t>
        </is>
      </c>
      <c r="C83" s="1363" t="inlineStr">
        <is>
          <t xml:space="preserve"> </t>
        </is>
      </c>
      <c r="D83" s="1364" t="n"/>
      <c r="E83" s="1365" t="n"/>
      <c r="F83" s="1370" t="n"/>
      <c r="G83" s="1370" t="n">
        <v>0</v>
      </c>
      <c r="H83" s="1337" t="n">
        <v>0</v>
      </c>
      <c r="I83" s="1337" t="n">
        <v>0</v>
      </c>
      <c r="J83" s="1337" t="n">
        <v>0</v>
      </c>
      <c r="K83" s="1337" t="n">
        <v>0</v>
      </c>
      <c r="L83" s="1337" t="n">
        <v>0</v>
      </c>
      <c r="M83" s="1337" t="n">
        <v>0</v>
      </c>
      <c r="N83" s="1337" t="n">
        <v>0</v>
      </c>
      <c r="O83" s="1337" t="n">
        <v>0</v>
      </c>
      <c r="P83" s="1337" t="n">
        <v>0</v>
      </c>
      <c r="Q83" s="1337" t="n">
        <v>0</v>
      </c>
      <c r="R83" s="1337" t="n">
        <v>0</v>
      </c>
      <c r="S83" s="1382" t="n"/>
      <c r="U83" s="1370" t="n">
        <v>0</v>
      </c>
      <c r="V83" s="1337" t="n">
        <v>0</v>
      </c>
      <c r="W83" s="1337" t="n">
        <v>0</v>
      </c>
      <c r="X83" s="1337" t="n">
        <v>0</v>
      </c>
      <c r="Y83" s="1337" t="n">
        <v>0</v>
      </c>
      <c r="Z83" s="1337" t="n">
        <v>0</v>
      </c>
      <c r="AA83" s="1337" t="n">
        <v>0</v>
      </c>
      <c r="AB83" s="1337" t="n">
        <v>0</v>
      </c>
      <c r="AC83" s="1337" t="n">
        <v>0</v>
      </c>
      <c r="AD83" s="1337" t="n">
        <v>0</v>
      </c>
      <c r="AE83" s="1337" t="n">
        <v>0</v>
      </c>
      <c r="AF83" s="1337" t="n">
        <v>0</v>
      </c>
      <c r="AG83" s="1382" t="n"/>
      <c r="AI83" s="1370" t="n">
        <v>0</v>
      </c>
      <c r="AJ83" s="1337" t="n">
        <v>0</v>
      </c>
      <c r="AK83" s="1337" t="n">
        <v>0</v>
      </c>
      <c r="AL83" s="1337" t="n">
        <v>0</v>
      </c>
      <c r="AM83" s="1337" t="n">
        <v>0</v>
      </c>
      <c r="AN83" s="1337" t="n">
        <v>0</v>
      </c>
      <c r="AO83" s="1337" t="n">
        <v>0</v>
      </c>
      <c r="AP83" s="1337" t="n">
        <v>0</v>
      </c>
      <c r="AQ83" s="1337" t="n">
        <v>0</v>
      </c>
      <c r="AR83" s="1337" t="n">
        <v>0</v>
      </c>
      <c r="AS83" s="1337" t="n">
        <v>0</v>
      </c>
      <c r="AT83" s="1337" t="n">
        <v>0</v>
      </c>
      <c r="AU83" s="1382" t="n"/>
      <c r="AW83" s="1370" t="n">
        <v>0</v>
      </c>
      <c r="AX83" s="1337" t="n">
        <v>0</v>
      </c>
      <c r="AY83" s="1337" t="n">
        <v>0</v>
      </c>
      <c r="AZ83" s="1337" t="n">
        <v>0</v>
      </c>
      <c r="BA83" s="1337" t="n">
        <v>0</v>
      </c>
      <c r="BB83" s="1337" t="n">
        <v>0</v>
      </c>
      <c r="BC83" s="1337" t="n">
        <v>0</v>
      </c>
      <c r="BD83" s="1337" t="n">
        <v>0</v>
      </c>
      <c r="BE83" s="1337" t="n">
        <v>0</v>
      </c>
      <c r="BF83" s="1337" t="n">
        <v>0</v>
      </c>
      <c r="BG83" s="1337" t="n">
        <v>0</v>
      </c>
      <c r="BH83" s="1337" t="n">
        <v>0</v>
      </c>
      <c r="BI83" s="1382" t="n"/>
    </row>
    <row r="84" outlineLevel="1" collapsed="1" ht="20" customHeight="1">
      <c r="A84" s="441" t="n"/>
      <c r="B84" s="1354" t="n"/>
      <c r="C84" s="1368" t="inlineStr">
        <is>
          <t xml:space="preserve"> </t>
        </is>
      </c>
      <c r="D84" s="1364" t="n"/>
      <c r="E84" s="1365" t="n"/>
      <c r="F84" s="1370" t="n"/>
      <c r="G84" s="1370" t="n"/>
      <c r="H84" s="1337" t="n"/>
      <c r="I84" s="1337" t="n"/>
      <c r="J84" s="1337" t="n"/>
      <c r="K84" s="1337" t="n"/>
      <c r="L84" s="1337" t="n"/>
      <c r="M84" s="1337" t="n"/>
      <c r="N84" s="1337" t="n"/>
      <c r="O84" s="1337" t="n"/>
      <c r="P84" s="1337" t="n"/>
      <c r="Q84" s="1337" t="n"/>
      <c r="R84" s="1337" t="n"/>
      <c r="S84" s="1382" t="n"/>
      <c r="U84" s="1370" t="n"/>
      <c r="V84" s="1337" t="n"/>
      <c r="W84" s="1337" t="n"/>
      <c r="X84" s="1337" t="n"/>
      <c r="Y84" s="1337" t="n"/>
      <c r="Z84" s="1337" t="n"/>
      <c r="AA84" s="1337" t="n"/>
      <c r="AB84" s="1337" t="n"/>
      <c r="AC84" s="1337" t="n"/>
      <c r="AD84" s="1337" t="n"/>
      <c r="AE84" s="1337" t="n"/>
      <c r="AF84" s="1337" t="n"/>
      <c r="AG84" s="1382" t="n"/>
      <c r="AI84" s="1370" t="n"/>
      <c r="AJ84" s="1337" t="n"/>
      <c r="AK84" s="1337" t="n"/>
      <c r="AL84" s="1337" t="n"/>
      <c r="AM84" s="1337" t="n"/>
      <c r="AN84" s="1337" t="n"/>
      <c r="AO84" s="1337" t="n"/>
      <c r="AP84" s="1337" t="n"/>
      <c r="AQ84" s="1337" t="n"/>
      <c r="AR84" s="1337" t="n"/>
      <c r="AS84" s="1337" t="n"/>
      <c r="AT84" s="1337" t="n"/>
      <c r="AU84" s="1382" t="n"/>
      <c r="AW84" s="1370" t="n"/>
      <c r="AX84" s="1337" t="n"/>
      <c r="AY84" s="1337" t="n"/>
      <c r="AZ84" s="1337" t="n"/>
      <c r="BA84" s="1337" t="n"/>
      <c r="BB84" s="1337" t="n"/>
      <c r="BC84" s="1337" t="n"/>
      <c r="BD84" s="1337" t="n"/>
      <c r="BE84" s="1337" t="n"/>
      <c r="BF84" s="1337" t="n"/>
      <c r="BG84" s="1337" t="n"/>
      <c r="BH84" s="1337" t="n"/>
      <c r="BI84" s="1382" t="n"/>
    </row>
    <row r="85" outlineLevel="1" ht="20" customHeight="1">
      <c r="A85" s="441" t="n"/>
      <c r="B85" s="1383" t="inlineStr">
        <is>
          <t>Supplemental Pay</t>
        </is>
      </c>
      <c r="C85" s="1368" t="inlineStr">
        <is>
          <t xml:space="preserve"> </t>
        </is>
      </c>
      <c r="D85" s="1364" t="n"/>
      <c r="E85" s="1365" t="n"/>
      <c r="F85" s="1370" t="n"/>
      <c r="G85" s="1370" t="n"/>
      <c r="H85" s="1337" t="n"/>
      <c r="I85" s="1337" t="n"/>
      <c r="J85" s="1337" t="n"/>
      <c r="K85" s="1337" t="n"/>
      <c r="L85" s="1337" t="n"/>
      <c r="M85" s="1337" t="n"/>
      <c r="N85" s="1337" t="n"/>
      <c r="O85" s="1337" t="n"/>
      <c r="P85" s="1337" t="n"/>
      <c r="Q85" s="1337" t="n"/>
      <c r="R85" s="1337" t="n"/>
      <c r="S85" s="1382" t="n"/>
      <c r="U85" s="1370" t="n"/>
      <c r="V85" s="1337" t="n"/>
      <c r="W85" s="1337" t="n"/>
      <c r="X85" s="1337" t="n"/>
      <c r="Y85" s="1337" t="n"/>
      <c r="Z85" s="1337" t="n"/>
      <c r="AA85" s="1337" t="n"/>
      <c r="AB85" s="1337" t="n"/>
      <c r="AC85" s="1337" t="n"/>
      <c r="AD85" s="1337" t="n"/>
      <c r="AE85" s="1337" t="n"/>
      <c r="AF85" s="1337" t="n"/>
      <c r="AG85" s="1382" t="n"/>
      <c r="AI85" s="1370" t="n"/>
      <c r="AJ85" s="1337" t="n"/>
      <c r="AK85" s="1337" t="n"/>
      <c r="AL85" s="1337" t="n"/>
      <c r="AM85" s="1337" t="n"/>
      <c r="AN85" s="1337" t="n"/>
      <c r="AO85" s="1337" t="n"/>
      <c r="AP85" s="1337" t="n"/>
      <c r="AQ85" s="1337" t="n"/>
      <c r="AR85" s="1337" t="n"/>
      <c r="AS85" s="1337" t="n"/>
      <c r="AT85" s="1337" t="n"/>
      <c r="AU85" s="1382" t="n"/>
      <c r="AW85" s="1370" t="n"/>
      <c r="AX85" s="1337" t="n"/>
      <c r="AY85" s="1337" t="n"/>
      <c r="AZ85" s="1337" t="n"/>
      <c r="BA85" s="1337" t="n"/>
      <c r="BB85" s="1337" t="n"/>
      <c r="BC85" s="1337" t="n"/>
      <c r="BD85" s="1337" t="n"/>
      <c r="BE85" s="1337" t="n"/>
      <c r="BF85" s="1337" t="n"/>
      <c r="BG85" s="1337" t="n"/>
      <c r="BH85" s="1337" t="n"/>
      <c r="BI85" s="1382" t="n"/>
    </row>
    <row r="86" hidden="1" outlineLevel="2" ht="20" customHeight="1">
      <c r="A86" s="441" t="n"/>
      <c r="B86" s="1354" t="inlineStr">
        <is>
          <t>Vacation Leave</t>
        </is>
      </c>
      <c r="C86" s="1368" t="inlineStr">
        <is>
          <t xml:space="preserve"> </t>
        </is>
      </c>
      <c r="D86" s="1364" t="n"/>
      <c r="E86" s="1365" t="n"/>
      <c r="F86" s="1370" t="n"/>
      <c r="G86" s="1370" t="n">
        <v>0</v>
      </c>
      <c r="H86" s="1337" t="n">
        <v>0</v>
      </c>
      <c r="I86" s="1337" t="n">
        <v>0</v>
      </c>
      <c r="J86" s="1337" t="n">
        <v>0</v>
      </c>
      <c r="K86" s="1337" t="n">
        <v>0</v>
      </c>
      <c r="L86" s="1337" t="n">
        <v>0</v>
      </c>
      <c r="M86" s="1337" t="n">
        <v>0</v>
      </c>
      <c r="N86" s="1337" t="n">
        <v>0</v>
      </c>
      <c r="O86" s="1337" t="n">
        <v>0</v>
      </c>
      <c r="P86" s="1337" t="n">
        <v>0</v>
      </c>
      <c r="Q86" s="1337" t="n">
        <v>0</v>
      </c>
      <c r="R86" s="1337" t="n">
        <v>0</v>
      </c>
      <c r="S86" s="1382" t="n"/>
      <c r="U86" s="1370" t="n">
        <v>0</v>
      </c>
      <c r="V86" s="1337" t="n">
        <v>0</v>
      </c>
      <c r="W86" s="1337" t="n">
        <v>0</v>
      </c>
      <c r="X86" s="1337" t="n">
        <v>0</v>
      </c>
      <c r="Y86" s="1337" t="n">
        <v>0</v>
      </c>
      <c r="Z86" s="1337" t="n">
        <v>0</v>
      </c>
      <c r="AA86" s="1337" t="n">
        <v>0</v>
      </c>
      <c r="AB86" s="1337" t="n">
        <v>0</v>
      </c>
      <c r="AC86" s="1337" t="n">
        <v>0</v>
      </c>
      <c r="AD86" s="1337" t="n">
        <v>0</v>
      </c>
      <c r="AE86" s="1337" t="n">
        <v>0</v>
      </c>
      <c r="AF86" s="1337" t="n">
        <v>0</v>
      </c>
      <c r="AG86" s="1382" t="n"/>
      <c r="AI86" s="1370" t="n">
        <v>0</v>
      </c>
      <c r="AJ86" s="1337" t="n">
        <v>0</v>
      </c>
      <c r="AK86" s="1337" t="n">
        <v>0</v>
      </c>
      <c r="AL86" s="1337" t="n">
        <v>0</v>
      </c>
      <c r="AM86" s="1337" t="n">
        <v>0</v>
      </c>
      <c r="AN86" s="1337" t="n">
        <v>0</v>
      </c>
      <c r="AO86" s="1337" t="n">
        <v>0</v>
      </c>
      <c r="AP86" s="1337" t="n">
        <v>0</v>
      </c>
      <c r="AQ86" s="1337" t="n">
        <v>0</v>
      </c>
      <c r="AR86" s="1337" t="n">
        <v>0</v>
      </c>
      <c r="AS86" s="1337" t="n">
        <v>0</v>
      </c>
      <c r="AT86" s="1337" t="n">
        <v>0</v>
      </c>
      <c r="AU86" s="1382" t="n"/>
      <c r="AW86" s="1370" t="n">
        <v>0</v>
      </c>
      <c r="AX86" s="1337" t="n">
        <v>0</v>
      </c>
      <c r="AY86" s="1337" t="n">
        <v>0</v>
      </c>
      <c r="AZ86" s="1337" t="n">
        <v>0</v>
      </c>
      <c r="BA86" s="1337" t="n">
        <v>0</v>
      </c>
      <c r="BB86" s="1337" t="n">
        <v>0</v>
      </c>
      <c r="BC86" s="1337" t="n">
        <v>0</v>
      </c>
      <c r="BD86" s="1337" t="n">
        <v>0</v>
      </c>
      <c r="BE86" s="1337" t="n">
        <v>0</v>
      </c>
      <c r="BF86" s="1337" t="n">
        <v>0</v>
      </c>
      <c r="BG86" s="1337" t="n">
        <v>0</v>
      </c>
      <c r="BH86" s="1337" t="n">
        <v>0</v>
      </c>
      <c r="BI86" s="1382" t="n"/>
    </row>
    <row r="87" hidden="1" outlineLevel="2" ht="20" customHeight="1">
      <c r="A87" s="441" t="n"/>
      <c r="B87" s="1354" t="inlineStr">
        <is>
          <t>Unvest Vacation Leave Forfeitu</t>
        </is>
      </c>
      <c r="C87" s="1368" t="inlineStr">
        <is>
          <t xml:space="preserve"> </t>
        </is>
      </c>
      <c r="D87" s="1364" t="n"/>
      <c r="E87" s="1365" t="n"/>
      <c r="F87" s="1370" t="n"/>
      <c r="G87" s="1370" t="n">
        <v>0</v>
      </c>
      <c r="H87" s="1337" t="n">
        <v>0</v>
      </c>
      <c r="I87" s="1337" t="n">
        <v>0</v>
      </c>
      <c r="J87" s="1337" t="n">
        <v>0</v>
      </c>
      <c r="K87" s="1337" t="n">
        <v>0</v>
      </c>
      <c r="L87" s="1337" t="n">
        <v>0</v>
      </c>
      <c r="M87" s="1337" t="n">
        <v>0</v>
      </c>
      <c r="N87" s="1337" t="n">
        <v>0</v>
      </c>
      <c r="O87" s="1337" t="n">
        <v>0</v>
      </c>
      <c r="P87" s="1337" t="n">
        <v>0</v>
      </c>
      <c r="Q87" s="1337" t="n">
        <v>0</v>
      </c>
      <c r="R87" s="1337" t="n">
        <v>0</v>
      </c>
      <c r="S87" s="1382" t="n"/>
      <c r="U87" s="1370" t="n">
        <v>0</v>
      </c>
      <c r="V87" s="1337" t="n">
        <v>0</v>
      </c>
      <c r="W87" s="1337" t="n">
        <v>0</v>
      </c>
      <c r="X87" s="1337" t="n">
        <v>0</v>
      </c>
      <c r="Y87" s="1337" t="n">
        <v>0</v>
      </c>
      <c r="Z87" s="1337" t="n">
        <v>0</v>
      </c>
      <c r="AA87" s="1337" t="n">
        <v>0</v>
      </c>
      <c r="AB87" s="1337" t="n">
        <v>0</v>
      </c>
      <c r="AC87" s="1337" t="n">
        <v>0</v>
      </c>
      <c r="AD87" s="1337" t="n">
        <v>0</v>
      </c>
      <c r="AE87" s="1337" t="n">
        <v>0</v>
      </c>
      <c r="AF87" s="1337" t="n">
        <v>0</v>
      </c>
      <c r="AG87" s="1382" t="n"/>
      <c r="AI87" s="1370" t="n">
        <v>0</v>
      </c>
      <c r="AJ87" s="1337" t="n">
        <v>0</v>
      </c>
      <c r="AK87" s="1337" t="n">
        <v>0</v>
      </c>
      <c r="AL87" s="1337" t="n">
        <v>0</v>
      </c>
      <c r="AM87" s="1337" t="n">
        <v>0</v>
      </c>
      <c r="AN87" s="1337" t="n">
        <v>0</v>
      </c>
      <c r="AO87" s="1337" t="n">
        <v>0</v>
      </c>
      <c r="AP87" s="1337" t="n">
        <v>0</v>
      </c>
      <c r="AQ87" s="1337" t="n">
        <v>0</v>
      </c>
      <c r="AR87" s="1337" t="n">
        <v>0</v>
      </c>
      <c r="AS87" s="1337" t="n">
        <v>0</v>
      </c>
      <c r="AT87" s="1337" t="n">
        <v>0</v>
      </c>
      <c r="AU87" s="1382" t="n"/>
      <c r="AW87" s="1370" t="n">
        <v>0</v>
      </c>
      <c r="AX87" s="1337" t="n">
        <v>0</v>
      </c>
      <c r="AY87" s="1337" t="n">
        <v>0</v>
      </c>
      <c r="AZ87" s="1337" t="n">
        <v>0</v>
      </c>
      <c r="BA87" s="1337" t="n">
        <v>0</v>
      </c>
      <c r="BB87" s="1337" t="n">
        <v>0</v>
      </c>
      <c r="BC87" s="1337" t="n">
        <v>0</v>
      </c>
      <c r="BD87" s="1337" t="n">
        <v>0</v>
      </c>
      <c r="BE87" s="1337" t="n">
        <v>0</v>
      </c>
      <c r="BF87" s="1337" t="n">
        <v>0</v>
      </c>
      <c r="BG87" s="1337" t="n">
        <v>0</v>
      </c>
      <c r="BH87" s="1337" t="n">
        <v>0</v>
      </c>
      <c r="BI87" s="1382" t="n"/>
    </row>
    <row r="88" hidden="1" outlineLevel="2" ht="20" customHeight="1">
      <c r="A88" s="441" t="n"/>
      <c r="B88" s="1354" t="inlineStr">
        <is>
          <t>Sick Leave</t>
        </is>
      </c>
      <c r="C88" s="1368" t="inlineStr">
        <is>
          <t xml:space="preserve"> </t>
        </is>
      </c>
      <c r="D88" s="1364" t="n"/>
      <c r="E88" s="1365" t="n"/>
      <c r="F88" s="1370" t="n"/>
      <c r="G88" s="1370" t="n">
        <v>0</v>
      </c>
      <c r="H88" s="1337" t="n">
        <v>0</v>
      </c>
      <c r="I88" s="1337" t="n">
        <v>0</v>
      </c>
      <c r="J88" s="1337" t="n">
        <v>0</v>
      </c>
      <c r="K88" s="1337" t="n">
        <v>0</v>
      </c>
      <c r="L88" s="1337" t="n">
        <v>0</v>
      </c>
      <c r="M88" s="1337" t="n">
        <v>0</v>
      </c>
      <c r="N88" s="1337" t="n">
        <v>0</v>
      </c>
      <c r="O88" s="1337" t="n">
        <v>0</v>
      </c>
      <c r="P88" s="1337" t="n">
        <v>0</v>
      </c>
      <c r="Q88" s="1337" t="n">
        <v>0</v>
      </c>
      <c r="R88" s="1337" t="n">
        <v>0</v>
      </c>
      <c r="S88" s="1382" t="n"/>
      <c r="U88" s="1370" t="n">
        <v>0</v>
      </c>
      <c r="V88" s="1337" t="n">
        <v>0</v>
      </c>
      <c r="W88" s="1337" t="n">
        <v>0</v>
      </c>
      <c r="X88" s="1337" t="n">
        <v>0</v>
      </c>
      <c r="Y88" s="1337" t="n">
        <v>0</v>
      </c>
      <c r="Z88" s="1337" t="n">
        <v>0</v>
      </c>
      <c r="AA88" s="1337" t="n">
        <v>0</v>
      </c>
      <c r="AB88" s="1337" t="n">
        <v>0</v>
      </c>
      <c r="AC88" s="1337" t="n">
        <v>0</v>
      </c>
      <c r="AD88" s="1337" t="n">
        <v>0</v>
      </c>
      <c r="AE88" s="1337" t="n">
        <v>0</v>
      </c>
      <c r="AF88" s="1337" t="n">
        <v>0</v>
      </c>
      <c r="AG88" s="1382" t="n"/>
      <c r="AI88" s="1370" t="n">
        <v>0</v>
      </c>
      <c r="AJ88" s="1337" t="n">
        <v>0</v>
      </c>
      <c r="AK88" s="1337" t="n">
        <v>0</v>
      </c>
      <c r="AL88" s="1337" t="n">
        <v>0</v>
      </c>
      <c r="AM88" s="1337" t="n">
        <v>0</v>
      </c>
      <c r="AN88" s="1337" t="n">
        <v>0</v>
      </c>
      <c r="AO88" s="1337" t="n">
        <v>0</v>
      </c>
      <c r="AP88" s="1337" t="n">
        <v>0</v>
      </c>
      <c r="AQ88" s="1337" t="n">
        <v>0</v>
      </c>
      <c r="AR88" s="1337" t="n">
        <v>0</v>
      </c>
      <c r="AS88" s="1337" t="n">
        <v>0</v>
      </c>
      <c r="AT88" s="1337" t="n">
        <v>0</v>
      </c>
      <c r="AU88" s="1382" t="n"/>
      <c r="AW88" s="1370" t="n">
        <v>0</v>
      </c>
      <c r="AX88" s="1337" t="n">
        <v>0</v>
      </c>
      <c r="AY88" s="1337" t="n">
        <v>0</v>
      </c>
      <c r="AZ88" s="1337" t="n">
        <v>0</v>
      </c>
      <c r="BA88" s="1337" t="n">
        <v>0</v>
      </c>
      <c r="BB88" s="1337" t="n">
        <v>0</v>
      </c>
      <c r="BC88" s="1337" t="n">
        <v>0</v>
      </c>
      <c r="BD88" s="1337" t="n">
        <v>0</v>
      </c>
      <c r="BE88" s="1337" t="n">
        <v>0</v>
      </c>
      <c r="BF88" s="1337" t="n">
        <v>0</v>
      </c>
      <c r="BG88" s="1337" t="n">
        <v>0</v>
      </c>
      <c r="BH88" s="1337" t="n">
        <v>0</v>
      </c>
      <c r="BI88" s="1382" t="n"/>
    </row>
    <row r="89" hidden="1" outlineLevel="2" ht="20" customHeight="1">
      <c r="A89" s="441" t="n"/>
      <c r="B89" s="1354" t="inlineStr">
        <is>
          <t>Severance</t>
        </is>
      </c>
      <c r="C89" s="1368" t="inlineStr">
        <is>
          <t xml:space="preserve"> </t>
        </is>
      </c>
      <c r="D89" s="1364" t="n"/>
      <c r="E89" s="1365" t="n"/>
      <c r="F89" s="1370" t="n"/>
      <c r="G89" s="1370" t="n">
        <v>0</v>
      </c>
      <c r="H89" s="1337" t="n">
        <v>0</v>
      </c>
      <c r="I89" s="1337" t="n">
        <v>0</v>
      </c>
      <c r="J89" s="1337" t="n">
        <v>0</v>
      </c>
      <c r="K89" s="1337" t="n">
        <v>0</v>
      </c>
      <c r="L89" s="1337" t="n">
        <v>0</v>
      </c>
      <c r="M89" s="1337" t="n">
        <v>0</v>
      </c>
      <c r="N89" s="1337" t="n">
        <v>0</v>
      </c>
      <c r="O89" s="1337" t="n">
        <v>0</v>
      </c>
      <c r="P89" s="1337" t="n">
        <v>0</v>
      </c>
      <c r="Q89" s="1337" t="n">
        <v>0</v>
      </c>
      <c r="R89" s="1337" t="n">
        <v>0</v>
      </c>
      <c r="S89" s="1382" t="n"/>
      <c r="U89" s="1370" t="n">
        <v>0</v>
      </c>
      <c r="V89" s="1337" t="n">
        <v>0</v>
      </c>
      <c r="W89" s="1337" t="n">
        <v>0</v>
      </c>
      <c r="X89" s="1337" t="n">
        <v>0</v>
      </c>
      <c r="Y89" s="1337" t="n">
        <v>0</v>
      </c>
      <c r="Z89" s="1337" t="n">
        <v>0</v>
      </c>
      <c r="AA89" s="1337" t="n">
        <v>0</v>
      </c>
      <c r="AB89" s="1337" t="n">
        <v>0</v>
      </c>
      <c r="AC89" s="1337" t="n">
        <v>0</v>
      </c>
      <c r="AD89" s="1337" t="n">
        <v>0</v>
      </c>
      <c r="AE89" s="1337" t="n">
        <v>0</v>
      </c>
      <c r="AF89" s="1337" t="n">
        <v>0</v>
      </c>
      <c r="AG89" s="1382" t="n"/>
      <c r="AI89" s="1370" t="n">
        <v>0</v>
      </c>
      <c r="AJ89" s="1337" t="n">
        <v>0</v>
      </c>
      <c r="AK89" s="1337" t="n">
        <v>0</v>
      </c>
      <c r="AL89" s="1337" t="n">
        <v>0</v>
      </c>
      <c r="AM89" s="1337" t="n">
        <v>0</v>
      </c>
      <c r="AN89" s="1337" t="n">
        <v>0</v>
      </c>
      <c r="AO89" s="1337" t="n">
        <v>0</v>
      </c>
      <c r="AP89" s="1337" t="n">
        <v>0</v>
      </c>
      <c r="AQ89" s="1337" t="n">
        <v>0</v>
      </c>
      <c r="AR89" s="1337" t="n">
        <v>0</v>
      </c>
      <c r="AS89" s="1337" t="n">
        <v>0</v>
      </c>
      <c r="AT89" s="1337" t="n">
        <v>0</v>
      </c>
      <c r="AU89" s="1382" t="n"/>
      <c r="AW89" s="1370" t="n">
        <v>0</v>
      </c>
      <c r="AX89" s="1337" t="n">
        <v>0</v>
      </c>
      <c r="AY89" s="1337" t="n">
        <v>0</v>
      </c>
      <c r="AZ89" s="1337" t="n">
        <v>0</v>
      </c>
      <c r="BA89" s="1337" t="n">
        <v>0</v>
      </c>
      <c r="BB89" s="1337" t="n">
        <v>0</v>
      </c>
      <c r="BC89" s="1337" t="n">
        <v>0</v>
      </c>
      <c r="BD89" s="1337" t="n">
        <v>0</v>
      </c>
      <c r="BE89" s="1337" t="n">
        <v>0</v>
      </c>
      <c r="BF89" s="1337" t="n">
        <v>0</v>
      </c>
      <c r="BG89" s="1337" t="n">
        <v>0</v>
      </c>
      <c r="BH89" s="1337" t="n">
        <v>0</v>
      </c>
      <c r="BI89" s="1382" t="n"/>
    </row>
    <row r="90" hidden="1" outlineLevel="2" ht="20" customHeight="1">
      <c r="A90" s="441" t="n"/>
      <c r="B90" s="1354" t="inlineStr">
        <is>
          <t>Sal Incr Vacation Leave</t>
        </is>
      </c>
      <c r="C90" s="1368" t="inlineStr">
        <is>
          <t xml:space="preserve"> </t>
        </is>
      </c>
      <c r="D90" s="1364" t="n"/>
      <c r="E90" s="1365" t="n"/>
      <c r="F90" s="1370" t="n"/>
      <c r="G90" s="1370" t="n">
        <v>0</v>
      </c>
      <c r="H90" s="1337" t="n">
        <v>0</v>
      </c>
      <c r="I90" s="1337" t="n">
        <v>0</v>
      </c>
      <c r="J90" s="1337" t="n">
        <v>0</v>
      </c>
      <c r="K90" s="1337" t="n">
        <v>0</v>
      </c>
      <c r="L90" s="1337" t="n">
        <v>0</v>
      </c>
      <c r="M90" s="1337" t="n">
        <v>0</v>
      </c>
      <c r="N90" s="1337" t="n">
        <v>0</v>
      </c>
      <c r="O90" s="1337" t="n">
        <v>0</v>
      </c>
      <c r="P90" s="1337" t="n">
        <v>0</v>
      </c>
      <c r="Q90" s="1337" t="n">
        <v>0</v>
      </c>
      <c r="R90" s="1337" t="n">
        <v>0</v>
      </c>
      <c r="S90" s="1382" t="n"/>
      <c r="U90" s="1370" t="n">
        <v>0</v>
      </c>
      <c r="V90" s="1337" t="n">
        <v>0</v>
      </c>
      <c r="W90" s="1337" t="n">
        <v>0</v>
      </c>
      <c r="X90" s="1337" t="n">
        <v>0</v>
      </c>
      <c r="Y90" s="1337" t="n">
        <v>0</v>
      </c>
      <c r="Z90" s="1337" t="n">
        <v>0</v>
      </c>
      <c r="AA90" s="1337" t="n">
        <v>0</v>
      </c>
      <c r="AB90" s="1337" t="n">
        <v>0</v>
      </c>
      <c r="AC90" s="1337" t="n">
        <v>0</v>
      </c>
      <c r="AD90" s="1337" t="n">
        <v>0</v>
      </c>
      <c r="AE90" s="1337" t="n">
        <v>0</v>
      </c>
      <c r="AF90" s="1337" t="n">
        <v>0</v>
      </c>
      <c r="AG90" s="1382" t="n"/>
      <c r="AI90" s="1370" t="n">
        <v>0</v>
      </c>
      <c r="AJ90" s="1337" t="n">
        <v>0</v>
      </c>
      <c r="AK90" s="1337" t="n">
        <v>0</v>
      </c>
      <c r="AL90" s="1337" t="n">
        <v>0</v>
      </c>
      <c r="AM90" s="1337" t="n">
        <v>0</v>
      </c>
      <c r="AN90" s="1337" t="n">
        <v>0</v>
      </c>
      <c r="AO90" s="1337" t="n">
        <v>0</v>
      </c>
      <c r="AP90" s="1337" t="n">
        <v>0</v>
      </c>
      <c r="AQ90" s="1337" t="n">
        <v>0</v>
      </c>
      <c r="AR90" s="1337" t="n">
        <v>0</v>
      </c>
      <c r="AS90" s="1337" t="n">
        <v>0</v>
      </c>
      <c r="AT90" s="1337" t="n">
        <v>0</v>
      </c>
      <c r="AU90" s="1382" t="n"/>
      <c r="AW90" s="1370" t="n">
        <v>0</v>
      </c>
      <c r="AX90" s="1337" t="n">
        <v>0</v>
      </c>
      <c r="AY90" s="1337" t="n">
        <v>0</v>
      </c>
      <c r="AZ90" s="1337" t="n">
        <v>0</v>
      </c>
      <c r="BA90" s="1337" t="n">
        <v>0</v>
      </c>
      <c r="BB90" s="1337" t="n">
        <v>0</v>
      </c>
      <c r="BC90" s="1337" t="n">
        <v>0</v>
      </c>
      <c r="BD90" s="1337" t="n">
        <v>0</v>
      </c>
      <c r="BE90" s="1337" t="n">
        <v>0</v>
      </c>
      <c r="BF90" s="1337" t="n">
        <v>0</v>
      </c>
      <c r="BG90" s="1337" t="n">
        <v>0</v>
      </c>
      <c r="BH90" s="1337" t="n">
        <v>0</v>
      </c>
      <c r="BI90" s="1382" t="n"/>
    </row>
    <row r="91" hidden="1" outlineLevel="2" ht="20" customHeight="1">
      <c r="A91" s="441" t="n"/>
      <c r="B91" s="1354" t="inlineStr">
        <is>
          <t>Unemp Claim Charges</t>
        </is>
      </c>
      <c r="C91" s="1368" t="inlineStr">
        <is>
          <t xml:space="preserve"> </t>
        </is>
      </c>
      <c r="D91" s="1364" t="n"/>
      <c r="E91" s="1365" t="n"/>
      <c r="F91" s="1370" t="n"/>
      <c r="G91" s="1370" t="n">
        <v>0</v>
      </c>
      <c r="H91" s="1337" t="n">
        <v>0</v>
      </c>
      <c r="I91" s="1337" t="n">
        <v>0</v>
      </c>
      <c r="J91" s="1337" t="n">
        <v>0</v>
      </c>
      <c r="K91" s="1337" t="n">
        <v>0</v>
      </c>
      <c r="L91" s="1337" t="n">
        <v>0</v>
      </c>
      <c r="M91" s="1337" t="n">
        <v>0</v>
      </c>
      <c r="N91" s="1337" t="n">
        <v>0</v>
      </c>
      <c r="O91" s="1337" t="n">
        <v>0</v>
      </c>
      <c r="P91" s="1337" t="n">
        <v>0</v>
      </c>
      <c r="Q91" s="1337" t="n">
        <v>0</v>
      </c>
      <c r="R91" s="1337" t="n">
        <v>0</v>
      </c>
      <c r="S91" s="1382" t="n"/>
      <c r="U91" s="1370" t="n">
        <v>0</v>
      </c>
      <c r="V91" s="1337" t="n">
        <v>0</v>
      </c>
      <c r="W91" s="1337" t="n">
        <v>0</v>
      </c>
      <c r="X91" s="1337" t="n">
        <v>0</v>
      </c>
      <c r="Y91" s="1337" t="n">
        <v>0</v>
      </c>
      <c r="Z91" s="1337" t="n">
        <v>0</v>
      </c>
      <c r="AA91" s="1337" t="n">
        <v>0</v>
      </c>
      <c r="AB91" s="1337" t="n">
        <v>0</v>
      </c>
      <c r="AC91" s="1337" t="n">
        <v>0</v>
      </c>
      <c r="AD91" s="1337" t="n">
        <v>0</v>
      </c>
      <c r="AE91" s="1337" t="n">
        <v>0</v>
      </c>
      <c r="AF91" s="1337" t="n">
        <v>0</v>
      </c>
      <c r="AG91" s="1382" t="n"/>
      <c r="AI91" s="1370" t="n">
        <v>0</v>
      </c>
      <c r="AJ91" s="1337" t="n">
        <v>0</v>
      </c>
      <c r="AK91" s="1337" t="n">
        <v>0</v>
      </c>
      <c r="AL91" s="1337" t="n">
        <v>0</v>
      </c>
      <c r="AM91" s="1337" t="n">
        <v>0</v>
      </c>
      <c r="AN91" s="1337" t="n">
        <v>0</v>
      </c>
      <c r="AO91" s="1337" t="n">
        <v>0</v>
      </c>
      <c r="AP91" s="1337" t="n">
        <v>0</v>
      </c>
      <c r="AQ91" s="1337" t="n">
        <v>0</v>
      </c>
      <c r="AR91" s="1337" t="n">
        <v>0</v>
      </c>
      <c r="AS91" s="1337" t="n">
        <v>0</v>
      </c>
      <c r="AT91" s="1337" t="n">
        <v>0</v>
      </c>
      <c r="AU91" s="1382" t="n"/>
      <c r="AW91" s="1370" t="n">
        <v>0</v>
      </c>
      <c r="AX91" s="1337" t="n">
        <v>0</v>
      </c>
      <c r="AY91" s="1337" t="n">
        <v>0</v>
      </c>
      <c r="AZ91" s="1337" t="n">
        <v>0</v>
      </c>
      <c r="BA91" s="1337" t="n">
        <v>0</v>
      </c>
      <c r="BB91" s="1337" t="n">
        <v>0</v>
      </c>
      <c r="BC91" s="1337" t="n">
        <v>0</v>
      </c>
      <c r="BD91" s="1337" t="n">
        <v>0</v>
      </c>
      <c r="BE91" s="1337" t="n">
        <v>0</v>
      </c>
      <c r="BF91" s="1337" t="n">
        <v>0</v>
      </c>
      <c r="BG91" s="1337" t="n">
        <v>0</v>
      </c>
      <c r="BH91" s="1337" t="n">
        <v>0</v>
      </c>
      <c r="BI91" s="1382" t="n"/>
    </row>
    <row r="92" hidden="1" outlineLevel="2" ht="20" customHeight="1">
      <c r="A92" s="441" t="n"/>
      <c r="B92" s="1354" t="inlineStr">
        <is>
          <t>Commuter Benefit</t>
        </is>
      </c>
      <c r="C92" s="1368" t="inlineStr">
        <is>
          <t xml:space="preserve"> </t>
        </is>
      </c>
      <c r="D92" s="1364" t="n"/>
      <c r="E92" s="1365" t="n"/>
      <c r="F92" s="1370" t="n"/>
      <c r="G92" s="1370" t="n">
        <v>0</v>
      </c>
      <c r="H92" s="1337" t="n">
        <v>0</v>
      </c>
      <c r="I92" s="1337" t="n">
        <v>0</v>
      </c>
      <c r="J92" s="1337" t="n">
        <v>0</v>
      </c>
      <c r="K92" s="1337" t="n">
        <v>0</v>
      </c>
      <c r="L92" s="1337" t="n">
        <v>0</v>
      </c>
      <c r="M92" s="1337" t="n">
        <v>0</v>
      </c>
      <c r="N92" s="1337" t="n">
        <v>0</v>
      </c>
      <c r="O92" s="1337" t="n">
        <v>0</v>
      </c>
      <c r="P92" s="1337" t="n">
        <v>0</v>
      </c>
      <c r="Q92" s="1337" t="n">
        <v>0</v>
      </c>
      <c r="R92" s="1337" t="n">
        <v>0</v>
      </c>
      <c r="S92" s="1382" t="n"/>
      <c r="U92" s="1370" t="n">
        <v>0</v>
      </c>
      <c r="V92" s="1337" t="n">
        <v>0</v>
      </c>
      <c r="W92" s="1337" t="n">
        <v>0</v>
      </c>
      <c r="X92" s="1337" t="n">
        <v>0</v>
      </c>
      <c r="Y92" s="1337" t="n">
        <v>0</v>
      </c>
      <c r="Z92" s="1337" t="n">
        <v>0</v>
      </c>
      <c r="AA92" s="1337" t="n">
        <v>0</v>
      </c>
      <c r="AB92" s="1337" t="n">
        <v>0</v>
      </c>
      <c r="AC92" s="1337" t="n">
        <v>0</v>
      </c>
      <c r="AD92" s="1337" t="n">
        <v>0</v>
      </c>
      <c r="AE92" s="1337" t="n">
        <v>0</v>
      </c>
      <c r="AF92" s="1337" t="n">
        <v>0</v>
      </c>
      <c r="AG92" s="1382" t="n"/>
      <c r="AI92" s="1370" t="n">
        <v>0</v>
      </c>
      <c r="AJ92" s="1337" t="n">
        <v>0</v>
      </c>
      <c r="AK92" s="1337" t="n">
        <v>0</v>
      </c>
      <c r="AL92" s="1337" t="n">
        <v>0</v>
      </c>
      <c r="AM92" s="1337" t="n">
        <v>0</v>
      </c>
      <c r="AN92" s="1337" t="n">
        <v>0</v>
      </c>
      <c r="AO92" s="1337" t="n">
        <v>0</v>
      </c>
      <c r="AP92" s="1337" t="n">
        <v>0</v>
      </c>
      <c r="AQ92" s="1337" t="n">
        <v>0</v>
      </c>
      <c r="AR92" s="1337" t="n">
        <v>0</v>
      </c>
      <c r="AS92" s="1337" t="n">
        <v>0</v>
      </c>
      <c r="AT92" s="1337" t="n">
        <v>0</v>
      </c>
      <c r="AU92" s="1382" t="n"/>
      <c r="AW92" s="1370" t="n">
        <v>0</v>
      </c>
      <c r="AX92" s="1337" t="n">
        <v>0</v>
      </c>
      <c r="AY92" s="1337" t="n">
        <v>0</v>
      </c>
      <c r="AZ92" s="1337" t="n">
        <v>0</v>
      </c>
      <c r="BA92" s="1337" t="n">
        <v>0</v>
      </c>
      <c r="BB92" s="1337" t="n">
        <v>0</v>
      </c>
      <c r="BC92" s="1337" t="n">
        <v>0</v>
      </c>
      <c r="BD92" s="1337" t="n">
        <v>0</v>
      </c>
      <c r="BE92" s="1337" t="n">
        <v>0</v>
      </c>
      <c r="BF92" s="1337" t="n">
        <v>0</v>
      </c>
      <c r="BG92" s="1337" t="n">
        <v>0</v>
      </c>
      <c r="BH92" s="1337" t="n">
        <v>0</v>
      </c>
      <c r="BI92" s="1382" t="n"/>
    </row>
    <row r="93" hidden="1" outlineLevel="2" ht="20" customHeight="1">
      <c r="A93" s="441" t="n"/>
      <c r="B93" s="1354" t="inlineStr">
        <is>
          <t>WorkerS Comp</t>
        </is>
      </c>
      <c r="C93" s="1368" t="inlineStr">
        <is>
          <t xml:space="preserve"> </t>
        </is>
      </c>
      <c r="D93" s="1364" t="n"/>
      <c r="E93" s="1365" t="n"/>
      <c r="F93" s="1370" t="n"/>
      <c r="G93" s="1370" t="n">
        <v>0</v>
      </c>
      <c r="H93" s="1337" t="n">
        <v>0</v>
      </c>
      <c r="I93" s="1337" t="n">
        <v>0</v>
      </c>
      <c r="J93" s="1337" t="n">
        <v>0</v>
      </c>
      <c r="K93" s="1337" t="n">
        <v>0</v>
      </c>
      <c r="L93" s="1337" t="n">
        <v>0</v>
      </c>
      <c r="M93" s="1337" t="n">
        <v>0</v>
      </c>
      <c r="N93" s="1337" t="n">
        <v>0</v>
      </c>
      <c r="O93" s="1337" t="n">
        <v>0</v>
      </c>
      <c r="P93" s="1337" t="n">
        <v>0</v>
      </c>
      <c r="Q93" s="1337" t="n">
        <v>0</v>
      </c>
      <c r="R93" s="1337" t="n">
        <v>0</v>
      </c>
      <c r="S93" s="1382" t="n"/>
      <c r="U93" s="1370" t="n">
        <v>0</v>
      </c>
      <c r="V93" s="1337" t="n">
        <v>0</v>
      </c>
      <c r="W93" s="1337" t="n">
        <v>0</v>
      </c>
      <c r="X93" s="1337" t="n">
        <v>0</v>
      </c>
      <c r="Y93" s="1337" t="n">
        <v>0</v>
      </c>
      <c r="Z93" s="1337" t="n">
        <v>0</v>
      </c>
      <c r="AA93" s="1337" t="n">
        <v>0</v>
      </c>
      <c r="AB93" s="1337" t="n">
        <v>0</v>
      </c>
      <c r="AC93" s="1337" t="n">
        <v>0</v>
      </c>
      <c r="AD93" s="1337" t="n">
        <v>0</v>
      </c>
      <c r="AE93" s="1337" t="n">
        <v>0</v>
      </c>
      <c r="AF93" s="1337" t="n">
        <v>0</v>
      </c>
      <c r="AG93" s="1382" t="n"/>
      <c r="AI93" s="1370" t="n">
        <v>0</v>
      </c>
      <c r="AJ93" s="1337" t="n">
        <v>0</v>
      </c>
      <c r="AK93" s="1337" t="n">
        <v>0</v>
      </c>
      <c r="AL93" s="1337" t="n">
        <v>0</v>
      </c>
      <c r="AM93" s="1337" t="n">
        <v>0</v>
      </c>
      <c r="AN93" s="1337" t="n">
        <v>0</v>
      </c>
      <c r="AO93" s="1337" t="n">
        <v>0</v>
      </c>
      <c r="AP93" s="1337" t="n">
        <v>0</v>
      </c>
      <c r="AQ93" s="1337" t="n">
        <v>0</v>
      </c>
      <c r="AR93" s="1337" t="n">
        <v>0</v>
      </c>
      <c r="AS93" s="1337" t="n">
        <v>0</v>
      </c>
      <c r="AT93" s="1337" t="n">
        <v>0</v>
      </c>
      <c r="AU93" s="1382" t="n"/>
      <c r="AW93" s="1370" t="n">
        <v>0</v>
      </c>
      <c r="AX93" s="1337" t="n">
        <v>0</v>
      </c>
      <c r="AY93" s="1337" t="n">
        <v>0</v>
      </c>
      <c r="AZ93" s="1337" t="n">
        <v>0</v>
      </c>
      <c r="BA93" s="1337" t="n">
        <v>0</v>
      </c>
      <c r="BB93" s="1337" t="n">
        <v>0</v>
      </c>
      <c r="BC93" s="1337" t="n">
        <v>0</v>
      </c>
      <c r="BD93" s="1337" t="n">
        <v>0</v>
      </c>
      <c r="BE93" s="1337" t="n">
        <v>0</v>
      </c>
      <c r="BF93" s="1337" t="n">
        <v>0</v>
      </c>
      <c r="BG93" s="1337" t="n">
        <v>0</v>
      </c>
      <c r="BH93" s="1337" t="n">
        <v>0</v>
      </c>
      <c r="BI93" s="1382" t="n"/>
    </row>
    <row r="94" hidden="1" outlineLevel="2" ht="20" customHeight="1">
      <c r="A94" s="441" t="n"/>
      <c r="B94" s="1354" t="inlineStr">
        <is>
          <t>Home Leave Ps</t>
        </is>
      </c>
      <c r="C94" s="1368" t="inlineStr">
        <is>
          <t xml:space="preserve"> </t>
        </is>
      </c>
      <c r="D94" s="1364" t="n"/>
      <c r="E94" s="1365" t="n"/>
      <c r="F94" s="1370" t="n"/>
      <c r="G94" s="1370" t="n">
        <v>0</v>
      </c>
      <c r="H94" s="1337" t="n">
        <v>0</v>
      </c>
      <c r="I94" s="1337" t="n">
        <v>0</v>
      </c>
      <c r="J94" s="1337" t="n">
        <v>0</v>
      </c>
      <c r="K94" s="1337" t="n">
        <v>0</v>
      </c>
      <c r="L94" s="1337" t="n">
        <v>0</v>
      </c>
      <c r="M94" s="1337" t="n">
        <v>0</v>
      </c>
      <c r="N94" s="1337" t="n">
        <v>0</v>
      </c>
      <c r="O94" s="1337" t="n">
        <v>0</v>
      </c>
      <c r="P94" s="1337" t="n">
        <v>0</v>
      </c>
      <c r="Q94" s="1337" t="n">
        <v>0</v>
      </c>
      <c r="R94" s="1337" t="n">
        <v>0</v>
      </c>
      <c r="S94" s="1382" t="n"/>
      <c r="U94" s="1370" t="n">
        <v>0</v>
      </c>
      <c r="V94" s="1337" t="n">
        <v>0</v>
      </c>
      <c r="W94" s="1337" t="n">
        <v>0</v>
      </c>
      <c r="X94" s="1337" t="n">
        <v>0</v>
      </c>
      <c r="Y94" s="1337" t="n">
        <v>0</v>
      </c>
      <c r="Z94" s="1337" t="n">
        <v>0</v>
      </c>
      <c r="AA94" s="1337" t="n">
        <v>0</v>
      </c>
      <c r="AB94" s="1337" t="n">
        <v>0</v>
      </c>
      <c r="AC94" s="1337" t="n">
        <v>0</v>
      </c>
      <c r="AD94" s="1337" t="n">
        <v>0</v>
      </c>
      <c r="AE94" s="1337" t="n">
        <v>0</v>
      </c>
      <c r="AF94" s="1337" t="n">
        <v>0</v>
      </c>
      <c r="AG94" s="1382" t="n"/>
      <c r="AI94" s="1370" t="n">
        <v>0</v>
      </c>
      <c r="AJ94" s="1337" t="n">
        <v>0</v>
      </c>
      <c r="AK94" s="1337" t="n">
        <v>0</v>
      </c>
      <c r="AL94" s="1337" t="n">
        <v>0</v>
      </c>
      <c r="AM94" s="1337" t="n">
        <v>0</v>
      </c>
      <c r="AN94" s="1337" t="n">
        <v>0</v>
      </c>
      <c r="AO94" s="1337" t="n">
        <v>0</v>
      </c>
      <c r="AP94" s="1337" t="n">
        <v>0</v>
      </c>
      <c r="AQ94" s="1337" t="n">
        <v>0</v>
      </c>
      <c r="AR94" s="1337" t="n">
        <v>0</v>
      </c>
      <c r="AS94" s="1337" t="n">
        <v>0</v>
      </c>
      <c r="AT94" s="1337" t="n">
        <v>0</v>
      </c>
      <c r="AU94" s="1382" t="n"/>
      <c r="AW94" s="1370" t="n">
        <v>0</v>
      </c>
      <c r="AX94" s="1337" t="n">
        <v>0</v>
      </c>
      <c r="AY94" s="1337" t="n">
        <v>0</v>
      </c>
      <c r="AZ94" s="1337" t="n">
        <v>0</v>
      </c>
      <c r="BA94" s="1337" t="n">
        <v>0</v>
      </c>
      <c r="BB94" s="1337" t="n">
        <v>0</v>
      </c>
      <c r="BC94" s="1337" t="n">
        <v>0</v>
      </c>
      <c r="BD94" s="1337" t="n">
        <v>0</v>
      </c>
      <c r="BE94" s="1337" t="n">
        <v>0</v>
      </c>
      <c r="BF94" s="1337" t="n">
        <v>0</v>
      </c>
      <c r="BG94" s="1337" t="n">
        <v>0</v>
      </c>
      <c r="BH94" s="1337" t="n">
        <v>0</v>
      </c>
      <c r="BI94" s="1382" t="n"/>
    </row>
    <row r="95" hidden="1" outlineLevel="2" ht="20" customHeight="1">
      <c r="A95" s="441" t="n"/>
      <c r="B95" s="1354" t="inlineStr">
        <is>
          <t>Holiday</t>
        </is>
      </c>
      <c r="C95" s="1368" t="inlineStr">
        <is>
          <t xml:space="preserve"> </t>
        </is>
      </c>
      <c r="D95" s="1364" t="n"/>
      <c r="E95" s="1365" t="n"/>
      <c r="F95" s="1370" t="n"/>
      <c r="G95" s="1370" t="n">
        <v>0</v>
      </c>
      <c r="H95" s="1337" t="n">
        <v>0</v>
      </c>
      <c r="I95" s="1337" t="n">
        <v>0</v>
      </c>
      <c r="J95" s="1337" t="n">
        <v>0</v>
      </c>
      <c r="K95" s="1337" t="n">
        <v>0</v>
      </c>
      <c r="L95" s="1337" t="n">
        <v>0</v>
      </c>
      <c r="M95" s="1337" t="n">
        <v>0</v>
      </c>
      <c r="N95" s="1337" t="n">
        <v>0</v>
      </c>
      <c r="O95" s="1337" t="n">
        <v>0</v>
      </c>
      <c r="P95" s="1337" t="n">
        <v>0</v>
      </c>
      <c r="Q95" s="1337" t="n">
        <v>0</v>
      </c>
      <c r="R95" s="1337" t="n">
        <v>0</v>
      </c>
      <c r="S95" s="1382" t="n"/>
      <c r="U95" s="1370" t="n">
        <v>0</v>
      </c>
      <c r="V95" s="1337" t="n">
        <v>0</v>
      </c>
      <c r="W95" s="1337" t="n">
        <v>0</v>
      </c>
      <c r="X95" s="1337" t="n">
        <v>0</v>
      </c>
      <c r="Y95" s="1337" t="n">
        <v>0</v>
      </c>
      <c r="Z95" s="1337" t="n">
        <v>0</v>
      </c>
      <c r="AA95" s="1337" t="n">
        <v>0</v>
      </c>
      <c r="AB95" s="1337" t="n">
        <v>0</v>
      </c>
      <c r="AC95" s="1337" t="n">
        <v>0</v>
      </c>
      <c r="AD95" s="1337" t="n">
        <v>0</v>
      </c>
      <c r="AE95" s="1337" t="n">
        <v>0</v>
      </c>
      <c r="AF95" s="1337" t="n">
        <v>0</v>
      </c>
      <c r="AG95" s="1382" t="n"/>
      <c r="AI95" s="1370" t="n">
        <v>0</v>
      </c>
      <c r="AJ95" s="1337" t="n">
        <v>0</v>
      </c>
      <c r="AK95" s="1337" t="n">
        <v>0</v>
      </c>
      <c r="AL95" s="1337" t="n">
        <v>0</v>
      </c>
      <c r="AM95" s="1337" t="n">
        <v>0</v>
      </c>
      <c r="AN95" s="1337" t="n">
        <v>0</v>
      </c>
      <c r="AO95" s="1337" t="n">
        <v>0</v>
      </c>
      <c r="AP95" s="1337" t="n">
        <v>0</v>
      </c>
      <c r="AQ95" s="1337" t="n">
        <v>0</v>
      </c>
      <c r="AR95" s="1337" t="n">
        <v>0</v>
      </c>
      <c r="AS95" s="1337" t="n">
        <v>0</v>
      </c>
      <c r="AT95" s="1337" t="n">
        <v>0</v>
      </c>
      <c r="AU95" s="1382" t="n"/>
      <c r="AW95" s="1370" t="n">
        <v>0</v>
      </c>
      <c r="AX95" s="1337" t="n">
        <v>0</v>
      </c>
      <c r="AY95" s="1337" t="n">
        <v>0</v>
      </c>
      <c r="AZ95" s="1337" t="n">
        <v>0</v>
      </c>
      <c r="BA95" s="1337" t="n">
        <v>0</v>
      </c>
      <c r="BB95" s="1337" t="n">
        <v>0</v>
      </c>
      <c r="BC95" s="1337" t="n">
        <v>0</v>
      </c>
      <c r="BD95" s="1337" t="n">
        <v>0</v>
      </c>
      <c r="BE95" s="1337" t="n">
        <v>0</v>
      </c>
      <c r="BF95" s="1337" t="n">
        <v>0</v>
      </c>
      <c r="BG95" s="1337" t="n">
        <v>0</v>
      </c>
      <c r="BH95" s="1337" t="n">
        <v>0</v>
      </c>
      <c r="BI95" s="1382" t="n"/>
    </row>
    <row r="96" hidden="1" outlineLevel="2" ht="20" customHeight="1">
      <c r="A96" s="441" t="n"/>
      <c r="B96" s="1354" t="inlineStr">
        <is>
          <t>Birthday</t>
        </is>
      </c>
      <c r="C96" s="1368" t="inlineStr">
        <is>
          <t xml:space="preserve"> </t>
        </is>
      </c>
      <c r="D96" s="1364" t="n"/>
      <c r="E96" s="1365" t="n"/>
      <c r="F96" s="1370" t="n"/>
      <c r="G96" s="1370" t="n">
        <v>0</v>
      </c>
      <c r="H96" s="1337" t="n">
        <v>0</v>
      </c>
      <c r="I96" s="1337" t="n">
        <v>0</v>
      </c>
      <c r="J96" s="1337" t="n">
        <v>0</v>
      </c>
      <c r="K96" s="1337" t="n">
        <v>0</v>
      </c>
      <c r="L96" s="1337" t="n">
        <v>0</v>
      </c>
      <c r="M96" s="1337" t="n">
        <v>0</v>
      </c>
      <c r="N96" s="1337" t="n">
        <v>0</v>
      </c>
      <c r="O96" s="1337" t="n">
        <v>0</v>
      </c>
      <c r="P96" s="1337" t="n">
        <v>0</v>
      </c>
      <c r="Q96" s="1337" t="n">
        <v>0</v>
      </c>
      <c r="R96" s="1337" t="n">
        <v>0</v>
      </c>
      <c r="S96" s="1382" t="n"/>
      <c r="U96" s="1370" t="n">
        <v>0</v>
      </c>
      <c r="V96" s="1337" t="n">
        <v>0</v>
      </c>
      <c r="W96" s="1337" t="n">
        <v>0</v>
      </c>
      <c r="X96" s="1337" t="n">
        <v>0</v>
      </c>
      <c r="Y96" s="1337" t="n">
        <v>0</v>
      </c>
      <c r="Z96" s="1337" t="n">
        <v>0</v>
      </c>
      <c r="AA96" s="1337" t="n">
        <v>0</v>
      </c>
      <c r="AB96" s="1337" t="n">
        <v>0</v>
      </c>
      <c r="AC96" s="1337" t="n">
        <v>0</v>
      </c>
      <c r="AD96" s="1337" t="n">
        <v>0</v>
      </c>
      <c r="AE96" s="1337" t="n">
        <v>0</v>
      </c>
      <c r="AF96" s="1337" t="n">
        <v>0</v>
      </c>
      <c r="AG96" s="1382" t="n"/>
      <c r="AI96" s="1370" t="n">
        <v>0</v>
      </c>
      <c r="AJ96" s="1337" t="n">
        <v>0</v>
      </c>
      <c r="AK96" s="1337" t="n">
        <v>0</v>
      </c>
      <c r="AL96" s="1337" t="n">
        <v>0</v>
      </c>
      <c r="AM96" s="1337" t="n">
        <v>0</v>
      </c>
      <c r="AN96" s="1337" t="n">
        <v>0</v>
      </c>
      <c r="AO96" s="1337" t="n">
        <v>0</v>
      </c>
      <c r="AP96" s="1337" t="n">
        <v>0</v>
      </c>
      <c r="AQ96" s="1337" t="n">
        <v>0</v>
      </c>
      <c r="AR96" s="1337" t="n">
        <v>0</v>
      </c>
      <c r="AS96" s="1337" t="n">
        <v>0</v>
      </c>
      <c r="AT96" s="1337" t="n">
        <v>0</v>
      </c>
      <c r="AU96" s="1382" t="n"/>
      <c r="AW96" s="1370" t="n">
        <v>0</v>
      </c>
      <c r="AX96" s="1337" t="n">
        <v>0</v>
      </c>
      <c r="AY96" s="1337" t="n">
        <v>0</v>
      </c>
      <c r="AZ96" s="1337" t="n">
        <v>0</v>
      </c>
      <c r="BA96" s="1337" t="n">
        <v>0</v>
      </c>
      <c r="BB96" s="1337" t="n">
        <v>0</v>
      </c>
      <c r="BC96" s="1337" t="n">
        <v>0</v>
      </c>
      <c r="BD96" s="1337" t="n">
        <v>0</v>
      </c>
      <c r="BE96" s="1337" t="n">
        <v>0</v>
      </c>
      <c r="BF96" s="1337" t="n">
        <v>0</v>
      </c>
      <c r="BG96" s="1337" t="n">
        <v>0</v>
      </c>
      <c r="BH96" s="1337" t="n">
        <v>0</v>
      </c>
      <c r="BI96" s="1382" t="n"/>
    </row>
    <row r="97" hidden="1" outlineLevel="2" ht="20" customHeight="1">
      <c r="A97" s="441" t="n"/>
      <c r="B97" s="1354" t="inlineStr">
        <is>
          <t>Holiday Prmmgt</t>
        </is>
      </c>
      <c r="C97" s="1368" t="inlineStr">
        <is>
          <t xml:space="preserve"> </t>
        </is>
      </c>
      <c r="D97" s="1364" t="n"/>
      <c r="E97" s="1365" t="n"/>
      <c r="F97" s="1370" t="n"/>
      <c r="G97" s="1370" t="n">
        <v>0</v>
      </c>
      <c r="H97" s="1337" t="n">
        <v>0</v>
      </c>
      <c r="I97" s="1337" t="n">
        <v>0</v>
      </c>
      <c r="J97" s="1337" t="n">
        <v>0</v>
      </c>
      <c r="K97" s="1337" t="n">
        <v>0</v>
      </c>
      <c r="L97" s="1337" t="n">
        <v>0</v>
      </c>
      <c r="M97" s="1337" t="n">
        <v>0</v>
      </c>
      <c r="N97" s="1337" t="n">
        <v>0</v>
      </c>
      <c r="O97" s="1337" t="n">
        <v>0</v>
      </c>
      <c r="P97" s="1337" t="n">
        <v>0</v>
      </c>
      <c r="Q97" s="1337" t="n">
        <v>0</v>
      </c>
      <c r="R97" s="1337" t="n">
        <v>0</v>
      </c>
      <c r="S97" s="1382" t="n"/>
      <c r="U97" s="1370" t="n">
        <v>0</v>
      </c>
      <c r="V97" s="1337" t="n">
        <v>0</v>
      </c>
      <c r="W97" s="1337" t="n">
        <v>0</v>
      </c>
      <c r="X97" s="1337" t="n">
        <v>0</v>
      </c>
      <c r="Y97" s="1337" t="n">
        <v>0</v>
      </c>
      <c r="Z97" s="1337" t="n">
        <v>0</v>
      </c>
      <c r="AA97" s="1337" t="n">
        <v>0</v>
      </c>
      <c r="AB97" s="1337" t="n">
        <v>0</v>
      </c>
      <c r="AC97" s="1337" t="n">
        <v>0</v>
      </c>
      <c r="AD97" s="1337" t="n">
        <v>0</v>
      </c>
      <c r="AE97" s="1337" t="n">
        <v>0</v>
      </c>
      <c r="AF97" s="1337" t="n">
        <v>0</v>
      </c>
      <c r="AG97" s="1382" t="n"/>
      <c r="AI97" s="1370" t="n">
        <v>0</v>
      </c>
      <c r="AJ97" s="1337" t="n">
        <v>0</v>
      </c>
      <c r="AK97" s="1337" t="n">
        <v>0</v>
      </c>
      <c r="AL97" s="1337" t="n">
        <v>0</v>
      </c>
      <c r="AM97" s="1337" t="n">
        <v>0</v>
      </c>
      <c r="AN97" s="1337" t="n">
        <v>0</v>
      </c>
      <c r="AO97" s="1337" t="n">
        <v>0</v>
      </c>
      <c r="AP97" s="1337" t="n">
        <v>0</v>
      </c>
      <c r="AQ97" s="1337" t="n">
        <v>0</v>
      </c>
      <c r="AR97" s="1337" t="n">
        <v>0</v>
      </c>
      <c r="AS97" s="1337" t="n">
        <v>0</v>
      </c>
      <c r="AT97" s="1337" t="n">
        <v>0</v>
      </c>
      <c r="AU97" s="1382" t="n"/>
      <c r="AW97" s="1370" t="n">
        <v>0</v>
      </c>
      <c r="AX97" s="1337" t="n">
        <v>0</v>
      </c>
      <c r="AY97" s="1337" t="n">
        <v>0</v>
      </c>
      <c r="AZ97" s="1337" t="n">
        <v>0</v>
      </c>
      <c r="BA97" s="1337" t="n">
        <v>0</v>
      </c>
      <c r="BB97" s="1337" t="n">
        <v>0</v>
      </c>
      <c r="BC97" s="1337" t="n">
        <v>0</v>
      </c>
      <c r="BD97" s="1337" t="n">
        <v>0</v>
      </c>
      <c r="BE97" s="1337" t="n">
        <v>0</v>
      </c>
      <c r="BF97" s="1337" t="n">
        <v>0</v>
      </c>
      <c r="BG97" s="1337" t="n">
        <v>0</v>
      </c>
      <c r="BH97" s="1337" t="n">
        <v>0</v>
      </c>
      <c r="BI97" s="1382" t="n"/>
    </row>
    <row r="98" hidden="1" outlineLevel="2" ht="20" customHeight="1">
      <c r="A98" s="441" t="n"/>
      <c r="B98" s="1354" t="inlineStr">
        <is>
          <t>Funeral Leave</t>
        </is>
      </c>
      <c r="C98" s="1368" t="inlineStr">
        <is>
          <t xml:space="preserve"> </t>
        </is>
      </c>
      <c r="D98" s="1364" t="n"/>
      <c r="E98" s="1365" t="n"/>
      <c r="F98" s="1370" t="n"/>
      <c r="G98" s="1370" t="n">
        <v>0</v>
      </c>
      <c r="H98" s="1337" t="n">
        <v>0</v>
      </c>
      <c r="I98" s="1337" t="n">
        <v>0</v>
      </c>
      <c r="J98" s="1337" t="n">
        <v>0</v>
      </c>
      <c r="K98" s="1337" t="n">
        <v>0</v>
      </c>
      <c r="L98" s="1337" t="n">
        <v>0</v>
      </c>
      <c r="M98" s="1337" t="n">
        <v>0</v>
      </c>
      <c r="N98" s="1337" t="n">
        <v>0</v>
      </c>
      <c r="O98" s="1337" t="n">
        <v>0</v>
      </c>
      <c r="P98" s="1337" t="n">
        <v>0</v>
      </c>
      <c r="Q98" s="1337" t="n">
        <v>0</v>
      </c>
      <c r="R98" s="1337" t="n">
        <v>0</v>
      </c>
      <c r="S98" s="1382" t="n"/>
      <c r="U98" s="1370" t="n">
        <v>0</v>
      </c>
      <c r="V98" s="1337" t="n">
        <v>0</v>
      </c>
      <c r="W98" s="1337" t="n">
        <v>0</v>
      </c>
      <c r="X98" s="1337" t="n">
        <v>0</v>
      </c>
      <c r="Y98" s="1337" t="n">
        <v>0</v>
      </c>
      <c r="Z98" s="1337" t="n">
        <v>0</v>
      </c>
      <c r="AA98" s="1337" t="n">
        <v>0</v>
      </c>
      <c r="AB98" s="1337" t="n">
        <v>0</v>
      </c>
      <c r="AC98" s="1337" t="n">
        <v>0</v>
      </c>
      <c r="AD98" s="1337" t="n">
        <v>0</v>
      </c>
      <c r="AE98" s="1337" t="n">
        <v>0</v>
      </c>
      <c r="AF98" s="1337" t="n">
        <v>0</v>
      </c>
      <c r="AG98" s="1382" t="n"/>
      <c r="AI98" s="1370" t="n">
        <v>0</v>
      </c>
      <c r="AJ98" s="1337" t="n">
        <v>0</v>
      </c>
      <c r="AK98" s="1337" t="n">
        <v>0</v>
      </c>
      <c r="AL98" s="1337" t="n">
        <v>0</v>
      </c>
      <c r="AM98" s="1337" t="n">
        <v>0</v>
      </c>
      <c r="AN98" s="1337" t="n">
        <v>0</v>
      </c>
      <c r="AO98" s="1337" t="n">
        <v>0</v>
      </c>
      <c r="AP98" s="1337" t="n">
        <v>0</v>
      </c>
      <c r="AQ98" s="1337" t="n">
        <v>0</v>
      </c>
      <c r="AR98" s="1337" t="n">
        <v>0</v>
      </c>
      <c r="AS98" s="1337" t="n">
        <v>0</v>
      </c>
      <c r="AT98" s="1337" t="n">
        <v>0</v>
      </c>
      <c r="AU98" s="1382" t="n"/>
      <c r="AW98" s="1370" t="n">
        <v>0</v>
      </c>
      <c r="AX98" s="1337" t="n">
        <v>0</v>
      </c>
      <c r="AY98" s="1337" t="n">
        <v>0</v>
      </c>
      <c r="AZ98" s="1337" t="n">
        <v>0</v>
      </c>
      <c r="BA98" s="1337" t="n">
        <v>0</v>
      </c>
      <c r="BB98" s="1337" t="n">
        <v>0</v>
      </c>
      <c r="BC98" s="1337" t="n">
        <v>0</v>
      </c>
      <c r="BD98" s="1337" t="n">
        <v>0</v>
      </c>
      <c r="BE98" s="1337" t="n">
        <v>0</v>
      </c>
      <c r="BF98" s="1337" t="n">
        <v>0</v>
      </c>
      <c r="BG98" s="1337" t="n">
        <v>0</v>
      </c>
      <c r="BH98" s="1337" t="n">
        <v>0</v>
      </c>
      <c r="BI98" s="1382" t="n"/>
    </row>
    <row r="99" hidden="1" outlineLevel="2" ht="20" customHeight="1">
      <c r="A99" s="441" t="n"/>
      <c r="B99" s="1354" t="inlineStr">
        <is>
          <t>Jury Duty</t>
        </is>
      </c>
      <c r="C99" s="1368" t="inlineStr">
        <is>
          <t xml:space="preserve"> </t>
        </is>
      </c>
      <c r="D99" s="1364" t="n"/>
      <c r="E99" s="1365" t="n"/>
      <c r="F99" s="1370" t="n"/>
      <c r="G99" s="1370" t="n">
        <v>0</v>
      </c>
      <c r="H99" s="1337" t="n">
        <v>0</v>
      </c>
      <c r="I99" s="1337" t="n">
        <v>0</v>
      </c>
      <c r="J99" s="1337" t="n">
        <v>0</v>
      </c>
      <c r="K99" s="1337" t="n">
        <v>0</v>
      </c>
      <c r="L99" s="1337" t="n">
        <v>0</v>
      </c>
      <c r="M99" s="1337" t="n">
        <v>0</v>
      </c>
      <c r="N99" s="1337" t="n">
        <v>0</v>
      </c>
      <c r="O99" s="1337" t="n">
        <v>0</v>
      </c>
      <c r="P99" s="1337" t="n">
        <v>0</v>
      </c>
      <c r="Q99" s="1337" t="n">
        <v>0</v>
      </c>
      <c r="R99" s="1337" t="n">
        <v>0</v>
      </c>
      <c r="S99" s="1382" t="n"/>
      <c r="U99" s="1370" t="n">
        <v>0</v>
      </c>
      <c r="V99" s="1337" t="n">
        <v>0</v>
      </c>
      <c r="W99" s="1337" t="n">
        <v>0</v>
      </c>
      <c r="X99" s="1337" t="n">
        <v>0</v>
      </c>
      <c r="Y99" s="1337" t="n">
        <v>0</v>
      </c>
      <c r="Z99" s="1337" t="n">
        <v>0</v>
      </c>
      <c r="AA99" s="1337" t="n">
        <v>0</v>
      </c>
      <c r="AB99" s="1337" t="n">
        <v>0</v>
      </c>
      <c r="AC99" s="1337" t="n">
        <v>0</v>
      </c>
      <c r="AD99" s="1337" t="n">
        <v>0</v>
      </c>
      <c r="AE99" s="1337" t="n">
        <v>0</v>
      </c>
      <c r="AF99" s="1337" t="n">
        <v>0</v>
      </c>
      <c r="AG99" s="1382" t="n"/>
      <c r="AI99" s="1370" t="n">
        <v>0</v>
      </c>
      <c r="AJ99" s="1337" t="n">
        <v>0</v>
      </c>
      <c r="AK99" s="1337" t="n">
        <v>0</v>
      </c>
      <c r="AL99" s="1337" t="n">
        <v>0</v>
      </c>
      <c r="AM99" s="1337" t="n">
        <v>0</v>
      </c>
      <c r="AN99" s="1337" t="n">
        <v>0</v>
      </c>
      <c r="AO99" s="1337" t="n">
        <v>0</v>
      </c>
      <c r="AP99" s="1337" t="n">
        <v>0</v>
      </c>
      <c r="AQ99" s="1337" t="n">
        <v>0</v>
      </c>
      <c r="AR99" s="1337" t="n">
        <v>0</v>
      </c>
      <c r="AS99" s="1337" t="n">
        <v>0</v>
      </c>
      <c r="AT99" s="1337" t="n">
        <v>0</v>
      </c>
      <c r="AU99" s="1382" t="n"/>
      <c r="AW99" s="1370" t="n">
        <v>0</v>
      </c>
      <c r="AX99" s="1337" t="n">
        <v>0</v>
      </c>
      <c r="AY99" s="1337" t="n">
        <v>0</v>
      </c>
      <c r="AZ99" s="1337" t="n">
        <v>0</v>
      </c>
      <c r="BA99" s="1337" t="n">
        <v>0</v>
      </c>
      <c r="BB99" s="1337" t="n">
        <v>0</v>
      </c>
      <c r="BC99" s="1337" t="n">
        <v>0</v>
      </c>
      <c r="BD99" s="1337" t="n">
        <v>0</v>
      </c>
      <c r="BE99" s="1337" t="n">
        <v>0</v>
      </c>
      <c r="BF99" s="1337" t="n">
        <v>0</v>
      </c>
      <c r="BG99" s="1337" t="n">
        <v>0</v>
      </c>
      <c r="BH99" s="1337" t="n">
        <v>0</v>
      </c>
      <c r="BI99" s="1382" t="n"/>
    </row>
    <row r="100" hidden="1" outlineLevel="2" ht="20" customHeight="1">
      <c r="A100" s="441" t="n"/>
      <c r="B100" s="1354" t="inlineStr">
        <is>
          <t>WC EPL Premium</t>
        </is>
      </c>
      <c r="C100" s="1368" t="inlineStr">
        <is>
          <t xml:space="preserve"> </t>
        </is>
      </c>
      <c r="D100" s="1364" t="n"/>
      <c r="E100" s="1365" t="n"/>
      <c r="F100" s="1370" t="n"/>
      <c r="G100" s="1370" t="n">
        <v>0</v>
      </c>
      <c r="H100" s="1337" t="n">
        <v>0</v>
      </c>
      <c r="I100" s="1337" t="n">
        <v>0</v>
      </c>
      <c r="J100" s="1337" t="n">
        <v>0</v>
      </c>
      <c r="K100" s="1337" t="n">
        <v>0</v>
      </c>
      <c r="L100" s="1337" t="n">
        <v>0</v>
      </c>
      <c r="M100" s="1337" t="n">
        <v>0</v>
      </c>
      <c r="N100" s="1337" t="n">
        <v>0</v>
      </c>
      <c r="O100" s="1337" t="n">
        <v>0</v>
      </c>
      <c r="P100" s="1337" t="n">
        <v>0</v>
      </c>
      <c r="Q100" s="1337" t="n">
        <v>0</v>
      </c>
      <c r="R100" s="1337" t="n">
        <v>0</v>
      </c>
      <c r="S100" s="1382" t="n"/>
      <c r="U100" s="1370" t="n">
        <v>0</v>
      </c>
      <c r="V100" s="1337" t="n">
        <v>0</v>
      </c>
      <c r="W100" s="1337" t="n">
        <v>0</v>
      </c>
      <c r="X100" s="1337" t="n">
        <v>0</v>
      </c>
      <c r="Y100" s="1337" t="n">
        <v>0</v>
      </c>
      <c r="Z100" s="1337" t="n">
        <v>0</v>
      </c>
      <c r="AA100" s="1337" t="n">
        <v>0</v>
      </c>
      <c r="AB100" s="1337" t="n">
        <v>0</v>
      </c>
      <c r="AC100" s="1337" t="n">
        <v>0</v>
      </c>
      <c r="AD100" s="1337" t="n">
        <v>0</v>
      </c>
      <c r="AE100" s="1337" t="n">
        <v>0</v>
      </c>
      <c r="AF100" s="1337" t="n">
        <v>0</v>
      </c>
      <c r="AG100" s="1382" t="n"/>
      <c r="AI100" s="1370" t="n">
        <v>0</v>
      </c>
      <c r="AJ100" s="1337" t="n">
        <v>0</v>
      </c>
      <c r="AK100" s="1337" t="n">
        <v>0</v>
      </c>
      <c r="AL100" s="1337" t="n">
        <v>0</v>
      </c>
      <c r="AM100" s="1337" t="n">
        <v>0</v>
      </c>
      <c r="AN100" s="1337" t="n">
        <v>0</v>
      </c>
      <c r="AO100" s="1337" t="n">
        <v>0</v>
      </c>
      <c r="AP100" s="1337" t="n">
        <v>0</v>
      </c>
      <c r="AQ100" s="1337" t="n">
        <v>0</v>
      </c>
      <c r="AR100" s="1337" t="n">
        <v>0</v>
      </c>
      <c r="AS100" s="1337" t="n">
        <v>0</v>
      </c>
      <c r="AT100" s="1337" t="n">
        <v>0</v>
      </c>
      <c r="AU100" s="1382" t="n"/>
      <c r="AW100" s="1370" t="n">
        <v>0</v>
      </c>
      <c r="AX100" s="1337" t="n">
        <v>0</v>
      </c>
      <c r="AY100" s="1337" t="n">
        <v>0</v>
      </c>
      <c r="AZ100" s="1337" t="n">
        <v>0</v>
      </c>
      <c r="BA100" s="1337" t="n">
        <v>0</v>
      </c>
      <c r="BB100" s="1337" t="n">
        <v>0</v>
      </c>
      <c r="BC100" s="1337" t="n">
        <v>0</v>
      </c>
      <c r="BD100" s="1337" t="n">
        <v>0</v>
      </c>
      <c r="BE100" s="1337" t="n">
        <v>0</v>
      </c>
      <c r="BF100" s="1337" t="n">
        <v>0</v>
      </c>
      <c r="BG100" s="1337" t="n">
        <v>0</v>
      </c>
      <c r="BH100" s="1337" t="n">
        <v>0</v>
      </c>
      <c r="BI100" s="1382" t="n"/>
    </row>
    <row r="101" hidden="1" outlineLevel="2" ht="20" customHeight="1">
      <c r="A101" s="441" t="n"/>
      <c r="B101" s="1354" t="inlineStr">
        <is>
          <t>WC Deductibles  Current Year</t>
        </is>
      </c>
      <c r="C101" s="1368" t="inlineStr">
        <is>
          <t xml:space="preserve"> </t>
        </is>
      </c>
      <c r="D101" s="1364" t="n"/>
      <c r="E101" s="1365" t="n"/>
      <c r="F101" s="1370" t="n"/>
      <c r="G101" s="1370" t="n">
        <v>0</v>
      </c>
      <c r="H101" s="1337" t="n">
        <v>0</v>
      </c>
      <c r="I101" s="1337" t="n">
        <v>0</v>
      </c>
      <c r="J101" s="1337" t="n">
        <v>0</v>
      </c>
      <c r="K101" s="1337" t="n">
        <v>0</v>
      </c>
      <c r="L101" s="1337" t="n">
        <v>0</v>
      </c>
      <c r="M101" s="1337" t="n">
        <v>0</v>
      </c>
      <c r="N101" s="1337" t="n">
        <v>0</v>
      </c>
      <c r="O101" s="1337" t="n">
        <v>0</v>
      </c>
      <c r="P101" s="1337" t="n">
        <v>0</v>
      </c>
      <c r="Q101" s="1337" t="n">
        <v>0</v>
      </c>
      <c r="R101" s="1337" t="n">
        <v>0</v>
      </c>
      <c r="S101" s="1382" t="n"/>
      <c r="U101" s="1370" t="n">
        <v>0</v>
      </c>
      <c r="V101" s="1337" t="n">
        <v>0</v>
      </c>
      <c r="W101" s="1337" t="n">
        <v>0</v>
      </c>
      <c r="X101" s="1337" t="n">
        <v>0</v>
      </c>
      <c r="Y101" s="1337" t="n">
        <v>0</v>
      </c>
      <c r="Z101" s="1337" t="n">
        <v>0</v>
      </c>
      <c r="AA101" s="1337" t="n">
        <v>0</v>
      </c>
      <c r="AB101" s="1337" t="n">
        <v>0</v>
      </c>
      <c r="AC101" s="1337" t="n">
        <v>0</v>
      </c>
      <c r="AD101" s="1337" t="n">
        <v>0</v>
      </c>
      <c r="AE101" s="1337" t="n">
        <v>0</v>
      </c>
      <c r="AF101" s="1337" t="n">
        <v>0</v>
      </c>
      <c r="AG101" s="1382" t="n"/>
      <c r="AI101" s="1370" t="n">
        <v>0</v>
      </c>
      <c r="AJ101" s="1337" t="n">
        <v>0</v>
      </c>
      <c r="AK101" s="1337" t="n">
        <v>0</v>
      </c>
      <c r="AL101" s="1337" t="n">
        <v>0</v>
      </c>
      <c r="AM101" s="1337" t="n">
        <v>0</v>
      </c>
      <c r="AN101" s="1337" t="n">
        <v>0</v>
      </c>
      <c r="AO101" s="1337" t="n">
        <v>0</v>
      </c>
      <c r="AP101" s="1337" t="n">
        <v>0</v>
      </c>
      <c r="AQ101" s="1337" t="n">
        <v>0</v>
      </c>
      <c r="AR101" s="1337" t="n">
        <v>0</v>
      </c>
      <c r="AS101" s="1337" t="n">
        <v>0</v>
      </c>
      <c r="AT101" s="1337" t="n">
        <v>0</v>
      </c>
      <c r="AU101" s="1382" t="n"/>
      <c r="AW101" s="1370" t="n">
        <v>0</v>
      </c>
      <c r="AX101" s="1337" t="n">
        <v>0</v>
      </c>
      <c r="AY101" s="1337" t="n">
        <v>0</v>
      </c>
      <c r="AZ101" s="1337" t="n">
        <v>0</v>
      </c>
      <c r="BA101" s="1337" t="n">
        <v>0</v>
      </c>
      <c r="BB101" s="1337" t="n">
        <v>0</v>
      </c>
      <c r="BC101" s="1337" t="n">
        <v>0</v>
      </c>
      <c r="BD101" s="1337" t="n">
        <v>0</v>
      </c>
      <c r="BE101" s="1337" t="n">
        <v>0</v>
      </c>
      <c r="BF101" s="1337" t="n">
        <v>0</v>
      </c>
      <c r="BG101" s="1337" t="n">
        <v>0</v>
      </c>
      <c r="BH101" s="1337" t="n">
        <v>0</v>
      </c>
      <c r="BI101" s="1382" t="n"/>
    </row>
    <row r="102" hidden="1" outlineLevel="2" ht="20" customHeight="1">
      <c r="A102" s="441" t="n"/>
      <c r="B102" s="1354" t="inlineStr">
        <is>
          <t>WC Deductibles Retro Year</t>
        </is>
      </c>
      <c r="C102" s="1368" t="inlineStr">
        <is>
          <t xml:space="preserve"> </t>
        </is>
      </c>
      <c r="D102" s="1364" t="n"/>
      <c r="E102" s="1365" t="n"/>
      <c r="F102" s="1370" t="n"/>
      <c r="G102" s="1370" t="n">
        <v>0</v>
      </c>
      <c r="H102" s="1337" t="n">
        <v>0</v>
      </c>
      <c r="I102" s="1337" t="n">
        <v>0</v>
      </c>
      <c r="J102" s="1337" t="n">
        <v>0</v>
      </c>
      <c r="K102" s="1337" t="n">
        <v>0</v>
      </c>
      <c r="L102" s="1337" t="n">
        <v>0</v>
      </c>
      <c r="M102" s="1337" t="n">
        <v>0</v>
      </c>
      <c r="N102" s="1337" t="n">
        <v>0</v>
      </c>
      <c r="O102" s="1337" t="n">
        <v>0</v>
      </c>
      <c r="P102" s="1337" t="n">
        <v>0</v>
      </c>
      <c r="Q102" s="1337" t="n">
        <v>0</v>
      </c>
      <c r="R102" s="1337" t="n">
        <v>0</v>
      </c>
      <c r="S102" s="1382" t="n"/>
      <c r="U102" s="1370" t="n">
        <v>0</v>
      </c>
      <c r="V102" s="1337" t="n">
        <v>0</v>
      </c>
      <c r="W102" s="1337" t="n">
        <v>0</v>
      </c>
      <c r="X102" s="1337" t="n">
        <v>0</v>
      </c>
      <c r="Y102" s="1337" t="n">
        <v>0</v>
      </c>
      <c r="Z102" s="1337" t="n">
        <v>0</v>
      </c>
      <c r="AA102" s="1337" t="n">
        <v>0</v>
      </c>
      <c r="AB102" s="1337" t="n">
        <v>0</v>
      </c>
      <c r="AC102" s="1337" t="n">
        <v>0</v>
      </c>
      <c r="AD102" s="1337" t="n">
        <v>0</v>
      </c>
      <c r="AE102" s="1337" t="n">
        <v>0</v>
      </c>
      <c r="AF102" s="1337" t="n">
        <v>0</v>
      </c>
      <c r="AG102" s="1382" t="n"/>
      <c r="AI102" s="1370" t="n">
        <v>0</v>
      </c>
      <c r="AJ102" s="1337" t="n">
        <v>0</v>
      </c>
      <c r="AK102" s="1337" t="n">
        <v>0</v>
      </c>
      <c r="AL102" s="1337" t="n">
        <v>0</v>
      </c>
      <c r="AM102" s="1337" t="n">
        <v>0</v>
      </c>
      <c r="AN102" s="1337" t="n">
        <v>0</v>
      </c>
      <c r="AO102" s="1337" t="n">
        <v>0</v>
      </c>
      <c r="AP102" s="1337" t="n">
        <v>0</v>
      </c>
      <c r="AQ102" s="1337" t="n">
        <v>0</v>
      </c>
      <c r="AR102" s="1337" t="n">
        <v>0</v>
      </c>
      <c r="AS102" s="1337" t="n">
        <v>0</v>
      </c>
      <c r="AT102" s="1337" t="n">
        <v>0</v>
      </c>
      <c r="AU102" s="1382" t="n"/>
      <c r="AW102" s="1370" t="n">
        <v>0</v>
      </c>
      <c r="AX102" s="1337" t="n">
        <v>0</v>
      </c>
      <c r="AY102" s="1337" t="n">
        <v>0</v>
      </c>
      <c r="AZ102" s="1337" t="n">
        <v>0</v>
      </c>
      <c r="BA102" s="1337" t="n">
        <v>0</v>
      </c>
      <c r="BB102" s="1337" t="n">
        <v>0</v>
      </c>
      <c r="BC102" s="1337" t="n">
        <v>0</v>
      </c>
      <c r="BD102" s="1337" t="n">
        <v>0</v>
      </c>
      <c r="BE102" s="1337" t="n">
        <v>0</v>
      </c>
      <c r="BF102" s="1337" t="n">
        <v>0</v>
      </c>
      <c r="BG102" s="1337" t="n">
        <v>0</v>
      </c>
      <c r="BH102" s="1337" t="n">
        <v>0</v>
      </c>
      <c r="BI102" s="1382" t="n"/>
    </row>
    <row r="103" hidden="1" outlineLevel="2" ht="20" customHeight="1">
      <c r="A103" s="441" t="n"/>
      <c r="B103" s="1354" t="inlineStr">
        <is>
          <t>EPL Deductibles</t>
        </is>
      </c>
      <c r="C103" s="1368" t="inlineStr">
        <is>
          <t xml:space="preserve"> </t>
        </is>
      </c>
      <c r="D103" s="1364" t="n"/>
      <c r="E103" s="1365" t="n"/>
      <c r="F103" s="1370" t="n"/>
      <c r="G103" s="1370" t="n">
        <v>0</v>
      </c>
      <c r="H103" s="1337" t="n">
        <v>0</v>
      </c>
      <c r="I103" s="1337" t="n">
        <v>0</v>
      </c>
      <c r="J103" s="1337" t="n">
        <v>0</v>
      </c>
      <c r="K103" s="1337" t="n">
        <v>0</v>
      </c>
      <c r="L103" s="1337" t="n">
        <v>0</v>
      </c>
      <c r="M103" s="1337" t="n">
        <v>0</v>
      </c>
      <c r="N103" s="1337" t="n">
        <v>0</v>
      </c>
      <c r="O103" s="1337" t="n">
        <v>0</v>
      </c>
      <c r="P103" s="1337" t="n">
        <v>0</v>
      </c>
      <c r="Q103" s="1337" t="n">
        <v>0</v>
      </c>
      <c r="R103" s="1337" t="n">
        <v>0</v>
      </c>
      <c r="S103" s="1382" t="n"/>
      <c r="U103" s="1370" t="n">
        <v>0</v>
      </c>
      <c r="V103" s="1337" t="n">
        <v>0</v>
      </c>
      <c r="W103" s="1337" t="n">
        <v>0</v>
      </c>
      <c r="X103" s="1337" t="n">
        <v>0</v>
      </c>
      <c r="Y103" s="1337" t="n">
        <v>0</v>
      </c>
      <c r="Z103" s="1337" t="n">
        <v>0</v>
      </c>
      <c r="AA103" s="1337" t="n">
        <v>0</v>
      </c>
      <c r="AB103" s="1337" t="n">
        <v>0</v>
      </c>
      <c r="AC103" s="1337" t="n">
        <v>0</v>
      </c>
      <c r="AD103" s="1337" t="n">
        <v>0</v>
      </c>
      <c r="AE103" s="1337" t="n">
        <v>0</v>
      </c>
      <c r="AF103" s="1337" t="n">
        <v>0</v>
      </c>
      <c r="AG103" s="1382" t="n"/>
      <c r="AI103" s="1370" t="n">
        <v>0</v>
      </c>
      <c r="AJ103" s="1337" t="n">
        <v>0</v>
      </c>
      <c r="AK103" s="1337" t="n">
        <v>0</v>
      </c>
      <c r="AL103" s="1337" t="n">
        <v>0</v>
      </c>
      <c r="AM103" s="1337" t="n">
        <v>0</v>
      </c>
      <c r="AN103" s="1337" t="n">
        <v>0</v>
      </c>
      <c r="AO103" s="1337" t="n">
        <v>0</v>
      </c>
      <c r="AP103" s="1337" t="n">
        <v>0</v>
      </c>
      <c r="AQ103" s="1337" t="n">
        <v>0</v>
      </c>
      <c r="AR103" s="1337" t="n">
        <v>0</v>
      </c>
      <c r="AS103" s="1337" t="n">
        <v>0</v>
      </c>
      <c r="AT103" s="1337" t="n">
        <v>0</v>
      </c>
      <c r="AU103" s="1382" t="n"/>
      <c r="AW103" s="1370" t="n">
        <v>0</v>
      </c>
      <c r="AX103" s="1337" t="n">
        <v>0</v>
      </c>
      <c r="AY103" s="1337" t="n">
        <v>0</v>
      </c>
      <c r="AZ103" s="1337" t="n">
        <v>0</v>
      </c>
      <c r="BA103" s="1337" t="n">
        <v>0</v>
      </c>
      <c r="BB103" s="1337" t="n">
        <v>0</v>
      </c>
      <c r="BC103" s="1337" t="n">
        <v>0</v>
      </c>
      <c r="BD103" s="1337" t="n">
        <v>0</v>
      </c>
      <c r="BE103" s="1337" t="n">
        <v>0</v>
      </c>
      <c r="BF103" s="1337" t="n">
        <v>0</v>
      </c>
      <c r="BG103" s="1337" t="n">
        <v>0</v>
      </c>
      <c r="BH103" s="1337" t="n">
        <v>0</v>
      </c>
      <c r="BI103" s="1382" t="n"/>
    </row>
    <row r="104" outlineLevel="1" collapsed="1" ht="20" customHeight="1">
      <c r="A104" s="441" t="n"/>
      <c r="B104" s="1354" t="n"/>
      <c r="C104" s="1368" t="inlineStr">
        <is>
          <t xml:space="preserve"> </t>
        </is>
      </c>
      <c r="D104" s="1364" t="n"/>
      <c r="E104" s="1365" t="n"/>
      <c r="F104" s="1370" t="n"/>
      <c r="G104" s="1370" t="n"/>
      <c r="H104" s="1337" t="n"/>
      <c r="I104" s="1337" t="n"/>
      <c r="J104" s="1337" t="n"/>
      <c r="K104" s="1337" t="n"/>
      <c r="L104" s="1337" t="n"/>
      <c r="M104" s="1337" t="n"/>
      <c r="N104" s="1337" t="n"/>
      <c r="O104" s="1337" t="n"/>
      <c r="P104" s="1337" t="n"/>
      <c r="Q104" s="1337" t="n"/>
      <c r="R104" s="1337" t="n"/>
      <c r="S104" s="1382" t="n"/>
      <c r="U104" s="1370" t="n"/>
      <c r="V104" s="1337" t="n"/>
      <c r="W104" s="1337" t="n"/>
      <c r="X104" s="1337" t="n"/>
      <c r="Y104" s="1337" t="n"/>
      <c r="Z104" s="1337" t="n"/>
      <c r="AA104" s="1337" t="n"/>
      <c r="AB104" s="1337" t="n"/>
      <c r="AC104" s="1337" t="n"/>
      <c r="AD104" s="1337" t="n"/>
      <c r="AE104" s="1337" t="n"/>
      <c r="AF104" s="1337" t="n"/>
      <c r="AG104" s="1382" t="n"/>
      <c r="AI104" s="1370" t="n"/>
      <c r="AJ104" s="1337" t="n"/>
      <c r="AK104" s="1337" t="n"/>
      <c r="AL104" s="1337" t="n"/>
      <c r="AM104" s="1337" t="n"/>
      <c r="AN104" s="1337" t="n"/>
      <c r="AO104" s="1337" t="n"/>
      <c r="AP104" s="1337" t="n"/>
      <c r="AQ104" s="1337" t="n"/>
      <c r="AR104" s="1337" t="n"/>
      <c r="AS104" s="1337" t="n"/>
      <c r="AT104" s="1337" t="n"/>
      <c r="AU104" s="1382" t="n"/>
      <c r="AW104" s="1370" t="n"/>
      <c r="AX104" s="1337" t="n"/>
      <c r="AY104" s="1337" t="n"/>
      <c r="AZ104" s="1337" t="n"/>
      <c r="BA104" s="1337" t="n"/>
      <c r="BB104" s="1337" t="n"/>
      <c r="BC104" s="1337" t="n"/>
      <c r="BD104" s="1337" t="n"/>
      <c r="BE104" s="1337" t="n"/>
      <c r="BF104" s="1337" t="n"/>
      <c r="BG104" s="1337" t="n"/>
      <c r="BH104" s="1337" t="n"/>
      <c r="BI104" s="1382" t="n"/>
    </row>
    <row r="105" outlineLevel="1" ht="20" customHeight="1">
      <c r="A105" s="441" t="n"/>
      <c r="B105" s="1383" t="inlineStr">
        <is>
          <t>Employee Benefits</t>
        </is>
      </c>
      <c r="C105" s="1368" t="inlineStr">
        <is>
          <t xml:space="preserve"> </t>
        </is>
      </c>
      <c r="D105" s="1364" t="n"/>
      <c r="E105" s="1365" t="n"/>
      <c r="F105" s="1370" t="n"/>
      <c r="G105" s="1370" t="n"/>
      <c r="H105" s="1337" t="n"/>
      <c r="I105" s="1337" t="n"/>
      <c r="J105" s="1337" t="n"/>
      <c r="K105" s="1337" t="n"/>
      <c r="L105" s="1337" t="n"/>
      <c r="M105" s="1337" t="n"/>
      <c r="N105" s="1337" t="n"/>
      <c r="O105" s="1337" t="n"/>
      <c r="P105" s="1337" t="n"/>
      <c r="Q105" s="1337" t="n"/>
      <c r="R105" s="1337" t="n"/>
      <c r="S105" s="1382" t="n"/>
      <c r="U105" s="1370" t="n"/>
      <c r="V105" s="1337" t="n"/>
      <c r="W105" s="1337" t="n"/>
      <c r="X105" s="1337" t="n"/>
      <c r="Y105" s="1337" t="n"/>
      <c r="Z105" s="1337" t="n"/>
      <c r="AA105" s="1337" t="n"/>
      <c r="AB105" s="1337" t="n"/>
      <c r="AC105" s="1337" t="n"/>
      <c r="AD105" s="1337" t="n"/>
      <c r="AE105" s="1337" t="n"/>
      <c r="AF105" s="1337" t="n"/>
      <c r="AG105" s="1382" t="n"/>
      <c r="AI105" s="1370" t="n"/>
      <c r="AJ105" s="1337" t="n"/>
      <c r="AK105" s="1337" t="n"/>
      <c r="AL105" s="1337" t="n"/>
      <c r="AM105" s="1337" t="n"/>
      <c r="AN105" s="1337" t="n"/>
      <c r="AO105" s="1337" t="n"/>
      <c r="AP105" s="1337" t="n"/>
      <c r="AQ105" s="1337" t="n"/>
      <c r="AR105" s="1337" t="n"/>
      <c r="AS105" s="1337" t="n"/>
      <c r="AT105" s="1337" t="n"/>
      <c r="AU105" s="1382" t="n"/>
      <c r="AW105" s="1370" t="n"/>
      <c r="AX105" s="1337" t="n"/>
      <c r="AY105" s="1337" t="n"/>
      <c r="AZ105" s="1337" t="n"/>
      <c r="BA105" s="1337" t="n"/>
      <c r="BB105" s="1337" t="n"/>
      <c r="BC105" s="1337" t="n"/>
      <c r="BD105" s="1337" t="n"/>
      <c r="BE105" s="1337" t="n"/>
      <c r="BF105" s="1337" t="n"/>
      <c r="BG105" s="1337" t="n"/>
      <c r="BH105" s="1337" t="n"/>
      <c r="BI105" s="1382" t="n"/>
    </row>
    <row r="106" hidden="1" outlineLevel="2" ht="20" customHeight="1">
      <c r="A106" s="441" t="n"/>
      <c r="B106" s="1354" t="inlineStr">
        <is>
          <t>HMO Self Insured Medical</t>
        </is>
      </c>
      <c r="C106" s="1363" t="inlineStr">
        <is>
          <t xml:space="preserve"> </t>
        </is>
      </c>
      <c r="D106" s="1364" t="n"/>
      <c r="E106" s="1365" t="n"/>
      <c r="F106" s="1370" t="n"/>
      <c r="G106" s="1370" t="n">
        <v>0</v>
      </c>
      <c r="H106" s="1337" t="n">
        <v>0</v>
      </c>
      <c r="I106" s="1337" t="n">
        <v>0</v>
      </c>
      <c r="J106" s="1337" t="n">
        <v>0</v>
      </c>
      <c r="K106" s="1337" t="n">
        <v>0</v>
      </c>
      <c r="L106" s="1337" t="n">
        <v>0</v>
      </c>
      <c r="M106" s="1337" t="n">
        <v>0</v>
      </c>
      <c r="N106" s="1337" t="n">
        <v>0</v>
      </c>
      <c r="O106" s="1337" t="n">
        <v>0</v>
      </c>
      <c r="P106" s="1337" t="n">
        <v>0</v>
      </c>
      <c r="Q106" s="1337" t="n">
        <v>0</v>
      </c>
      <c r="R106" s="1337" t="n">
        <v>0</v>
      </c>
      <c r="S106" s="1382" t="n"/>
      <c r="U106" s="1370" t="n">
        <v>0</v>
      </c>
      <c r="V106" s="1337" t="n">
        <v>0</v>
      </c>
      <c r="W106" s="1337" t="n">
        <v>0</v>
      </c>
      <c r="X106" s="1337" t="n">
        <v>0</v>
      </c>
      <c r="Y106" s="1337" t="n">
        <v>0</v>
      </c>
      <c r="Z106" s="1337" t="n">
        <v>0</v>
      </c>
      <c r="AA106" s="1337" t="n">
        <v>0</v>
      </c>
      <c r="AB106" s="1337" t="n">
        <v>0</v>
      </c>
      <c r="AC106" s="1337" t="n">
        <v>0</v>
      </c>
      <c r="AD106" s="1337" t="n">
        <v>0</v>
      </c>
      <c r="AE106" s="1337" t="n">
        <v>0</v>
      </c>
      <c r="AF106" s="1337" t="n">
        <v>0</v>
      </c>
      <c r="AG106" s="1382" t="n"/>
      <c r="AI106" s="1370" t="n">
        <v>0</v>
      </c>
      <c r="AJ106" s="1337" t="n">
        <v>0</v>
      </c>
      <c r="AK106" s="1337" t="n">
        <v>0</v>
      </c>
      <c r="AL106" s="1337" t="n">
        <v>0</v>
      </c>
      <c r="AM106" s="1337" t="n">
        <v>0</v>
      </c>
      <c r="AN106" s="1337" t="n">
        <v>0</v>
      </c>
      <c r="AO106" s="1337" t="n">
        <v>0</v>
      </c>
      <c r="AP106" s="1337" t="n">
        <v>0</v>
      </c>
      <c r="AQ106" s="1337" t="n">
        <v>0</v>
      </c>
      <c r="AR106" s="1337" t="n">
        <v>0</v>
      </c>
      <c r="AS106" s="1337" t="n">
        <v>0</v>
      </c>
      <c r="AT106" s="1337" t="n">
        <v>0</v>
      </c>
      <c r="AU106" s="1382" t="n"/>
      <c r="AW106" s="1370" t="n">
        <v>0</v>
      </c>
      <c r="AX106" s="1337" t="n">
        <v>0</v>
      </c>
      <c r="AY106" s="1337" t="n">
        <v>0</v>
      </c>
      <c r="AZ106" s="1337" t="n">
        <v>0</v>
      </c>
      <c r="BA106" s="1337" t="n">
        <v>0</v>
      </c>
      <c r="BB106" s="1337" t="n">
        <v>0</v>
      </c>
      <c r="BC106" s="1337" t="n">
        <v>0</v>
      </c>
      <c r="BD106" s="1337" t="n">
        <v>0</v>
      </c>
      <c r="BE106" s="1337" t="n">
        <v>0</v>
      </c>
      <c r="BF106" s="1337" t="n">
        <v>0</v>
      </c>
      <c r="BG106" s="1337" t="n">
        <v>0</v>
      </c>
      <c r="BH106" s="1337" t="n">
        <v>0</v>
      </c>
      <c r="BI106" s="1382" t="n"/>
    </row>
    <row r="107" hidden="1" outlineLevel="2" ht="20" customHeight="1">
      <c r="A107" s="441" t="n"/>
      <c r="B107" s="1354" t="inlineStr">
        <is>
          <t>Pension Expense - Intl</t>
        </is>
      </c>
      <c r="C107" s="1368" t="inlineStr">
        <is>
          <t xml:space="preserve"> </t>
        </is>
      </c>
      <c r="D107" s="1364" t="n"/>
      <c r="E107" s="1365" t="n"/>
      <c r="F107" s="1370" t="n"/>
      <c r="G107" s="1370" t="n">
        <v>0</v>
      </c>
      <c r="H107" s="1337" t="n">
        <v>0</v>
      </c>
      <c r="I107" s="1337" t="n">
        <v>0</v>
      </c>
      <c r="J107" s="1337" t="n">
        <v>0</v>
      </c>
      <c r="K107" s="1337" t="n">
        <v>0</v>
      </c>
      <c r="L107" s="1337" t="n">
        <v>0</v>
      </c>
      <c r="M107" s="1337" t="n">
        <v>0</v>
      </c>
      <c r="N107" s="1337" t="n">
        <v>0</v>
      </c>
      <c r="O107" s="1337" t="n">
        <v>0</v>
      </c>
      <c r="P107" s="1337" t="n">
        <v>0</v>
      </c>
      <c r="Q107" s="1337" t="n">
        <v>0</v>
      </c>
      <c r="R107" s="1337" t="n">
        <v>0</v>
      </c>
      <c r="S107" s="1382" t="n"/>
      <c r="U107" s="1370" t="n">
        <v>0</v>
      </c>
      <c r="V107" s="1337" t="n">
        <v>0</v>
      </c>
      <c r="W107" s="1337" t="n">
        <v>0</v>
      </c>
      <c r="X107" s="1337" t="n">
        <v>0</v>
      </c>
      <c r="Y107" s="1337" t="n">
        <v>0</v>
      </c>
      <c r="Z107" s="1337" t="n">
        <v>0</v>
      </c>
      <c r="AA107" s="1337" t="n">
        <v>0</v>
      </c>
      <c r="AB107" s="1337" t="n">
        <v>0</v>
      </c>
      <c r="AC107" s="1337" t="n">
        <v>0</v>
      </c>
      <c r="AD107" s="1337" t="n">
        <v>0</v>
      </c>
      <c r="AE107" s="1337" t="n">
        <v>0</v>
      </c>
      <c r="AF107" s="1337" t="n">
        <v>0</v>
      </c>
      <c r="AG107" s="1382" t="n"/>
      <c r="AI107" s="1370" t="n">
        <v>0</v>
      </c>
      <c r="AJ107" s="1337" t="n">
        <v>0</v>
      </c>
      <c r="AK107" s="1337" t="n">
        <v>0</v>
      </c>
      <c r="AL107" s="1337" t="n">
        <v>0</v>
      </c>
      <c r="AM107" s="1337" t="n">
        <v>0</v>
      </c>
      <c r="AN107" s="1337" t="n">
        <v>0</v>
      </c>
      <c r="AO107" s="1337" t="n">
        <v>0</v>
      </c>
      <c r="AP107" s="1337" t="n">
        <v>0</v>
      </c>
      <c r="AQ107" s="1337" t="n">
        <v>0</v>
      </c>
      <c r="AR107" s="1337" t="n">
        <v>0</v>
      </c>
      <c r="AS107" s="1337" t="n">
        <v>0</v>
      </c>
      <c r="AT107" s="1337" t="n">
        <v>0</v>
      </c>
      <c r="AU107" s="1382" t="n"/>
      <c r="AW107" s="1370" t="n">
        <v>0</v>
      </c>
      <c r="AX107" s="1337" t="n">
        <v>0</v>
      </c>
      <c r="AY107" s="1337" t="n">
        <v>0</v>
      </c>
      <c r="AZ107" s="1337" t="n">
        <v>0</v>
      </c>
      <c r="BA107" s="1337" t="n">
        <v>0</v>
      </c>
      <c r="BB107" s="1337" t="n">
        <v>0</v>
      </c>
      <c r="BC107" s="1337" t="n">
        <v>0</v>
      </c>
      <c r="BD107" s="1337" t="n">
        <v>0</v>
      </c>
      <c r="BE107" s="1337" t="n">
        <v>0</v>
      </c>
      <c r="BF107" s="1337" t="n">
        <v>0</v>
      </c>
      <c r="BG107" s="1337" t="n">
        <v>0</v>
      </c>
      <c r="BH107" s="1337" t="n">
        <v>0</v>
      </c>
      <c r="BI107" s="1382" t="n"/>
    </row>
    <row r="108" hidden="1" outlineLevel="2" ht="20" customHeight="1">
      <c r="A108" s="441" t="n"/>
      <c r="B108" s="1354" t="inlineStr">
        <is>
          <t>Misc Emp Benefits</t>
        </is>
      </c>
      <c r="C108" s="1363" t="inlineStr">
        <is>
          <t xml:space="preserve"> </t>
        </is>
      </c>
      <c r="D108" s="1364" t="n"/>
      <c r="E108" s="1365" t="n"/>
      <c r="F108" s="1370" t="n"/>
      <c r="G108" s="1370" t="n">
        <v>0</v>
      </c>
      <c r="H108" s="1337" t="n">
        <v>0</v>
      </c>
      <c r="I108" s="1337" t="n">
        <v>0</v>
      </c>
      <c r="J108" s="1337" t="n">
        <v>0</v>
      </c>
      <c r="K108" s="1337" t="n">
        <v>0</v>
      </c>
      <c r="L108" s="1337" t="n">
        <v>0</v>
      </c>
      <c r="M108" s="1337" t="n">
        <v>0</v>
      </c>
      <c r="N108" s="1337" t="n">
        <v>0</v>
      </c>
      <c r="O108" s="1337" t="n">
        <v>0</v>
      </c>
      <c r="P108" s="1337" t="n">
        <v>0</v>
      </c>
      <c r="Q108" s="1337" t="n">
        <v>0</v>
      </c>
      <c r="R108" s="1337" t="n">
        <v>0</v>
      </c>
      <c r="S108" s="1382" t="n"/>
      <c r="U108" s="1370" t="n">
        <v>0</v>
      </c>
      <c r="V108" s="1337" t="n">
        <v>0</v>
      </c>
      <c r="W108" s="1337" t="n">
        <v>0</v>
      </c>
      <c r="X108" s="1337" t="n">
        <v>0</v>
      </c>
      <c r="Y108" s="1337" t="n">
        <v>0</v>
      </c>
      <c r="Z108" s="1337" t="n">
        <v>0</v>
      </c>
      <c r="AA108" s="1337" t="n">
        <v>0</v>
      </c>
      <c r="AB108" s="1337" t="n">
        <v>0</v>
      </c>
      <c r="AC108" s="1337" t="n">
        <v>0</v>
      </c>
      <c r="AD108" s="1337" t="n">
        <v>0</v>
      </c>
      <c r="AE108" s="1337" t="n">
        <v>0</v>
      </c>
      <c r="AF108" s="1337" t="n">
        <v>0</v>
      </c>
      <c r="AG108" s="1382" t="n"/>
      <c r="AI108" s="1370" t="n">
        <v>0</v>
      </c>
      <c r="AJ108" s="1337" t="n">
        <v>0</v>
      </c>
      <c r="AK108" s="1337" t="n">
        <v>0</v>
      </c>
      <c r="AL108" s="1337" t="n">
        <v>0</v>
      </c>
      <c r="AM108" s="1337" t="n">
        <v>0</v>
      </c>
      <c r="AN108" s="1337" t="n">
        <v>0</v>
      </c>
      <c r="AO108" s="1337" t="n">
        <v>0</v>
      </c>
      <c r="AP108" s="1337" t="n">
        <v>0</v>
      </c>
      <c r="AQ108" s="1337" t="n">
        <v>0</v>
      </c>
      <c r="AR108" s="1337" t="n">
        <v>0</v>
      </c>
      <c r="AS108" s="1337" t="n">
        <v>0</v>
      </c>
      <c r="AT108" s="1337" t="n">
        <v>0</v>
      </c>
      <c r="AU108" s="1382" t="n"/>
      <c r="AW108" s="1370" t="n">
        <v>0</v>
      </c>
      <c r="AX108" s="1337" t="n">
        <v>0</v>
      </c>
      <c r="AY108" s="1337" t="n">
        <v>0</v>
      </c>
      <c r="AZ108" s="1337" t="n">
        <v>0</v>
      </c>
      <c r="BA108" s="1337" t="n">
        <v>0</v>
      </c>
      <c r="BB108" s="1337" t="n">
        <v>0</v>
      </c>
      <c r="BC108" s="1337" t="n">
        <v>0</v>
      </c>
      <c r="BD108" s="1337" t="n">
        <v>0</v>
      </c>
      <c r="BE108" s="1337" t="n">
        <v>0</v>
      </c>
      <c r="BF108" s="1337" t="n">
        <v>0</v>
      </c>
      <c r="BG108" s="1337" t="n">
        <v>0</v>
      </c>
      <c r="BH108" s="1337" t="n">
        <v>0</v>
      </c>
      <c r="BI108" s="1382" t="n"/>
    </row>
    <row r="109" hidden="1" outlineLevel="2" ht="20" customHeight="1">
      <c r="A109" s="441" t="n"/>
      <c r="B109" s="1354" t="inlineStr">
        <is>
          <t>Employee Benefits Transfer</t>
        </is>
      </c>
      <c r="C109" s="1368" t="inlineStr">
        <is>
          <t xml:space="preserve"> </t>
        </is>
      </c>
      <c r="D109" s="1364" t="n"/>
      <c r="E109" s="1365" t="n"/>
      <c r="F109" s="1370" t="n"/>
      <c r="G109" s="1370" t="n">
        <v>0</v>
      </c>
      <c r="H109" s="1337" t="n">
        <v>0</v>
      </c>
      <c r="I109" s="1337" t="n">
        <v>0</v>
      </c>
      <c r="J109" s="1337" t="n">
        <v>0</v>
      </c>
      <c r="K109" s="1337" t="n">
        <v>0</v>
      </c>
      <c r="L109" s="1337" t="n">
        <v>0</v>
      </c>
      <c r="M109" s="1337" t="n">
        <v>0</v>
      </c>
      <c r="N109" s="1337" t="n">
        <v>0</v>
      </c>
      <c r="O109" s="1337" t="n">
        <v>0</v>
      </c>
      <c r="P109" s="1337" t="n">
        <v>0</v>
      </c>
      <c r="Q109" s="1337" t="n">
        <v>0</v>
      </c>
      <c r="R109" s="1337" t="n">
        <v>0</v>
      </c>
      <c r="S109" s="1382" t="n"/>
      <c r="U109" s="1370" t="n">
        <v>0</v>
      </c>
      <c r="V109" s="1337" t="n">
        <v>0</v>
      </c>
      <c r="W109" s="1337" t="n">
        <v>0</v>
      </c>
      <c r="X109" s="1337" t="n">
        <v>0</v>
      </c>
      <c r="Y109" s="1337" t="n">
        <v>0</v>
      </c>
      <c r="Z109" s="1337" t="n">
        <v>0</v>
      </c>
      <c r="AA109" s="1337" t="n">
        <v>0</v>
      </c>
      <c r="AB109" s="1337" t="n">
        <v>0</v>
      </c>
      <c r="AC109" s="1337" t="n">
        <v>0</v>
      </c>
      <c r="AD109" s="1337" t="n">
        <v>0</v>
      </c>
      <c r="AE109" s="1337" t="n">
        <v>0</v>
      </c>
      <c r="AF109" s="1337" t="n">
        <v>0</v>
      </c>
      <c r="AG109" s="1382" t="n"/>
      <c r="AI109" s="1370" t="n">
        <v>0</v>
      </c>
      <c r="AJ109" s="1337" t="n">
        <v>0</v>
      </c>
      <c r="AK109" s="1337" t="n">
        <v>0</v>
      </c>
      <c r="AL109" s="1337" t="n">
        <v>0</v>
      </c>
      <c r="AM109" s="1337" t="n">
        <v>0</v>
      </c>
      <c r="AN109" s="1337" t="n">
        <v>0</v>
      </c>
      <c r="AO109" s="1337" t="n">
        <v>0</v>
      </c>
      <c r="AP109" s="1337" t="n">
        <v>0</v>
      </c>
      <c r="AQ109" s="1337" t="n">
        <v>0</v>
      </c>
      <c r="AR109" s="1337" t="n">
        <v>0</v>
      </c>
      <c r="AS109" s="1337" t="n">
        <v>0</v>
      </c>
      <c r="AT109" s="1337" t="n">
        <v>0</v>
      </c>
      <c r="AU109" s="1382" t="n"/>
      <c r="AW109" s="1370" t="n">
        <v>0</v>
      </c>
      <c r="AX109" s="1337" t="n">
        <v>0</v>
      </c>
      <c r="AY109" s="1337" t="n">
        <v>0</v>
      </c>
      <c r="AZ109" s="1337" t="n">
        <v>0</v>
      </c>
      <c r="BA109" s="1337" t="n">
        <v>0</v>
      </c>
      <c r="BB109" s="1337" t="n">
        <v>0</v>
      </c>
      <c r="BC109" s="1337" t="n">
        <v>0</v>
      </c>
      <c r="BD109" s="1337" t="n">
        <v>0</v>
      </c>
      <c r="BE109" s="1337" t="n">
        <v>0</v>
      </c>
      <c r="BF109" s="1337" t="n">
        <v>0</v>
      </c>
      <c r="BG109" s="1337" t="n">
        <v>0</v>
      </c>
      <c r="BH109" s="1337" t="n">
        <v>0</v>
      </c>
      <c r="BI109" s="1382" t="n"/>
    </row>
    <row r="110" hidden="1" outlineLevel="2" ht="20" customHeight="1">
      <c r="A110" s="441" t="n"/>
      <c r="B110" s="1354" t="inlineStr">
        <is>
          <t>Profit Sharing Allocation</t>
        </is>
      </c>
      <c r="C110" s="1363" t="inlineStr">
        <is>
          <t xml:space="preserve"> </t>
        </is>
      </c>
      <c r="D110" s="1364" t="n"/>
      <c r="E110" s="1365" t="n"/>
      <c r="F110" s="1370" t="n"/>
      <c r="G110" s="1370" t="n">
        <v>0</v>
      </c>
      <c r="H110" s="1337" t="n">
        <v>0</v>
      </c>
      <c r="I110" s="1337" t="n">
        <v>0</v>
      </c>
      <c r="J110" s="1337" t="n">
        <v>0</v>
      </c>
      <c r="K110" s="1337" t="n">
        <v>0</v>
      </c>
      <c r="L110" s="1337" t="n">
        <v>0</v>
      </c>
      <c r="M110" s="1337" t="n">
        <v>0</v>
      </c>
      <c r="N110" s="1337" t="n">
        <v>0</v>
      </c>
      <c r="O110" s="1337" t="n">
        <v>0</v>
      </c>
      <c r="P110" s="1337" t="n">
        <v>0</v>
      </c>
      <c r="Q110" s="1337" t="n">
        <v>0</v>
      </c>
      <c r="R110" s="1337" t="n">
        <v>0</v>
      </c>
      <c r="S110" s="1382" t="n"/>
      <c r="U110" s="1370" t="n">
        <v>0</v>
      </c>
      <c r="V110" s="1337" t="n">
        <v>0</v>
      </c>
      <c r="W110" s="1337" t="n">
        <v>0</v>
      </c>
      <c r="X110" s="1337" t="n">
        <v>0</v>
      </c>
      <c r="Y110" s="1337" t="n">
        <v>0</v>
      </c>
      <c r="Z110" s="1337" t="n">
        <v>0</v>
      </c>
      <c r="AA110" s="1337" t="n">
        <v>0</v>
      </c>
      <c r="AB110" s="1337" t="n">
        <v>0</v>
      </c>
      <c r="AC110" s="1337" t="n">
        <v>0</v>
      </c>
      <c r="AD110" s="1337" t="n">
        <v>0</v>
      </c>
      <c r="AE110" s="1337" t="n">
        <v>0</v>
      </c>
      <c r="AF110" s="1337" t="n">
        <v>0</v>
      </c>
      <c r="AG110" s="1382" t="n"/>
      <c r="AI110" s="1370" t="n">
        <v>0</v>
      </c>
      <c r="AJ110" s="1337" t="n">
        <v>0</v>
      </c>
      <c r="AK110" s="1337" t="n">
        <v>0</v>
      </c>
      <c r="AL110" s="1337" t="n">
        <v>0</v>
      </c>
      <c r="AM110" s="1337" t="n">
        <v>0</v>
      </c>
      <c r="AN110" s="1337" t="n">
        <v>0</v>
      </c>
      <c r="AO110" s="1337" t="n">
        <v>0</v>
      </c>
      <c r="AP110" s="1337" t="n">
        <v>0</v>
      </c>
      <c r="AQ110" s="1337" t="n">
        <v>0</v>
      </c>
      <c r="AR110" s="1337" t="n">
        <v>0</v>
      </c>
      <c r="AS110" s="1337" t="n">
        <v>0</v>
      </c>
      <c r="AT110" s="1337" t="n">
        <v>0</v>
      </c>
      <c r="AU110" s="1382" t="n"/>
      <c r="AW110" s="1370" t="n">
        <v>0</v>
      </c>
      <c r="AX110" s="1337" t="n">
        <v>0</v>
      </c>
      <c r="AY110" s="1337" t="n">
        <v>0</v>
      </c>
      <c r="AZ110" s="1337" t="n">
        <v>0</v>
      </c>
      <c r="BA110" s="1337" t="n">
        <v>0</v>
      </c>
      <c r="BB110" s="1337" t="n">
        <v>0</v>
      </c>
      <c r="BC110" s="1337" t="n">
        <v>0</v>
      </c>
      <c r="BD110" s="1337" t="n">
        <v>0</v>
      </c>
      <c r="BE110" s="1337" t="n">
        <v>0</v>
      </c>
      <c r="BF110" s="1337" t="n">
        <v>0</v>
      </c>
      <c r="BG110" s="1337" t="n">
        <v>0</v>
      </c>
      <c r="BH110" s="1337" t="n">
        <v>0</v>
      </c>
      <c r="BI110" s="1382" t="n"/>
    </row>
    <row r="111" hidden="1" outlineLevel="2" ht="20" customHeight="1">
      <c r="A111" s="441" t="n"/>
      <c r="B111" s="1354" t="inlineStr">
        <is>
          <t>Emp Relations</t>
        </is>
      </c>
      <c r="C111" s="1368" t="inlineStr">
        <is>
          <t xml:space="preserve"> </t>
        </is>
      </c>
      <c r="D111" s="1364" t="n"/>
      <c r="E111" s="1365" t="n"/>
      <c r="F111" s="1370" t="n"/>
      <c r="G111" s="1370" t="n">
        <v>0</v>
      </c>
      <c r="H111" s="1337" t="n">
        <v>0</v>
      </c>
      <c r="I111" s="1337" t="n">
        <v>0</v>
      </c>
      <c r="J111" s="1337" t="n">
        <v>0</v>
      </c>
      <c r="K111" s="1337" t="n">
        <v>0</v>
      </c>
      <c r="L111" s="1337" t="n">
        <v>0</v>
      </c>
      <c r="M111" s="1337" t="n">
        <v>0</v>
      </c>
      <c r="N111" s="1337" t="n">
        <v>0</v>
      </c>
      <c r="O111" s="1337" t="n">
        <v>0</v>
      </c>
      <c r="P111" s="1337" t="n">
        <v>0</v>
      </c>
      <c r="Q111" s="1337" t="n">
        <v>0</v>
      </c>
      <c r="R111" s="1337" t="n">
        <v>0</v>
      </c>
      <c r="S111" s="1382" t="n"/>
      <c r="U111" s="1370" t="n">
        <v>0</v>
      </c>
      <c r="V111" s="1337" t="n">
        <v>0</v>
      </c>
      <c r="W111" s="1337" t="n">
        <v>0</v>
      </c>
      <c r="X111" s="1337" t="n">
        <v>0</v>
      </c>
      <c r="Y111" s="1337" t="n">
        <v>0</v>
      </c>
      <c r="Z111" s="1337" t="n">
        <v>0</v>
      </c>
      <c r="AA111" s="1337" t="n">
        <v>0</v>
      </c>
      <c r="AB111" s="1337" t="n">
        <v>0</v>
      </c>
      <c r="AC111" s="1337" t="n">
        <v>0</v>
      </c>
      <c r="AD111" s="1337" t="n">
        <v>0</v>
      </c>
      <c r="AE111" s="1337" t="n">
        <v>0</v>
      </c>
      <c r="AF111" s="1337" t="n">
        <v>0</v>
      </c>
      <c r="AG111" s="1382" t="n"/>
      <c r="AI111" s="1370" t="n">
        <v>0</v>
      </c>
      <c r="AJ111" s="1337" t="n">
        <v>0</v>
      </c>
      <c r="AK111" s="1337" t="n">
        <v>0</v>
      </c>
      <c r="AL111" s="1337" t="n">
        <v>0</v>
      </c>
      <c r="AM111" s="1337" t="n">
        <v>0</v>
      </c>
      <c r="AN111" s="1337" t="n">
        <v>0</v>
      </c>
      <c r="AO111" s="1337" t="n">
        <v>0</v>
      </c>
      <c r="AP111" s="1337" t="n">
        <v>0</v>
      </c>
      <c r="AQ111" s="1337" t="n">
        <v>0</v>
      </c>
      <c r="AR111" s="1337" t="n">
        <v>0</v>
      </c>
      <c r="AS111" s="1337" t="n">
        <v>0</v>
      </c>
      <c r="AT111" s="1337" t="n">
        <v>0</v>
      </c>
      <c r="AU111" s="1382" t="n"/>
      <c r="AW111" s="1370" t="n">
        <v>0</v>
      </c>
      <c r="AX111" s="1337" t="n">
        <v>0</v>
      </c>
      <c r="AY111" s="1337" t="n">
        <v>0</v>
      </c>
      <c r="AZ111" s="1337" t="n">
        <v>0</v>
      </c>
      <c r="BA111" s="1337" t="n">
        <v>0</v>
      </c>
      <c r="BB111" s="1337" t="n">
        <v>0</v>
      </c>
      <c r="BC111" s="1337" t="n">
        <v>0</v>
      </c>
      <c r="BD111" s="1337" t="n">
        <v>0</v>
      </c>
      <c r="BE111" s="1337" t="n">
        <v>0</v>
      </c>
      <c r="BF111" s="1337" t="n">
        <v>0</v>
      </c>
      <c r="BG111" s="1337" t="n">
        <v>0</v>
      </c>
      <c r="BH111" s="1337" t="n">
        <v>0</v>
      </c>
      <c r="BI111" s="1382" t="n"/>
    </row>
    <row r="112" hidden="1" outlineLevel="2" ht="20" customHeight="1">
      <c r="A112" s="441" t="n"/>
      <c r="B112" s="1354" t="inlineStr">
        <is>
          <t>Payroll Car Allowance</t>
        </is>
      </c>
      <c r="C112" s="1368" t="inlineStr">
        <is>
          <t xml:space="preserve"> </t>
        </is>
      </c>
      <c r="D112" s="1364" t="n"/>
      <c r="E112" s="1365" t="n"/>
      <c r="F112" s="1370" t="n"/>
      <c r="G112" s="1370" t="n">
        <v>0</v>
      </c>
      <c r="H112" s="1337" t="n">
        <v>0</v>
      </c>
      <c r="I112" s="1337" t="n">
        <v>0</v>
      </c>
      <c r="J112" s="1337" t="n">
        <v>0</v>
      </c>
      <c r="K112" s="1337" t="n">
        <v>0</v>
      </c>
      <c r="L112" s="1337" t="n">
        <v>0</v>
      </c>
      <c r="M112" s="1337" t="n">
        <v>0</v>
      </c>
      <c r="N112" s="1337" t="n">
        <v>0</v>
      </c>
      <c r="O112" s="1337" t="n">
        <v>0</v>
      </c>
      <c r="P112" s="1337" t="n">
        <v>0</v>
      </c>
      <c r="Q112" s="1337" t="n">
        <v>0</v>
      </c>
      <c r="R112" s="1337" t="n">
        <v>0</v>
      </c>
      <c r="S112" s="1382" t="n"/>
      <c r="U112" s="1370" t="n">
        <v>0</v>
      </c>
      <c r="V112" s="1337" t="n">
        <v>0</v>
      </c>
      <c r="W112" s="1337" t="n">
        <v>0</v>
      </c>
      <c r="X112" s="1337" t="n">
        <v>0</v>
      </c>
      <c r="Y112" s="1337" t="n">
        <v>0</v>
      </c>
      <c r="Z112" s="1337" t="n">
        <v>0</v>
      </c>
      <c r="AA112" s="1337" t="n">
        <v>0</v>
      </c>
      <c r="AB112" s="1337" t="n">
        <v>0</v>
      </c>
      <c r="AC112" s="1337" t="n">
        <v>0</v>
      </c>
      <c r="AD112" s="1337" t="n">
        <v>0</v>
      </c>
      <c r="AE112" s="1337" t="n">
        <v>0</v>
      </c>
      <c r="AF112" s="1337" t="n">
        <v>0</v>
      </c>
      <c r="AG112" s="1382" t="n"/>
      <c r="AI112" s="1370" t="n">
        <v>0</v>
      </c>
      <c r="AJ112" s="1337" t="n">
        <v>0</v>
      </c>
      <c r="AK112" s="1337" t="n">
        <v>0</v>
      </c>
      <c r="AL112" s="1337" t="n">
        <v>0</v>
      </c>
      <c r="AM112" s="1337" t="n">
        <v>0</v>
      </c>
      <c r="AN112" s="1337" t="n">
        <v>0</v>
      </c>
      <c r="AO112" s="1337" t="n">
        <v>0</v>
      </c>
      <c r="AP112" s="1337" t="n">
        <v>0</v>
      </c>
      <c r="AQ112" s="1337" t="n">
        <v>0</v>
      </c>
      <c r="AR112" s="1337" t="n">
        <v>0</v>
      </c>
      <c r="AS112" s="1337" t="n">
        <v>0</v>
      </c>
      <c r="AT112" s="1337" t="n">
        <v>0</v>
      </c>
      <c r="AU112" s="1382" t="n"/>
      <c r="AW112" s="1370" t="n">
        <v>0</v>
      </c>
      <c r="AX112" s="1337" t="n">
        <v>0</v>
      </c>
      <c r="AY112" s="1337" t="n">
        <v>0</v>
      </c>
      <c r="AZ112" s="1337" t="n">
        <v>0</v>
      </c>
      <c r="BA112" s="1337" t="n">
        <v>0</v>
      </c>
      <c r="BB112" s="1337" t="n">
        <v>0</v>
      </c>
      <c r="BC112" s="1337" t="n">
        <v>0</v>
      </c>
      <c r="BD112" s="1337" t="n">
        <v>0</v>
      </c>
      <c r="BE112" s="1337" t="n">
        <v>0</v>
      </c>
      <c r="BF112" s="1337" t="n">
        <v>0</v>
      </c>
      <c r="BG112" s="1337" t="n">
        <v>0</v>
      </c>
      <c r="BH112" s="1337" t="n">
        <v>0</v>
      </c>
      <c r="BI112" s="1382" t="n"/>
    </row>
    <row r="113" hidden="1" outlineLevel="2" ht="20" customHeight="1">
      <c r="A113" s="441" t="n"/>
      <c r="B113" s="1354" t="inlineStr">
        <is>
          <t>General Payroll Expense</t>
        </is>
      </c>
      <c r="C113" s="1368" t="inlineStr">
        <is>
          <t xml:space="preserve"> </t>
        </is>
      </c>
      <c r="D113" s="1364" t="inlineStr">
        <is>
          <t xml:space="preserve"> </t>
        </is>
      </c>
      <c r="E113" s="1365" t="n"/>
      <c r="F113" s="1370" t="n"/>
      <c r="G113" s="1370" t="n">
        <v>0</v>
      </c>
      <c r="H113" s="1337" t="n">
        <v>0</v>
      </c>
      <c r="I113" s="1337" t="n">
        <v>0</v>
      </c>
      <c r="J113" s="1337" t="n">
        <v>0</v>
      </c>
      <c r="K113" s="1337" t="n">
        <v>0</v>
      </c>
      <c r="L113" s="1337" t="n">
        <v>0</v>
      </c>
      <c r="M113" s="1337" t="n">
        <v>0</v>
      </c>
      <c r="N113" s="1337" t="n">
        <v>0</v>
      </c>
      <c r="O113" s="1337" t="n">
        <v>0</v>
      </c>
      <c r="P113" s="1337" t="n">
        <v>0</v>
      </c>
      <c r="Q113" s="1337" t="n">
        <v>0</v>
      </c>
      <c r="R113" s="1337" t="n">
        <v>0</v>
      </c>
      <c r="S113" s="1382" t="n"/>
      <c r="U113" s="1370" t="n">
        <v>0</v>
      </c>
      <c r="V113" s="1337" t="n">
        <v>0</v>
      </c>
      <c r="W113" s="1337" t="n">
        <v>0</v>
      </c>
      <c r="X113" s="1337" t="n">
        <v>0</v>
      </c>
      <c r="Y113" s="1337" t="n">
        <v>0</v>
      </c>
      <c r="Z113" s="1337" t="n">
        <v>0</v>
      </c>
      <c r="AA113" s="1337" t="n">
        <v>0</v>
      </c>
      <c r="AB113" s="1337" t="n">
        <v>0</v>
      </c>
      <c r="AC113" s="1337" t="n">
        <v>0</v>
      </c>
      <c r="AD113" s="1337" t="n">
        <v>0</v>
      </c>
      <c r="AE113" s="1337" t="n">
        <v>0</v>
      </c>
      <c r="AF113" s="1337" t="n">
        <v>0</v>
      </c>
      <c r="AG113" s="1382" t="n"/>
      <c r="AI113" s="1370" t="n">
        <v>0</v>
      </c>
      <c r="AJ113" s="1337" t="n">
        <v>0</v>
      </c>
      <c r="AK113" s="1337" t="n">
        <v>0</v>
      </c>
      <c r="AL113" s="1337" t="n">
        <v>0</v>
      </c>
      <c r="AM113" s="1337" t="n">
        <v>0</v>
      </c>
      <c r="AN113" s="1337" t="n">
        <v>0</v>
      </c>
      <c r="AO113" s="1337" t="n">
        <v>0</v>
      </c>
      <c r="AP113" s="1337" t="n">
        <v>0</v>
      </c>
      <c r="AQ113" s="1337" t="n">
        <v>0</v>
      </c>
      <c r="AR113" s="1337" t="n">
        <v>0</v>
      </c>
      <c r="AS113" s="1337" t="n">
        <v>0</v>
      </c>
      <c r="AT113" s="1337" t="n">
        <v>0</v>
      </c>
      <c r="AU113" s="1382" t="n"/>
      <c r="AW113" s="1370" t="n">
        <v>0</v>
      </c>
      <c r="AX113" s="1337" t="n">
        <v>0</v>
      </c>
      <c r="AY113" s="1337" t="n">
        <v>0</v>
      </c>
      <c r="AZ113" s="1337" t="n">
        <v>0</v>
      </c>
      <c r="BA113" s="1337" t="n">
        <v>0</v>
      </c>
      <c r="BB113" s="1337" t="n">
        <v>0</v>
      </c>
      <c r="BC113" s="1337" t="n">
        <v>0</v>
      </c>
      <c r="BD113" s="1337" t="n">
        <v>0</v>
      </c>
      <c r="BE113" s="1337" t="n">
        <v>0</v>
      </c>
      <c r="BF113" s="1337" t="n">
        <v>0</v>
      </c>
      <c r="BG113" s="1337" t="n">
        <v>0</v>
      </c>
      <c r="BH113" s="1337" t="n">
        <v>0</v>
      </c>
      <c r="BI113" s="1382" t="n"/>
    </row>
    <row r="114" outlineLevel="1" collapsed="1" ht="20" customHeight="1">
      <c r="A114" s="441" t="n"/>
      <c r="B114" s="1354" t="inlineStr">
        <is>
          <t xml:space="preserve"> </t>
        </is>
      </c>
      <c r="C114" s="1368" t="inlineStr">
        <is>
          <t xml:space="preserve"> </t>
        </is>
      </c>
      <c r="D114" s="1364" t="inlineStr">
        <is>
          <t xml:space="preserve"> </t>
        </is>
      </c>
      <c r="E114" s="1365" t="n"/>
      <c r="F114" s="1370" t="n"/>
      <c r="G114" s="1370" t="n">
        <v>0</v>
      </c>
      <c r="H114" s="1337" t="n">
        <v>0</v>
      </c>
      <c r="I114" s="1337" t="n">
        <v>0</v>
      </c>
      <c r="J114" s="1337" t="n">
        <v>0</v>
      </c>
      <c r="K114" s="1337" t="n">
        <v>0</v>
      </c>
      <c r="L114" s="1337" t="n">
        <v>0</v>
      </c>
      <c r="M114" s="1337" t="n">
        <v>0</v>
      </c>
      <c r="N114" s="1337" t="n">
        <v>0</v>
      </c>
      <c r="O114" s="1337" t="n">
        <v>0</v>
      </c>
      <c r="P114" s="1337" t="n">
        <v>0</v>
      </c>
      <c r="Q114" s="1337" t="n">
        <v>0</v>
      </c>
      <c r="R114" s="1337" t="n">
        <v>0</v>
      </c>
      <c r="S114" s="1382" t="n"/>
      <c r="U114" s="1370" t="n">
        <v>0</v>
      </c>
      <c r="V114" s="1337" t="n">
        <v>0</v>
      </c>
      <c r="W114" s="1337" t="n">
        <v>0</v>
      </c>
      <c r="X114" s="1337" t="n">
        <v>0</v>
      </c>
      <c r="Y114" s="1337" t="n">
        <v>0</v>
      </c>
      <c r="Z114" s="1337" t="n">
        <v>0</v>
      </c>
      <c r="AA114" s="1337" t="n">
        <v>0</v>
      </c>
      <c r="AB114" s="1337" t="n">
        <v>0</v>
      </c>
      <c r="AC114" s="1337" t="n">
        <v>0</v>
      </c>
      <c r="AD114" s="1337" t="n">
        <v>0</v>
      </c>
      <c r="AE114" s="1337" t="n">
        <v>0</v>
      </c>
      <c r="AF114" s="1337" t="n">
        <v>0</v>
      </c>
      <c r="AG114" s="1382" t="n"/>
      <c r="AI114" s="1370" t="n">
        <v>0</v>
      </c>
      <c r="AJ114" s="1337" t="n">
        <v>0</v>
      </c>
      <c r="AK114" s="1337" t="n">
        <v>0</v>
      </c>
      <c r="AL114" s="1337" t="n">
        <v>0</v>
      </c>
      <c r="AM114" s="1337" t="n">
        <v>0</v>
      </c>
      <c r="AN114" s="1337" t="n">
        <v>0</v>
      </c>
      <c r="AO114" s="1337" t="n">
        <v>0</v>
      </c>
      <c r="AP114" s="1337" t="n">
        <v>0</v>
      </c>
      <c r="AQ114" s="1337" t="n">
        <v>0</v>
      </c>
      <c r="AR114" s="1337" t="n">
        <v>0</v>
      </c>
      <c r="AS114" s="1337" t="n">
        <v>0</v>
      </c>
      <c r="AT114" s="1337" t="n">
        <v>0</v>
      </c>
      <c r="AU114" s="1382" t="n"/>
      <c r="AW114" s="1370" t="n">
        <v>0</v>
      </c>
      <c r="AX114" s="1337" t="n">
        <v>0</v>
      </c>
      <c r="AY114" s="1337" t="n">
        <v>0</v>
      </c>
      <c r="AZ114" s="1337" t="n">
        <v>0</v>
      </c>
      <c r="BA114" s="1337" t="n">
        <v>0</v>
      </c>
      <c r="BB114" s="1337" t="n">
        <v>0</v>
      </c>
      <c r="BC114" s="1337" t="n">
        <v>0</v>
      </c>
      <c r="BD114" s="1337" t="n">
        <v>0</v>
      </c>
      <c r="BE114" s="1337" t="n">
        <v>0</v>
      </c>
      <c r="BF114" s="1337" t="n">
        <v>0</v>
      </c>
      <c r="BG114" s="1337" t="n">
        <v>0</v>
      </c>
      <c r="BH114" s="1337" t="n">
        <v>0</v>
      </c>
      <c r="BI114" s="1382" t="n"/>
    </row>
    <row r="115" outlineLevel="1" ht="20" customHeight="1">
      <c r="A115" s="441" t="n"/>
      <c r="B115" s="1354" t="inlineStr">
        <is>
          <t xml:space="preserve"> </t>
        </is>
      </c>
      <c r="C115" s="1368" t="inlineStr">
        <is>
          <t xml:space="preserve"> </t>
        </is>
      </c>
      <c r="D115" s="1364" t="n"/>
      <c r="E115" s="1365" t="n"/>
      <c r="F115" s="1370" t="n"/>
      <c r="G115" s="1370" t="n">
        <v>0</v>
      </c>
      <c r="H115" s="1337" t="n">
        <v>0</v>
      </c>
      <c r="I115" s="1337" t="n">
        <v>0</v>
      </c>
      <c r="J115" s="1337" t="n">
        <v>0</v>
      </c>
      <c r="K115" s="1337" t="n">
        <v>0</v>
      </c>
      <c r="L115" s="1337" t="n">
        <v>0</v>
      </c>
      <c r="M115" s="1337" t="n">
        <v>0</v>
      </c>
      <c r="N115" s="1337" t="n">
        <v>0</v>
      </c>
      <c r="O115" s="1337" t="n">
        <v>0</v>
      </c>
      <c r="P115" s="1337" t="n">
        <v>0</v>
      </c>
      <c r="Q115" s="1337" t="n">
        <v>0</v>
      </c>
      <c r="R115" s="1337" t="n">
        <v>0</v>
      </c>
      <c r="S115" s="1382" t="n"/>
      <c r="U115" s="1370" t="n">
        <v>0</v>
      </c>
      <c r="V115" s="1337" t="n">
        <v>0</v>
      </c>
      <c r="W115" s="1337" t="n">
        <v>0</v>
      </c>
      <c r="X115" s="1337" t="n">
        <v>0</v>
      </c>
      <c r="Y115" s="1337" t="n">
        <v>0</v>
      </c>
      <c r="Z115" s="1337" t="n">
        <v>0</v>
      </c>
      <c r="AA115" s="1337" t="n">
        <v>0</v>
      </c>
      <c r="AB115" s="1337" t="n">
        <v>0</v>
      </c>
      <c r="AC115" s="1337" t="n">
        <v>0</v>
      </c>
      <c r="AD115" s="1337" t="n">
        <v>0</v>
      </c>
      <c r="AE115" s="1337" t="n">
        <v>0</v>
      </c>
      <c r="AF115" s="1337" t="n">
        <v>0</v>
      </c>
      <c r="AG115" s="1382" t="n"/>
      <c r="AI115" s="1370" t="n">
        <v>0</v>
      </c>
      <c r="AJ115" s="1337" t="n">
        <v>0</v>
      </c>
      <c r="AK115" s="1337" t="n">
        <v>0</v>
      </c>
      <c r="AL115" s="1337" t="n">
        <v>0</v>
      </c>
      <c r="AM115" s="1337" t="n">
        <v>0</v>
      </c>
      <c r="AN115" s="1337" t="n">
        <v>0</v>
      </c>
      <c r="AO115" s="1337" t="n">
        <v>0</v>
      </c>
      <c r="AP115" s="1337" t="n">
        <v>0</v>
      </c>
      <c r="AQ115" s="1337" t="n">
        <v>0</v>
      </c>
      <c r="AR115" s="1337" t="n">
        <v>0</v>
      </c>
      <c r="AS115" s="1337" t="n">
        <v>0</v>
      </c>
      <c r="AT115" s="1337" t="n">
        <v>0</v>
      </c>
      <c r="AU115" s="1382" t="n"/>
      <c r="AW115" s="1370" t="n">
        <v>0</v>
      </c>
      <c r="AX115" s="1337" t="n">
        <v>0</v>
      </c>
      <c r="AY115" s="1337" t="n">
        <v>0</v>
      </c>
      <c r="AZ115" s="1337" t="n">
        <v>0</v>
      </c>
      <c r="BA115" s="1337" t="n">
        <v>0</v>
      </c>
      <c r="BB115" s="1337" t="n">
        <v>0</v>
      </c>
      <c r="BC115" s="1337" t="n">
        <v>0</v>
      </c>
      <c r="BD115" s="1337" t="n">
        <v>0</v>
      </c>
      <c r="BE115" s="1337" t="n">
        <v>0</v>
      </c>
      <c r="BF115" s="1337" t="n">
        <v>0</v>
      </c>
      <c r="BG115" s="1337" t="n">
        <v>0</v>
      </c>
      <c r="BH115" s="1337" t="n">
        <v>0</v>
      </c>
      <c r="BI115" s="1382" t="n"/>
    </row>
    <row r="116" outlineLevel="1" ht="20" customHeight="1">
      <c r="A116" s="441" t="n"/>
      <c r="B116" s="1383" t="n"/>
      <c r="C116" s="1368" t="n"/>
      <c r="D116" s="1364" t="n"/>
      <c r="E116" s="1365" t="n"/>
      <c r="F116" s="1370" t="n"/>
      <c r="G116" s="1370" t="n"/>
      <c r="H116" s="1337" t="n"/>
      <c r="I116" s="1337" t="n"/>
      <c r="J116" s="1337" t="n"/>
      <c r="K116" s="1337" t="n"/>
      <c r="L116" s="1337" t="n"/>
      <c r="M116" s="1337" t="n"/>
      <c r="N116" s="1337" t="n"/>
      <c r="O116" s="1337" t="n"/>
      <c r="P116" s="1337" t="n"/>
      <c r="Q116" s="1337" t="n"/>
      <c r="R116" s="1337" t="n"/>
      <c r="S116" s="1382" t="n"/>
      <c r="U116" s="1370" t="n"/>
      <c r="V116" s="1337" t="n"/>
      <c r="W116" s="1337" t="n"/>
      <c r="X116" s="1337" t="n"/>
      <c r="Y116" s="1337" t="n"/>
      <c r="Z116" s="1337" t="n"/>
      <c r="AA116" s="1337" t="n"/>
      <c r="AB116" s="1337" t="n"/>
      <c r="AC116" s="1337" t="n"/>
      <c r="AD116" s="1337" t="n"/>
      <c r="AE116" s="1337" t="n"/>
      <c r="AF116" s="1337" t="n"/>
      <c r="AG116" s="1382" t="n"/>
      <c r="AI116" s="1370" t="n"/>
      <c r="AJ116" s="1337" t="n"/>
      <c r="AK116" s="1337" t="n"/>
      <c r="AL116" s="1337" t="n"/>
      <c r="AM116" s="1337" t="n"/>
      <c r="AN116" s="1337" t="n"/>
      <c r="AO116" s="1337" t="n"/>
      <c r="AP116" s="1337" t="n"/>
      <c r="AQ116" s="1337" t="n"/>
      <c r="AR116" s="1337" t="n"/>
      <c r="AS116" s="1337" t="n"/>
      <c r="AT116" s="1337" t="n"/>
      <c r="AU116" s="1382" t="n"/>
      <c r="AW116" s="1370" t="n"/>
      <c r="AX116" s="1337" t="n"/>
      <c r="AY116" s="1337" t="n"/>
      <c r="AZ116" s="1337" t="n"/>
      <c r="BA116" s="1337" t="n"/>
      <c r="BB116" s="1337" t="n"/>
      <c r="BC116" s="1337" t="n"/>
      <c r="BD116" s="1337" t="n"/>
      <c r="BE116" s="1337" t="n"/>
      <c r="BF116" s="1337" t="n"/>
      <c r="BG116" s="1337" t="n"/>
      <c r="BH116" s="1337" t="n"/>
      <c r="BI116" s="1382" t="n"/>
    </row>
    <row r="117" outlineLevel="1" ht="20" customHeight="1">
      <c r="A117" s="441" t="n"/>
      <c r="B117" s="1371" t="inlineStr">
        <is>
          <t>Total   Benefits</t>
        </is>
      </c>
      <c r="C117" s="1368" t="inlineStr">
        <is>
          <t>TotalBEN</t>
        </is>
      </c>
      <c r="D117" s="1364" t="n"/>
      <c r="E117" s="1365" t="n"/>
      <c r="F117" s="1372" t="n"/>
      <c r="G117" s="1373" t="n">
        <v>0</v>
      </c>
      <c r="H117" s="1389" t="n">
        <v>0</v>
      </c>
      <c r="I117" s="1389" t="n">
        <v>0</v>
      </c>
      <c r="J117" s="1389" t="n">
        <v>0</v>
      </c>
      <c r="K117" s="1389" t="n">
        <v>0</v>
      </c>
      <c r="L117" s="1389" t="n">
        <v>0</v>
      </c>
      <c r="M117" s="1389" t="n">
        <v>0</v>
      </c>
      <c r="N117" s="1389" t="n">
        <v>0</v>
      </c>
      <c r="O117" s="1389" t="n">
        <v>0</v>
      </c>
      <c r="P117" s="1389" t="n">
        <v>0</v>
      </c>
      <c r="Q117" s="1389" t="n">
        <v>0</v>
      </c>
      <c r="R117" s="1389" t="n">
        <v>0</v>
      </c>
      <c r="S117" s="1374" t="n">
        <v>0</v>
      </c>
      <c r="U117" s="1373" t="n">
        <v>0</v>
      </c>
      <c r="V117" s="1389" t="n">
        <v>0</v>
      </c>
      <c r="W117" s="1389" t="n">
        <v>0</v>
      </c>
      <c r="X117" s="1389" t="n">
        <v>0</v>
      </c>
      <c r="Y117" s="1389" t="n">
        <v>0</v>
      </c>
      <c r="Z117" s="1389" t="n">
        <v>0</v>
      </c>
      <c r="AA117" s="1389" t="n">
        <v>0</v>
      </c>
      <c r="AB117" s="1389" t="n">
        <v>0</v>
      </c>
      <c r="AC117" s="1389" t="n">
        <v>0</v>
      </c>
      <c r="AD117" s="1389" t="n">
        <v>0</v>
      </c>
      <c r="AE117" s="1389" t="n">
        <v>0</v>
      </c>
      <c r="AF117" s="1389" t="n">
        <v>0</v>
      </c>
      <c r="AG117" s="1374" t="n">
        <v>0</v>
      </c>
      <c r="AI117" s="1373" t="n">
        <v>0</v>
      </c>
      <c r="AJ117" s="1389" t="n">
        <v>0</v>
      </c>
      <c r="AK117" s="1389" t="n">
        <v>0</v>
      </c>
      <c r="AL117" s="1389" t="n">
        <v>0</v>
      </c>
      <c r="AM117" s="1389" t="n">
        <v>0</v>
      </c>
      <c r="AN117" s="1389" t="n">
        <v>0</v>
      </c>
      <c r="AO117" s="1389" t="n">
        <v>0</v>
      </c>
      <c r="AP117" s="1389" t="n">
        <v>0</v>
      </c>
      <c r="AQ117" s="1389" t="n">
        <v>0</v>
      </c>
      <c r="AR117" s="1389" t="n">
        <v>0</v>
      </c>
      <c r="AS117" s="1389" t="n">
        <v>0</v>
      </c>
      <c r="AT117" s="1389" t="n">
        <v>0</v>
      </c>
      <c r="AU117" s="1374" t="n">
        <v>0</v>
      </c>
      <c r="AW117" s="1375" t="n">
        <v>0</v>
      </c>
      <c r="AX117" s="1390" t="n">
        <v>0</v>
      </c>
      <c r="AY117" s="1390" t="n">
        <v>0</v>
      </c>
      <c r="AZ117" s="1390" t="n">
        <v>0</v>
      </c>
      <c r="BA117" s="1390" t="n">
        <v>0</v>
      </c>
      <c r="BB117" s="1390" t="n">
        <v>0</v>
      </c>
      <c r="BC117" s="1390" t="n">
        <v>0</v>
      </c>
      <c r="BD117" s="1390" t="n">
        <v>0</v>
      </c>
      <c r="BE117" s="1390" t="n">
        <v>0</v>
      </c>
      <c r="BF117" s="1390" t="n">
        <v>0</v>
      </c>
      <c r="BG117" s="1390" t="n">
        <v>0</v>
      </c>
      <c r="BH117" s="1390" t="n">
        <v>0</v>
      </c>
      <c r="BI117" s="1376" t="n">
        <v>0</v>
      </c>
    </row>
    <row r="118" hidden="1" outlineLevel="2" ht="20" customHeight="1">
      <c r="A118" s="441" t="n"/>
      <c r="B118" s="1391" t="inlineStr">
        <is>
          <t>Total Benefits to Total Wages Ratio</t>
        </is>
      </c>
      <c r="C118" s="1368" t="inlineStr">
        <is>
          <t>calc</t>
        </is>
      </c>
      <c r="D118" s="1392" t="n"/>
      <c r="E118" s="1365" t="n"/>
      <c r="F118" s="1393" t="n"/>
      <c r="G118" s="1394" t="inlineStr"/>
      <c r="H118" s="1395" t="inlineStr"/>
      <c r="I118" s="1395" t="inlineStr"/>
      <c r="J118" s="1395" t="inlineStr"/>
      <c r="K118" s="1395" t="inlineStr"/>
      <c r="L118" s="1395" t="inlineStr"/>
      <c r="M118" s="1395" t="inlineStr"/>
      <c r="N118" s="1395" t="inlineStr"/>
      <c r="O118" s="1395" t="inlineStr"/>
      <c r="P118" s="1395" t="inlineStr"/>
      <c r="Q118" s="1395" t="inlineStr"/>
      <c r="R118" s="1395" t="inlineStr"/>
      <c r="S118" s="1396" t="inlineStr"/>
      <c r="U118" s="1394" t="inlineStr"/>
      <c r="V118" s="1395" t="inlineStr"/>
      <c r="W118" s="1395" t="inlineStr"/>
      <c r="X118" s="1395" t="inlineStr"/>
      <c r="Y118" s="1395" t="inlineStr"/>
      <c r="Z118" s="1395" t="inlineStr"/>
      <c r="AA118" s="1395" t="inlineStr"/>
      <c r="AB118" s="1395" t="inlineStr"/>
      <c r="AC118" s="1395" t="inlineStr"/>
      <c r="AD118" s="1395" t="inlineStr"/>
      <c r="AE118" s="1395" t="inlineStr"/>
      <c r="AF118" s="1395" t="inlineStr"/>
      <c r="AG118" s="1396" t="inlineStr"/>
      <c r="AI118" s="1394" t="inlineStr"/>
      <c r="AJ118" s="1395" t="inlineStr"/>
      <c r="AK118" s="1395" t="inlineStr"/>
      <c r="AL118" s="1395" t="inlineStr"/>
      <c r="AM118" s="1395" t="inlineStr"/>
      <c r="AN118" s="1395" t="inlineStr"/>
      <c r="AO118" s="1395" t="inlineStr"/>
      <c r="AP118" s="1395" t="inlineStr"/>
      <c r="AQ118" s="1395" t="inlineStr"/>
      <c r="AR118" s="1395" t="inlineStr"/>
      <c r="AS118" s="1395" t="inlineStr"/>
      <c r="AT118" s="1395" t="inlineStr"/>
      <c r="AU118" s="1396" t="inlineStr"/>
      <c r="AW118" s="1397" t="inlineStr"/>
      <c r="AX118" s="1398" t="inlineStr"/>
      <c r="AY118" s="1398" t="inlineStr"/>
      <c r="AZ118" s="1398" t="inlineStr"/>
      <c r="BA118" s="1398" t="inlineStr"/>
      <c r="BB118" s="1398" t="inlineStr"/>
      <c r="BC118" s="1398" t="inlineStr"/>
      <c r="BD118" s="1398" t="inlineStr"/>
      <c r="BE118" s="1398" t="inlineStr"/>
      <c r="BF118" s="1398" t="inlineStr"/>
      <c r="BG118" s="1398" t="inlineStr"/>
      <c r="BH118" s="1398" t="inlineStr"/>
      <c r="BI118" s="1399" t="inlineStr"/>
    </row>
    <row r="119" hidden="1" outlineLevel="2" ht="20" customHeight="1">
      <c r="A119" s="441" t="n"/>
      <c r="B119" s="1391" t="inlineStr">
        <is>
          <t>Total Payroll to Total Rev Ratio</t>
        </is>
      </c>
      <c r="C119" s="1368" t="inlineStr">
        <is>
          <t>calc</t>
        </is>
      </c>
      <c r="D119" s="1392" t="n"/>
      <c r="E119" s="1365" t="n"/>
      <c r="F119" s="1393" t="n"/>
      <c r="G119" s="1394" t="inlineStr"/>
      <c r="H119" s="1395" t="inlineStr"/>
      <c r="I119" s="1395" t="inlineStr"/>
      <c r="J119" s="1395" t="inlineStr"/>
      <c r="K119" s="1395" t="inlineStr"/>
      <c r="L119" s="1395" t="inlineStr"/>
      <c r="M119" s="1395" t="inlineStr"/>
      <c r="N119" s="1395" t="inlineStr"/>
      <c r="O119" s="1395" t="inlineStr"/>
      <c r="P119" s="1395" t="n">
        <v>0</v>
      </c>
      <c r="Q119" s="1395" t="n">
        <v>0</v>
      </c>
      <c r="R119" s="1395" t="n">
        <v>0</v>
      </c>
      <c r="S119" s="1396" t="n">
        <v>0</v>
      </c>
      <c r="U119" s="1394" t="inlineStr"/>
      <c r="V119" s="1395" t="inlineStr"/>
      <c r="W119" s="1395" t="inlineStr"/>
      <c r="X119" s="1395" t="inlineStr"/>
      <c r="Y119" s="1395" t="inlineStr"/>
      <c r="Z119" s="1395" t="inlineStr"/>
      <c r="AA119" s="1395" t="inlineStr"/>
      <c r="AB119" s="1395" t="inlineStr"/>
      <c r="AC119" s="1395" t="inlineStr"/>
      <c r="AD119" s="1395" t="n">
        <v>0</v>
      </c>
      <c r="AE119" s="1395" t="n">
        <v>0</v>
      </c>
      <c r="AF119" s="1395" t="n">
        <v>0</v>
      </c>
      <c r="AG119" s="1396" t="n">
        <v>0</v>
      </c>
      <c r="AI119" s="1394" t="inlineStr"/>
      <c r="AJ119" s="1395" t="inlineStr"/>
      <c r="AK119" s="1395" t="inlineStr"/>
      <c r="AL119" s="1395" t="inlineStr"/>
      <c r="AM119" s="1395" t="inlineStr"/>
      <c r="AN119" s="1395" t="inlineStr"/>
      <c r="AO119" s="1395" t="inlineStr"/>
      <c r="AP119" s="1395" t="inlineStr"/>
      <c r="AQ119" s="1395" t="inlineStr"/>
      <c r="AR119" s="1395" t="n">
        <v>0</v>
      </c>
      <c r="AS119" s="1395" t="n">
        <v>0</v>
      </c>
      <c r="AT119" s="1395" t="n">
        <v>0</v>
      </c>
      <c r="AU119" s="1396" t="n">
        <v>0</v>
      </c>
      <c r="AW119" s="1397" t="inlineStr"/>
      <c r="AX119" s="1398" t="inlineStr"/>
      <c r="AY119" s="1398" t="inlineStr"/>
      <c r="AZ119" s="1398" t="inlineStr"/>
      <c r="BA119" s="1398" t="inlineStr"/>
      <c r="BB119" s="1398" t="inlineStr"/>
      <c r="BC119" s="1398" t="inlineStr"/>
      <c r="BD119" s="1398" t="inlineStr"/>
      <c r="BE119" s="1398" t="inlineStr"/>
      <c r="BF119" s="1398" t="n">
        <v>0</v>
      </c>
      <c r="BG119" s="1398" t="n">
        <v>0</v>
      </c>
      <c r="BH119" s="1398" t="n">
        <v>0</v>
      </c>
      <c r="BI119" s="1399" t="n">
        <v>0</v>
      </c>
    </row>
    <row r="120" outlineLevel="1" collapsed="1" ht="20" customHeight="1">
      <c r="A120" s="441" t="n"/>
      <c r="B120" s="1383" t="n"/>
      <c r="C120" s="1368" t="n"/>
      <c r="D120" s="1364" t="n"/>
      <c r="E120" s="1365" t="n"/>
      <c r="F120" s="1370" t="n"/>
      <c r="G120" s="1370" t="n"/>
      <c r="H120" s="1337" t="n"/>
      <c r="I120" s="1337" t="n"/>
      <c r="J120" s="1337" t="n"/>
      <c r="K120" s="1337" t="n"/>
      <c r="L120" s="1337" t="n"/>
      <c r="M120" s="1337" t="n"/>
      <c r="N120" s="1337" t="n"/>
      <c r="O120" s="1337" t="n"/>
      <c r="P120" s="1337" t="n"/>
      <c r="Q120" s="1337" t="n"/>
      <c r="R120" s="1337" t="n"/>
      <c r="S120" s="1367" t="n"/>
      <c r="U120" s="1370" t="n"/>
      <c r="V120" s="1337" t="n"/>
      <c r="W120" s="1337" t="n"/>
      <c r="X120" s="1337" t="n"/>
      <c r="Y120" s="1337" t="n"/>
      <c r="Z120" s="1337" t="n"/>
      <c r="AA120" s="1337" t="n"/>
      <c r="AB120" s="1337" t="n"/>
      <c r="AC120" s="1337" t="n"/>
      <c r="AD120" s="1337" t="n"/>
      <c r="AE120" s="1337" t="n"/>
      <c r="AF120" s="1337" t="n"/>
      <c r="AG120" s="1367" t="n"/>
      <c r="AI120" s="1370" t="n"/>
      <c r="AJ120" s="1337" t="n"/>
      <c r="AK120" s="1337" t="n"/>
      <c r="AL120" s="1337" t="n"/>
      <c r="AM120" s="1337" t="n"/>
      <c r="AN120" s="1337" t="n"/>
      <c r="AO120" s="1337" t="n"/>
      <c r="AP120" s="1337" t="n"/>
      <c r="AQ120" s="1337" t="n"/>
      <c r="AR120" s="1337" t="n"/>
      <c r="AS120" s="1337" t="n"/>
      <c r="AT120" s="1337" t="n"/>
      <c r="AU120" s="1367" t="n"/>
      <c r="AW120" s="1370" t="n"/>
      <c r="AX120" s="1337" t="n"/>
      <c r="AY120" s="1337" t="n"/>
      <c r="AZ120" s="1337" t="n"/>
      <c r="BA120" s="1337" t="n"/>
      <c r="BB120" s="1337" t="n"/>
      <c r="BC120" s="1337" t="n"/>
      <c r="BD120" s="1337" t="n"/>
      <c r="BE120" s="1337" t="n"/>
      <c r="BF120" s="1337" t="n"/>
      <c r="BG120" s="1337" t="n"/>
      <c r="BH120" s="1337" t="n"/>
      <c r="BI120" s="1367" t="n"/>
    </row>
    <row r="121" ht="20" customHeight="1">
      <c r="A121" s="441" t="n"/>
      <c r="B121" s="1371" t="inlineStr">
        <is>
          <t>Total  Payroll  &amp;  Benefits</t>
        </is>
      </c>
      <c r="C121" s="1368" t="inlineStr">
        <is>
          <t>TotalP&amp;B</t>
        </is>
      </c>
      <c r="D121" s="1364" t="n"/>
      <c r="E121" s="1365" t="n"/>
      <c r="F121" s="1372" t="n"/>
      <c r="G121" s="1373">
        <f>G74+G76+G85+G105</f>
        <v/>
      </c>
      <c r="H121" s="1373">
        <f>H74+H76+H85+H105</f>
        <v/>
      </c>
      <c r="I121" s="1373">
        <f>I74+I76+I85+I105</f>
        <v/>
      </c>
      <c r="J121" s="1373">
        <f>J74+J76+J85+J105</f>
        <v/>
      </c>
      <c r="K121" s="1373">
        <f>K74+K76+K85+K105</f>
        <v/>
      </c>
      <c r="L121" s="1373">
        <f>L74+L76+L85+L105</f>
        <v/>
      </c>
      <c r="M121" s="1373">
        <f>M74+M76+M85+M105</f>
        <v/>
      </c>
      <c r="N121" s="1373">
        <f>N74+N76+N85+N105</f>
        <v/>
      </c>
      <c r="O121" s="1373">
        <f>O74+O76+O85+O105</f>
        <v/>
      </c>
      <c r="P121" s="1373">
        <f>P74+P76+P85+P105</f>
        <v/>
      </c>
      <c r="Q121" s="1373">
        <f>Q74+Q76+Q85+Q105</f>
        <v/>
      </c>
      <c r="R121" s="1373">
        <f>R74+R76+R85+R105</f>
        <v/>
      </c>
      <c r="S121" s="1374">
        <f>SUM(G121:R121)</f>
        <v/>
      </c>
      <c r="U121" s="1373">
        <f>U74+U76+U85+U105</f>
        <v/>
      </c>
      <c r="V121" s="1373">
        <f>V74+V76+V85+V105</f>
        <v/>
      </c>
      <c r="W121" s="1373">
        <f>W74+W76+W85+W105</f>
        <v/>
      </c>
      <c r="X121" s="1373">
        <f>X74+X76+X85+X105</f>
        <v/>
      </c>
      <c r="Y121" s="1373">
        <f>Y74+Y76+Y85+Y105</f>
        <v/>
      </c>
      <c r="Z121" s="1373">
        <f>Z74+Z76+Z85+Z105</f>
        <v/>
      </c>
      <c r="AA121" s="1373">
        <f>AA74+AA76+AA85+AA105</f>
        <v/>
      </c>
      <c r="AB121" s="1373">
        <f>AB74+AB76+AB85+AB105</f>
        <v/>
      </c>
      <c r="AC121" s="1373">
        <f>AC74+AC76+AC85+AC105</f>
        <v/>
      </c>
      <c r="AD121" s="1373">
        <f>AD74+AD76+AD85+AD105</f>
        <v/>
      </c>
      <c r="AE121" s="1373">
        <f>AE74+AE76+AE85+AE105</f>
        <v/>
      </c>
      <c r="AF121" s="1373">
        <f>AF74+AF76+AF85+AF105</f>
        <v/>
      </c>
      <c r="AG121" s="1374">
        <f>SUM(U121:AF121)</f>
        <v/>
      </c>
      <c r="AI121" s="1373">
        <f>AI74+AI76+AI85+AI105</f>
        <v/>
      </c>
      <c r="AJ121" s="1373">
        <f>AJ74+AJ76+AJ85+AJ105</f>
        <v/>
      </c>
      <c r="AK121" s="1373">
        <f>AK74+AK76+AK85+AK105</f>
        <v/>
      </c>
      <c r="AL121" s="1373">
        <f>AL74+AL76+AL85+AL105</f>
        <v/>
      </c>
      <c r="AM121" s="1373">
        <f>AM74+AM76+AM85+AM105</f>
        <v/>
      </c>
      <c r="AN121" s="1373">
        <f>AN74+AN76+AN85+AN105</f>
        <v/>
      </c>
      <c r="AO121" s="1373">
        <f>AO74+AO76+AO85+AO105</f>
        <v/>
      </c>
      <c r="AP121" s="1373">
        <f>AP74+AP76+AP85+AP105</f>
        <v/>
      </c>
      <c r="AQ121" s="1373">
        <f>AQ74+AQ76+AQ85+AQ105</f>
        <v/>
      </c>
      <c r="AR121" s="1373">
        <f>AR74+AR76+AR85+AR105</f>
        <v/>
      </c>
      <c r="AS121" s="1373">
        <f>AS74+AS76+AS85+AS105</f>
        <v/>
      </c>
      <c r="AT121" s="1373">
        <f>AT74+AT76+AT85+AT105</f>
        <v/>
      </c>
      <c r="AU121" s="1374">
        <f>SUM(AI121:AT121)</f>
        <v/>
      </c>
      <c r="AW121" s="1375">
        <f>AW74+AW76+AW85+AW105</f>
        <v/>
      </c>
      <c r="AX121" s="1375">
        <f>AX74+AX76+AX85+AX105</f>
        <v/>
      </c>
      <c r="AY121" s="1375">
        <f>AY74+AY76+AY85+AY105</f>
        <v/>
      </c>
      <c r="AZ121" s="1375">
        <f>AZ74+AZ76+AZ85+AZ105</f>
        <v/>
      </c>
      <c r="BA121" s="1375">
        <f>BA74+BA76+BA85+BA105</f>
        <v/>
      </c>
      <c r="BB121" s="1375">
        <f>BB74+BB76+BB85+BB105</f>
        <v/>
      </c>
      <c r="BC121" s="1375">
        <f>BC74+BC76+BC85+BC105</f>
        <v/>
      </c>
      <c r="BD121" s="1375">
        <f>BD74+BD76+BD85+BD105</f>
        <v/>
      </c>
      <c r="BE121" s="1375">
        <f>BE74+BE76+BE85+BE105</f>
        <v/>
      </c>
      <c r="BF121" s="1375">
        <f>BF74+BF76+BF85+BF105</f>
        <v/>
      </c>
      <c r="BG121" s="1375">
        <f>BG74+BG76+BG85+BG105</f>
        <v/>
      </c>
      <c r="BH121" s="1375">
        <f>BH74+BH76+BH85+BH105</f>
        <v/>
      </c>
      <c r="BI121" s="1376">
        <f>SUM(AW121:BH121)</f>
        <v/>
      </c>
    </row>
    <row r="122" outlineLevel="1" ht="20" customHeight="1">
      <c r="A122" s="441" t="n"/>
      <c r="B122" s="1383" t="inlineStr">
        <is>
          <t xml:space="preserve">Program Development </t>
        </is>
      </c>
      <c r="C122" s="1368" t="n"/>
      <c r="D122" s="1364" t="n"/>
      <c r="E122" s="1365" t="n"/>
      <c r="F122" s="1400" t="n"/>
      <c r="G122" s="1400" t="n"/>
      <c r="H122" s="1401" t="n"/>
      <c r="I122" s="1401" t="n"/>
      <c r="J122" s="1401" t="n"/>
      <c r="K122" s="1401" t="n"/>
      <c r="L122" s="1401" t="n"/>
      <c r="M122" s="1401" t="n"/>
      <c r="N122" s="1401" t="n"/>
      <c r="O122" s="1401" t="n"/>
      <c r="P122" s="1401" t="n"/>
      <c r="Q122" s="1401" t="n"/>
      <c r="R122" s="1401" t="n"/>
      <c r="S122" s="1402" t="n"/>
      <c r="U122" s="1400" t="n"/>
      <c r="V122" s="1401" t="n"/>
      <c r="W122" s="1401" t="n"/>
      <c r="X122" s="1401" t="n"/>
      <c r="Y122" s="1401" t="n"/>
      <c r="Z122" s="1401" t="n"/>
      <c r="AA122" s="1401" t="n"/>
      <c r="AB122" s="1401" t="n"/>
      <c r="AC122" s="1401" t="n"/>
      <c r="AD122" s="1401" t="n"/>
      <c r="AE122" s="1401" t="n"/>
      <c r="AF122" s="1401" t="n"/>
      <c r="AG122" s="1402" t="n"/>
      <c r="AI122" s="1400" t="n"/>
      <c r="AJ122" s="1401" t="n"/>
      <c r="AK122" s="1401" t="n"/>
      <c r="AL122" s="1401" t="n"/>
      <c r="AM122" s="1401" t="n"/>
      <c r="AN122" s="1401" t="n"/>
      <c r="AO122" s="1401" t="n"/>
      <c r="AP122" s="1401" t="n"/>
      <c r="AQ122" s="1401" t="n"/>
      <c r="AR122" s="1401" t="n"/>
      <c r="AS122" s="1401" t="n"/>
      <c r="AT122" s="1401" t="n"/>
      <c r="AU122" s="1402" t="n"/>
      <c r="AW122" s="1400" t="n"/>
      <c r="AX122" s="1401" t="n"/>
      <c r="AY122" s="1401" t="n"/>
      <c r="AZ122" s="1401" t="n"/>
      <c r="BA122" s="1401" t="n"/>
      <c r="BB122" s="1401" t="n"/>
      <c r="BC122" s="1401" t="n"/>
      <c r="BD122" s="1401" t="n"/>
      <c r="BE122" s="1401" t="n"/>
      <c r="BF122" s="1401" t="n"/>
      <c r="BG122" s="1401" t="n"/>
      <c r="BH122" s="1401" t="n"/>
      <c r="BI122" s="1402" t="n"/>
    </row>
    <row r="123" outlineLevel="1" ht="20" customHeight="1">
      <c r="A123" s="441" t="n"/>
      <c r="B123" s="1357" t="inlineStr">
        <is>
          <t>Backend Architect / AI</t>
        </is>
      </c>
      <c r="C123" s="1368" t="n"/>
      <c r="D123" s="1364" t="n"/>
      <c r="E123" s="1365" t="n"/>
      <c r="F123" s="1370" t="n"/>
      <c r="G123" s="1337" t="n">
        <v>7500</v>
      </c>
      <c r="H123" s="1337" t="n">
        <v>7500</v>
      </c>
      <c r="I123" s="1337" t="n">
        <v>7500</v>
      </c>
      <c r="J123" s="1337" t="n">
        <v>7500</v>
      </c>
      <c r="K123" s="1337" t="n">
        <v>7500</v>
      </c>
      <c r="L123" s="1337" t="n">
        <v>7500</v>
      </c>
      <c r="M123" s="1337" t="n">
        <v>7500</v>
      </c>
      <c r="N123" s="1337" t="n">
        <v>7500</v>
      </c>
      <c r="O123" s="1337" t="n">
        <v>7500</v>
      </c>
      <c r="P123" s="1337" t="n">
        <v>7500</v>
      </c>
      <c r="Q123" s="1337" t="n">
        <v>7500</v>
      </c>
      <c r="R123" s="1337" t="n">
        <v>7500</v>
      </c>
      <c r="S123" s="1382">
        <f>SUM(G123:R123)</f>
        <v/>
      </c>
      <c r="U123" s="1337" t="n">
        <v>5800</v>
      </c>
      <c r="V123" s="1337" t="n">
        <v>5800</v>
      </c>
      <c r="W123" s="1337" t="n">
        <v>5800</v>
      </c>
      <c r="X123" s="1337" t="n">
        <v>5800</v>
      </c>
      <c r="Y123" s="1337" t="n">
        <v>5800</v>
      </c>
      <c r="Z123" s="1337" t="n">
        <v>5800</v>
      </c>
      <c r="AA123" s="1337" t="n">
        <v>5800</v>
      </c>
      <c r="AB123" s="1337" t="n">
        <v>5800</v>
      </c>
      <c r="AC123" s="1337" t="n">
        <v>5800</v>
      </c>
      <c r="AD123" s="1337" t="n">
        <v>5800</v>
      </c>
      <c r="AE123" s="1337" t="n">
        <v>5800</v>
      </c>
      <c r="AF123" s="1337" t="n">
        <v>5800</v>
      </c>
      <c r="AG123" s="1382">
        <f>SUM(U123:AF123)</f>
        <v/>
      </c>
      <c r="AI123" s="1337" t="n">
        <v>5800</v>
      </c>
      <c r="AJ123" s="1337" t="n">
        <v>5800</v>
      </c>
      <c r="AK123" s="1337" t="n">
        <v>5800</v>
      </c>
      <c r="AL123" s="1337" t="n">
        <v>5800</v>
      </c>
      <c r="AM123" s="1337" t="n">
        <v>5800</v>
      </c>
      <c r="AN123" s="1337" t="n">
        <v>5800</v>
      </c>
      <c r="AO123" s="1337" t="n">
        <v>5800</v>
      </c>
      <c r="AP123" s="1337" t="n">
        <v>5800</v>
      </c>
      <c r="AQ123" s="1337" t="n">
        <v>5800</v>
      </c>
      <c r="AR123" s="1337" t="n">
        <v>5800</v>
      </c>
      <c r="AS123" s="1337" t="n">
        <v>5800</v>
      </c>
      <c r="AT123" s="1337" t="n">
        <v>5800</v>
      </c>
      <c r="AU123" s="1382">
        <f>SUM(AI123:AT123)</f>
        <v/>
      </c>
      <c r="AW123" s="1337" t="n">
        <v>5800</v>
      </c>
      <c r="AX123" s="1337" t="n">
        <v>5800</v>
      </c>
      <c r="AY123" s="1337" t="n">
        <v>5800</v>
      </c>
      <c r="AZ123" s="1337" t="n">
        <v>5800</v>
      </c>
      <c r="BA123" s="1337" t="n">
        <v>5800</v>
      </c>
      <c r="BB123" s="1337" t="n">
        <v>5800</v>
      </c>
      <c r="BC123" s="1337" t="n">
        <v>5800</v>
      </c>
      <c r="BD123" s="1337" t="n">
        <v>5800</v>
      </c>
      <c r="BE123" s="1337" t="n">
        <v>5800</v>
      </c>
      <c r="BF123" s="1337" t="n">
        <v>5800</v>
      </c>
      <c r="BG123" s="1337" t="n">
        <v>5800</v>
      </c>
      <c r="BH123" s="1337" t="n">
        <v>5800</v>
      </c>
      <c r="BI123" s="1382">
        <f>SUM(AW123:BH123)</f>
        <v/>
      </c>
    </row>
    <row r="124" outlineLevel="1" ht="20" customHeight="1">
      <c r="A124" s="441" t="n"/>
      <c r="B124" s="1357" t="inlineStr">
        <is>
          <t>Design (UX / UI)</t>
        </is>
      </c>
      <c r="C124" s="1368" t="inlineStr">
        <is>
          <t xml:space="preserve"> </t>
        </is>
      </c>
      <c r="D124" s="1364" t="inlineStr">
        <is>
          <t xml:space="preserve"> </t>
        </is>
      </c>
      <c r="E124" s="1365" t="n"/>
      <c r="F124" s="1370" t="n"/>
      <c r="G124" s="1337" t="n">
        <v>7500</v>
      </c>
      <c r="H124" s="1337" t="n">
        <v>7500</v>
      </c>
      <c r="I124" s="1337" t="n">
        <v>7500</v>
      </c>
      <c r="J124" s="1337" t="n">
        <v>7500</v>
      </c>
      <c r="K124" s="1337" t="n">
        <v>7500</v>
      </c>
      <c r="L124" s="1337" t="n">
        <v>7500</v>
      </c>
      <c r="M124" s="1337" t="n">
        <v>7500</v>
      </c>
      <c r="N124" s="1337" t="n">
        <v>7500</v>
      </c>
      <c r="O124" s="1337" t="n">
        <v>7500</v>
      </c>
      <c r="P124" s="1337" t="n">
        <v>7500</v>
      </c>
      <c r="Q124" s="1337" t="n">
        <v>7500</v>
      </c>
      <c r="R124" s="1337" t="n">
        <v>7500</v>
      </c>
      <c r="S124" s="1382">
        <f>SUM(G124:R124)</f>
        <v/>
      </c>
      <c r="U124" s="1337" t="n">
        <v>9600</v>
      </c>
      <c r="V124" s="1337" t="n">
        <v>9600</v>
      </c>
      <c r="W124" s="1337" t="n">
        <v>9600</v>
      </c>
      <c r="X124" s="1337" t="n">
        <v>9600</v>
      </c>
      <c r="Y124" s="1337" t="n">
        <v>9600</v>
      </c>
      <c r="Z124" s="1337" t="n">
        <v>9600</v>
      </c>
      <c r="AA124" s="1337" t="n">
        <v>9600</v>
      </c>
      <c r="AB124" s="1337" t="n">
        <v>9600</v>
      </c>
      <c r="AC124" s="1337" t="n">
        <v>9600</v>
      </c>
      <c r="AD124" s="1337" t="n">
        <v>9600</v>
      </c>
      <c r="AE124" s="1337" t="n">
        <v>9600</v>
      </c>
      <c r="AF124" s="1337" t="n">
        <v>9600</v>
      </c>
      <c r="AG124" s="1382">
        <f>SUM(U124:AF124)</f>
        <v/>
      </c>
      <c r="AI124" s="1337" t="n">
        <v>9600</v>
      </c>
      <c r="AJ124" s="1337" t="n">
        <v>9600</v>
      </c>
      <c r="AK124" s="1337" t="n">
        <v>9600</v>
      </c>
      <c r="AL124" s="1337" t="n">
        <v>9600</v>
      </c>
      <c r="AM124" s="1337" t="n">
        <v>9600</v>
      </c>
      <c r="AN124" s="1337" t="n">
        <v>9600</v>
      </c>
      <c r="AO124" s="1337" t="n">
        <v>9600</v>
      </c>
      <c r="AP124" s="1337" t="n">
        <v>9600</v>
      </c>
      <c r="AQ124" s="1337" t="n">
        <v>9600</v>
      </c>
      <c r="AR124" s="1337" t="n">
        <v>9600</v>
      </c>
      <c r="AS124" s="1337" t="n">
        <v>9600</v>
      </c>
      <c r="AT124" s="1337" t="n">
        <v>9600</v>
      </c>
      <c r="AU124" s="1382">
        <f>SUM(AI124:AT124)</f>
        <v/>
      </c>
      <c r="AW124" s="1337" t="n">
        <v>9600</v>
      </c>
      <c r="AX124" s="1337" t="n">
        <v>9600</v>
      </c>
      <c r="AY124" s="1337" t="n">
        <v>9600</v>
      </c>
      <c r="AZ124" s="1337" t="n">
        <v>9600</v>
      </c>
      <c r="BA124" s="1337" t="n">
        <v>9600</v>
      </c>
      <c r="BB124" s="1337" t="n">
        <v>9600</v>
      </c>
      <c r="BC124" s="1337" t="n">
        <v>9600</v>
      </c>
      <c r="BD124" s="1337" t="n">
        <v>9600</v>
      </c>
      <c r="BE124" s="1337" t="n">
        <v>9600</v>
      </c>
      <c r="BF124" s="1337" t="n">
        <v>9600</v>
      </c>
      <c r="BG124" s="1337" t="n">
        <v>9600</v>
      </c>
      <c r="BH124" s="1337" t="n">
        <v>9600</v>
      </c>
      <c r="BI124" s="1382">
        <f>SUM(AW124:BH124)</f>
        <v/>
      </c>
    </row>
    <row r="125" outlineLevel="1" ht="20" customHeight="1">
      <c r="A125" s="441" t="n"/>
      <c r="B125" s="1357" t="inlineStr">
        <is>
          <t>Database- Backend</t>
        </is>
      </c>
      <c r="C125" s="1368" t="inlineStr">
        <is>
          <t xml:space="preserve"> </t>
        </is>
      </c>
      <c r="D125" s="1364" t="n"/>
      <c r="E125" s="1365" t="n"/>
      <c r="F125" s="1370" t="n"/>
      <c r="G125" s="1337" t="n">
        <v>5000</v>
      </c>
      <c r="H125" s="1337" t="n">
        <v>5000</v>
      </c>
      <c r="I125" s="1337" t="n">
        <v>5000</v>
      </c>
      <c r="J125" s="1337" t="n">
        <v>5000</v>
      </c>
      <c r="K125" s="1337" t="n">
        <v>5000</v>
      </c>
      <c r="L125" s="1337" t="n">
        <v>5000</v>
      </c>
      <c r="M125" s="1337" t="n">
        <v>5000</v>
      </c>
      <c r="N125" s="1337" t="n">
        <v>5000</v>
      </c>
      <c r="O125" s="1337" t="n">
        <v>5000</v>
      </c>
      <c r="P125" s="1337" t="n">
        <v>5000</v>
      </c>
      <c r="Q125" s="1337" t="n">
        <v>5000</v>
      </c>
      <c r="R125" s="1337" t="n">
        <v>5000</v>
      </c>
      <c r="S125" s="1382">
        <f>SUM(G125:R125)</f>
        <v/>
      </c>
      <c r="U125" s="1337" t="n">
        <v>4000</v>
      </c>
      <c r="V125" s="1337" t="n">
        <v>4000</v>
      </c>
      <c r="W125" s="1337" t="n">
        <v>4000</v>
      </c>
      <c r="X125" s="1337" t="n">
        <v>4000</v>
      </c>
      <c r="Y125" s="1337" t="n">
        <v>4000</v>
      </c>
      <c r="Z125" s="1337" t="n">
        <v>4000</v>
      </c>
      <c r="AA125" s="1337" t="n">
        <v>4000</v>
      </c>
      <c r="AB125" s="1337" t="n">
        <v>4000</v>
      </c>
      <c r="AC125" s="1337" t="n">
        <v>4000</v>
      </c>
      <c r="AD125" s="1337" t="n">
        <v>4000</v>
      </c>
      <c r="AE125" s="1337" t="n">
        <v>4000</v>
      </c>
      <c r="AF125" s="1337" t="n">
        <v>4000</v>
      </c>
      <c r="AG125" s="1382">
        <f>SUM(U125:AF125)</f>
        <v/>
      </c>
      <c r="AI125" s="1337" t="n">
        <v>4000</v>
      </c>
      <c r="AJ125" s="1337" t="n">
        <v>4000</v>
      </c>
      <c r="AK125" s="1337" t="n">
        <v>4000</v>
      </c>
      <c r="AL125" s="1337" t="n">
        <v>4000</v>
      </c>
      <c r="AM125" s="1337" t="n">
        <v>4000</v>
      </c>
      <c r="AN125" s="1337" t="n">
        <v>4000</v>
      </c>
      <c r="AO125" s="1337" t="n">
        <v>4000</v>
      </c>
      <c r="AP125" s="1337" t="n">
        <v>4000</v>
      </c>
      <c r="AQ125" s="1337" t="n">
        <v>4000</v>
      </c>
      <c r="AR125" s="1337" t="n">
        <v>4000</v>
      </c>
      <c r="AS125" s="1337" t="n">
        <v>4000</v>
      </c>
      <c r="AT125" s="1337" t="n">
        <v>4000</v>
      </c>
      <c r="AU125" s="1382">
        <f>SUM(AI125:AT125)</f>
        <v/>
      </c>
      <c r="AW125" s="1337" t="n">
        <v>4000</v>
      </c>
      <c r="AX125" s="1337" t="n">
        <v>4000</v>
      </c>
      <c r="AY125" s="1337" t="n">
        <v>4000</v>
      </c>
      <c r="AZ125" s="1337" t="n">
        <v>4000</v>
      </c>
      <c r="BA125" s="1337" t="n">
        <v>4000</v>
      </c>
      <c r="BB125" s="1337" t="n">
        <v>4000</v>
      </c>
      <c r="BC125" s="1337" t="n">
        <v>4000</v>
      </c>
      <c r="BD125" s="1337" t="n">
        <v>4000</v>
      </c>
      <c r="BE125" s="1337" t="n">
        <v>4000</v>
      </c>
      <c r="BF125" s="1337" t="n">
        <v>4000</v>
      </c>
      <c r="BG125" s="1337" t="n">
        <v>4000</v>
      </c>
      <c r="BH125" s="1337" t="n">
        <v>4000</v>
      </c>
      <c r="BI125" s="1382">
        <f>SUM(AW125:BH125)</f>
        <v/>
      </c>
    </row>
    <row r="126" outlineLevel="1" ht="20" customHeight="1">
      <c r="A126" s="441" t="n"/>
      <c r="B126" s="1357" t="inlineStr">
        <is>
          <t>Quality Assurance</t>
        </is>
      </c>
      <c r="C126" s="1368" t="inlineStr">
        <is>
          <t xml:space="preserve"> </t>
        </is>
      </c>
      <c r="D126" s="1364" t="n"/>
      <c r="E126" s="1365" t="n"/>
      <c r="F126" s="1370" t="n"/>
      <c r="G126" s="1337" t="n">
        <v>5000</v>
      </c>
      <c r="H126" s="1337" t="n">
        <v>5000</v>
      </c>
      <c r="I126" s="1337" t="n">
        <v>5000</v>
      </c>
      <c r="J126" s="1337" t="n">
        <v>5000</v>
      </c>
      <c r="K126" s="1337" t="n">
        <v>5000</v>
      </c>
      <c r="L126" s="1337" t="n">
        <v>5000</v>
      </c>
      <c r="M126" s="1337" t="n">
        <v>5000</v>
      </c>
      <c r="N126" s="1337" t="n">
        <v>5000</v>
      </c>
      <c r="O126" s="1337" t="n">
        <v>5000</v>
      </c>
      <c r="P126" s="1337" t="n">
        <v>5000</v>
      </c>
      <c r="Q126" s="1337" t="n">
        <v>5000</v>
      </c>
      <c r="R126" s="1337" t="n">
        <v>5000</v>
      </c>
      <c r="S126" s="1382">
        <f>SUM(G126:R126)</f>
        <v/>
      </c>
      <c r="U126" s="1337" t="n">
        <v>5000</v>
      </c>
      <c r="V126" s="1337" t="n">
        <v>5000</v>
      </c>
      <c r="W126" s="1337" t="n">
        <v>5000</v>
      </c>
      <c r="X126" s="1337" t="n">
        <v>5000</v>
      </c>
      <c r="Y126" s="1337" t="n">
        <v>5000</v>
      </c>
      <c r="Z126" s="1337" t="n">
        <v>5000</v>
      </c>
      <c r="AA126" s="1337" t="n">
        <v>5000</v>
      </c>
      <c r="AB126" s="1337" t="n">
        <v>5000</v>
      </c>
      <c r="AC126" s="1337" t="n">
        <v>5000</v>
      </c>
      <c r="AD126" s="1337" t="n">
        <v>5000</v>
      </c>
      <c r="AE126" s="1337" t="n">
        <v>5000</v>
      </c>
      <c r="AF126" s="1337" t="n">
        <v>5000</v>
      </c>
      <c r="AG126" s="1382">
        <f>SUM(U126:AF126)</f>
        <v/>
      </c>
      <c r="AI126" s="1337" t="n">
        <v>5000</v>
      </c>
      <c r="AJ126" s="1337" t="n">
        <v>5000</v>
      </c>
      <c r="AK126" s="1337" t="n">
        <v>5000</v>
      </c>
      <c r="AL126" s="1337" t="n">
        <v>5000</v>
      </c>
      <c r="AM126" s="1337" t="n">
        <v>5000</v>
      </c>
      <c r="AN126" s="1337" t="n">
        <v>5000</v>
      </c>
      <c r="AO126" s="1337" t="n">
        <v>5000</v>
      </c>
      <c r="AP126" s="1337" t="n">
        <v>5000</v>
      </c>
      <c r="AQ126" s="1337" t="n">
        <v>5000</v>
      </c>
      <c r="AR126" s="1337" t="n">
        <v>5000</v>
      </c>
      <c r="AS126" s="1337" t="n">
        <v>5000</v>
      </c>
      <c r="AT126" s="1337" t="n">
        <v>5000</v>
      </c>
      <c r="AU126" s="1382">
        <f>SUM(AI126:AT126)</f>
        <v/>
      </c>
      <c r="AW126" s="1337" t="n">
        <v>5000</v>
      </c>
      <c r="AX126" s="1337" t="n">
        <v>5000</v>
      </c>
      <c r="AY126" s="1337" t="n">
        <v>5000</v>
      </c>
      <c r="AZ126" s="1337" t="n">
        <v>5000</v>
      </c>
      <c r="BA126" s="1337" t="n">
        <v>5000</v>
      </c>
      <c r="BB126" s="1337" t="n">
        <v>5000</v>
      </c>
      <c r="BC126" s="1337" t="n">
        <v>5000</v>
      </c>
      <c r="BD126" s="1337" t="n">
        <v>5000</v>
      </c>
      <c r="BE126" s="1337" t="n">
        <v>5000</v>
      </c>
      <c r="BF126" s="1337" t="n">
        <v>5000</v>
      </c>
      <c r="BG126" s="1337" t="n">
        <v>5000</v>
      </c>
      <c r="BH126" s="1337" t="n">
        <v>5000</v>
      </c>
      <c r="BI126" s="1382">
        <f>SUM(AW126:BH126)</f>
        <v/>
      </c>
    </row>
    <row r="127" outlineLevel="1" ht="20" customHeight="1">
      <c r="A127" s="441" t="inlineStr">
        <is>
          <t xml:space="preserve"> </t>
        </is>
      </c>
      <c r="B127" s="1357" t="inlineStr">
        <is>
          <t>API</t>
        </is>
      </c>
      <c r="C127" s="1368" t="n"/>
      <c r="D127" s="1364" t="n"/>
      <c r="E127" s="1365" t="n"/>
      <c r="F127" s="1370" t="n"/>
      <c r="G127" s="1337" t="n"/>
      <c r="H127" s="1337" t="n">
        <v>9600</v>
      </c>
      <c r="I127" s="1337" t="n">
        <v>9600</v>
      </c>
      <c r="J127" s="1337" t="n">
        <v>9600</v>
      </c>
      <c r="K127" s="1337" t="n">
        <v>9600</v>
      </c>
      <c r="L127" s="1337" t="n">
        <v>9600</v>
      </c>
      <c r="M127" s="1337" t="n">
        <v>9600</v>
      </c>
      <c r="N127" s="1337" t="n">
        <v>9600</v>
      </c>
      <c r="O127" s="1337" t="n">
        <v>9600</v>
      </c>
      <c r="P127" s="1337" t="n">
        <v>9600</v>
      </c>
      <c r="Q127" s="1337" t="n">
        <v>9600</v>
      </c>
      <c r="R127" s="1337" t="n">
        <v>9600</v>
      </c>
      <c r="S127" s="1382">
        <f>SUM(G127:R127)</f>
        <v/>
      </c>
      <c r="U127" s="1337" t="n">
        <v>9600</v>
      </c>
      <c r="V127" s="1337" t="n">
        <v>9600</v>
      </c>
      <c r="W127" s="1337" t="n">
        <v>9600</v>
      </c>
      <c r="X127" s="1337" t="n">
        <v>9600</v>
      </c>
      <c r="Y127" s="1337" t="n">
        <v>9600</v>
      </c>
      <c r="Z127" s="1337" t="n">
        <v>9600</v>
      </c>
      <c r="AA127" s="1337" t="n">
        <v>9600</v>
      </c>
      <c r="AB127" s="1337" t="n">
        <v>9600</v>
      </c>
      <c r="AC127" s="1337" t="n">
        <v>9600</v>
      </c>
      <c r="AD127" s="1337" t="n">
        <v>9600</v>
      </c>
      <c r="AE127" s="1337" t="n">
        <v>9600</v>
      </c>
      <c r="AF127" s="1337" t="n">
        <v>9600</v>
      </c>
      <c r="AG127" s="1382">
        <f>SUM(U127:AF127)</f>
        <v/>
      </c>
      <c r="AI127" s="1337" t="n">
        <v>9600</v>
      </c>
      <c r="AJ127" s="1337" t="n">
        <v>9600</v>
      </c>
      <c r="AK127" s="1337" t="n">
        <v>9600</v>
      </c>
      <c r="AL127" s="1337" t="n">
        <v>9600</v>
      </c>
      <c r="AM127" s="1337" t="n">
        <v>9600</v>
      </c>
      <c r="AN127" s="1337" t="n">
        <v>9600</v>
      </c>
      <c r="AO127" s="1337" t="n">
        <v>9600</v>
      </c>
      <c r="AP127" s="1337" t="n">
        <v>9600</v>
      </c>
      <c r="AQ127" s="1337" t="n">
        <v>9600</v>
      </c>
      <c r="AR127" s="1337" t="n">
        <v>9600</v>
      </c>
      <c r="AS127" s="1337" t="n">
        <v>9600</v>
      </c>
      <c r="AT127" s="1337" t="n">
        <v>9600</v>
      </c>
      <c r="AU127" s="1382">
        <f>SUM(AI127:AT127)</f>
        <v/>
      </c>
      <c r="AW127" s="1337" t="n">
        <v>9600</v>
      </c>
      <c r="AX127" s="1337" t="n">
        <v>9600</v>
      </c>
      <c r="AY127" s="1337" t="n">
        <v>9600</v>
      </c>
      <c r="AZ127" s="1337" t="n">
        <v>9600</v>
      </c>
      <c r="BA127" s="1337" t="n">
        <v>9600</v>
      </c>
      <c r="BB127" s="1337" t="n">
        <v>9600</v>
      </c>
      <c r="BC127" s="1337" t="n">
        <v>9600</v>
      </c>
      <c r="BD127" s="1337" t="n">
        <v>9600</v>
      </c>
      <c r="BE127" s="1337" t="n">
        <v>9600</v>
      </c>
      <c r="BF127" s="1337" t="n">
        <v>9600</v>
      </c>
      <c r="BG127" s="1337" t="n">
        <v>9600</v>
      </c>
      <c r="BH127" s="1337" t="n">
        <v>9600</v>
      </c>
      <c r="BI127" s="1382">
        <f>SUM(AW127:BH127)</f>
        <v/>
      </c>
    </row>
    <row r="128" outlineLevel="1" ht="20" customHeight="1">
      <c r="A128" s="441" t="n"/>
      <c r="B128" s="1357" t="inlineStr">
        <is>
          <t xml:space="preserve"> </t>
        </is>
      </c>
      <c r="C128" s="1368" t="n"/>
      <c r="D128" s="1364" t="n"/>
      <c r="E128" s="1365" t="n"/>
      <c r="F128" s="1370" t="n"/>
      <c r="G128" s="1337" t="n">
        <v>0</v>
      </c>
      <c r="H128" s="1337" t="n">
        <v>0</v>
      </c>
      <c r="I128" s="1337" t="n">
        <v>0</v>
      </c>
      <c r="J128" s="1337" t="n">
        <v>0</v>
      </c>
      <c r="K128" s="1337" t="n">
        <v>0</v>
      </c>
      <c r="L128" s="1337" t="n">
        <v>0</v>
      </c>
      <c r="M128" s="1337" t="n">
        <v>0</v>
      </c>
      <c r="N128" s="1337" t="n">
        <v>0</v>
      </c>
      <c r="O128" s="1337" t="n">
        <v>0</v>
      </c>
      <c r="P128" s="1337" t="n">
        <v>0</v>
      </c>
      <c r="Q128" s="1337" t="n">
        <v>0</v>
      </c>
      <c r="R128" s="1337" t="n">
        <v>0</v>
      </c>
      <c r="S128" s="1367">
        <f>SUM(G128:R128)</f>
        <v/>
      </c>
      <c r="U128" s="1337" t="n">
        <v>4000</v>
      </c>
      <c r="V128" s="1337" t="n">
        <v>4000</v>
      </c>
      <c r="W128" s="1337" t="n">
        <v>4000</v>
      </c>
      <c r="X128" s="1337" t="n">
        <v>4000</v>
      </c>
      <c r="Y128" s="1337" t="n">
        <v>4000</v>
      </c>
      <c r="Z128" s="1337" t="n">
        <v>4000</v>
      </c>
      <c r="AA128" s="1337" t="n">
        <v>4000</v>
      </c>
      <c r="AB128" s="1337" t="n">
        <v>4000</v>
      </c>
      <c r="AC128" s="1337" t="n">
        <v>4000</v>
      </c>
      <c r="AD128" s="1337" t="n">
        <v>4000</v>
      </c>
      <c r="AE128" s="1337" t="n">
        <v>4000</v>
      </c>
      <c r="AF128" s="1337" t="n">
        <v>4000</v>
      </c>
      <c r="AG128" s="1367">
        <f>SUM(U128:AF128)</f>
        <v/>
      </c>
      <c r="AI128" s="1337" t="n">
        <v>4000</v>
      </c>
      <c r="AJ128" s="1337" t="n">
        <v>4000</v>
      </c>
      <c r="AK128" s="1337" t="n">
        <v>4000</v>
      </c>
      <c r="AL128" s="1337" t="n">
        <v>4000</v>
      </c>
      <c r="AM128" s="1337" t="n">
        <v>4000</v>
      </c>
      <c r="AN128" s="1337" t="n">
        <v>4000</v>
      </c>
      <c r="AO128" s="1337" t="n">
        <v>4000</v>
      </c>
      <c r="AP128" s="1337" t="n">
        <v>4000</v>
      </c>
      <c r="AQ128" s="1337" t="n">
        <v>4000</v>
      </c>
      <c r="AR128" s="1337" t="n">
        <v>4000</v>
      </c>
      <c r="AS128" s="1337" t="n">
        <v>4000</v>
      </c>
      <c r="AT128" s="1337" t="n">
        <v>4000</v>
      </c>
      <c r="AU128" s="1367">
        <f>SUM(AI128:AT128)</f>
        <v/>
      </c>
      <c r="AW128" s="1337" t="n">
        <v>4000</v>
      </c>
      <c r="AX128" s="1337" t="n">
        <v>4000</v>
      </c>
      <c r="AY128" s="1337" t="n">
        <v>4000</v>
      </c>
      <c r="AZ128" s="1337" t="n">
        <v>4000</v>
      </c>
      <c r="BA128" s="1337" t="n">
        <v>4000</v>
      </c>
      <c r="BB128" s="1337" t="n">
        <v>4000</v>
      </c>
      <c r="BC128" s="1337" t="n">
        <v>4000</v>
      </c>
      <c r="BD128" s="1337" t="n">
        <v>4000</v>
      </c>
      <c r="BE128" s="1337" t="n">
        <v>4000</v>
      </c>
      <c r="BF128" s="1337" t="n">
        <v>4000</v>
      </c>
      <c r="BG128" s="1337" t="n">
        <v>4000</v>
      </c>
      <c r="BH128" s="1337" t="n">
        <v>4000</v>
      </c>
      <c r="BI128" s="1367">
        <f>SUM(AW128:BH128)</f>
        <v/>
      </c>
    </row>
    <row r="129" ht="20" customHeight="1">
      <c r="A129" s="441" t="n"/>
      <c r="B129" s="1371" t="inlineStr">
        <is>
          <t xml:space="preserve">Program Development </t>
        </is>
      </c>
      <c r="C129" s="1368" t="inlineStr">
        <is>
          <t>TotalBEN</t>
        </is>
      </c>
      <c r="D129" s="1364" t="n"/>
      <c r="E129" s="1365" t="n"/>
      <c r="F129" s="1372" t="n"/>
      <c r="G129" s="1373">
        <f>SUM(G124:G127)</f>
        <v/>
      </c>
      <c r="H129" s="1373">
        <f>SUM(H124:H127)</f>
        <v/>
      </c>
      <c r="I129" s="1373">
        <f>SUM(I124:I127)</f>
        <v/>
      </c>
      <c r="J129" s="1373">
        <f>SUM(J124:J127)</f>
        <v/>
      </c>
      <c r="K129" s="1373">
        <f>SUM(K124:K127)</f>
        <v/>
      </c>
      <c r="L129" s="1373">
        <f>SUM(L124:L127)</f>
        <v/>
      </c>
      <c r="M129" s="1373">
        <f>SUM(M124:M127)</f>
        <v/>
      </c>
      <c r="N129" s="1373">
        <f>SUM(N124:N127)</f>
        <v/>
      </c>
      <c r="O129" s="1373">
        <f>SUM(O124:O127)</f>
        <v/>
      </c>
      <c r="P129" s="1373">
        <f>SUM(P124:P127)</f>
        <v/>
      </c>
      <c r="Q129" s="1373">
        <f>SUM(Q124:Q127)</f>
        <v/>
      </c>
      <c r="R129" s="1373">
        <f>SUM(R124:R127)</f>
        <v/>
      </c>
      <c r="S129" s="1374">
        <f>SUM(G129:R129)</f>
        <v/>
      </c>
      <c r="U129" s="1373">
        <f>SUM(U124:U127)</f>
        <v/>
      </c>
      <c r="V129" s="1373">
        <f>SUM(V124:V127)</f>
        <v/>
      </c>
      <c r="W129" s="1373">
        <f>SUM(W124:W127)</f>
        <v/>
      </c>
      <c r="X129" s="1373">
        <f>SUM(X124:X127)</f>
        <v/>
      </c>
      <c r="Y129" s="1373">
        <f>SUM(Y124:Y127)</f>
        <v/>
      </c>
      <c r="Z129" s="1373">
        <f>SUM(Z124:Z127)</f>
        <v/>
      </c>
      <c r="AA129" s="1373">
        <f>SUM(AA124:AA127)</f>
        <v/>
      </c>
      <c r="AB129" s="1373">
        <f>SUM(AB124:AB127)</f>
        <v/>
      </c>
      <c r="AC129" s="1373">
        <f>SUM(AC124:AC127)</f>
        <v/>
      </c>
      <c r="AD129" s="1373">
        <f>SUM(AD124:AD127)</f>
        <v/>
      </c>
      <c r="AE129" s="1373">
        <f>SUM(AE124:AE127)</f>
        <v/>
      </c>
      <c r="AF129" s="1373">
        <f>SUM(AF124:AF127)</f>
        <v/>
      </c>
      <c r="AG129" s="1374">
        <f>SUM(U129:AF129)</f>
        <v/>
      </c>
      <c r="AI129" s="1373">
        <f>SUM(AI124:AI127)</f>
        <v/>
      </c>
      <c r="AJ129" s="1373">
        <f>SUM(AJ124:AJ127)</f>
        <v/>
      </c>
      <c r="AK129" s="1373">
        <f>SUM(AK124:AK127)</f>
        <v/>
      </c>
      <c r="AL129" s="1373">
        <f>SUM(AL124:AL127)</f>
        <v/>
      </c>
      <c r="AM129" s="1373">
        <f>SUM(AM124:AM127)</f>
        <v/>
      </c>
      <c r="AN129" s="1373">
        <f>SUM(AN124:AN127)</f>
        <v/>
      </c>
      <c r="AO129" s="1373">
        <f>SUM(AO124:AO127)</f>
        <v/>
      </c>
      <c r="AP129" s="1373">
        <f>SUM(AP124:AP127)</f>
        <v/>
      </c>
      <c r="AQ129" s="1373">
        <f>SUM(AQ124:AQ127)</f>
        <v/>
      </c>
      <c r="AR129" s="1373">
        <f>SUM(AR124:AR127)</f>
        <v/>
      </c>
      <c r="AS129" s="1373">
        <f>SUM(AS124:AS127)</f>
        <v/>
      </c>
      <c r="AT129" s="1373">
        <f>SUM(AT124:AT127)</f>
        <v/>
      </c>
      <c r="AU129" s="1374">
        <f>SUM(AI129:AT129)</f>
        <v/>
      </c>
      <c r="AW129" s="1375">
        <f>SUM(AW124:AW127)</f>
        <v/>
      </c>
      <c r="AX129" s="1375">
        <f>SUM(AX124:AX127)</f>
        <v/>
      </c>
      <c r="AY129" s="1375">
        <f>SUM(AY124:AY127)</f>
        <v/>
      </c>
      <c r="AZ129" s="1375">
        <f>SUM(AZ124:AZ127)</f>
        <v/>
      </c>
      <c r="BA129" s="1375">
        <f>SUM(BA124:BA127)</f>
        <v/>
      </c>
      <c r="BB129" s="1375">
        <f>SUM(BB124:BB127)</f>
        <v/>
      </c>
      <c r="BC129" s="1375">
        <f>SUM(BC124:BC127)</f>
        <v/>
      </c>
      <c r="BD129" s="1375">
        <f>SUM(BD124:BD127)</f>
        <v/>
      </c>
      <c r="BE129" s="1375">
        <f>SUM(BE124:BE127)</f>
        <v/>
      </c>
      <c r="BF129" s="1375">
        <f>SUM(BF124:BF127)</f>
        <v/>
      </c>
      <c r="BG129" s="1375">
        <f>SUM(BG124:BG127)</f>
        <v/>
      </c>
      <c r="BH129" s="1375">
        <f>SUM(BH124:BH127)</f>
        <v/>
      </c>
      <c r="BI129" s="1376">
        <f>SUM(AW129:BH129)</f>
        <v/>
      </c>
    </row>
    <row r="130" outlineLevel="1" ht="20" customHeight="1">
      <c r="A130" s="441" t="n"/>
      <c r="B130" s="1383" t="n"/>
      <c r="C130" s="1368" t="n"/>
      <c r="D130" s="1364" t="n"/>
      <c r="E130" s="1365" t="n"/>
      <c r="F130" s="1400" t="n"/>
      <c r="G130" s="1400" t="n"/>
      <c r="H130" s="1401" t="n"/>
      <c r="I130" s="1401" t="n"/>
      <c r="J130" s="1401" t="n"/>
      <c r="K130" s="1401" t="n"/>
      <c r="L130" s="1401" t="n"/>
      <c r="M130" s="1401" t="n"/>
      <c r="N130" s="1401" t="n"/>
      <c r="O130" s="1401" t="n"/>
      <c r="P130" s="1401" t="n"/>
      <c r="Q130" s="1401" t="n"/>
      <c r="R130" s="1401" t="n"/>
      <c r="S130" s="1402" t="n"/>
      <c r="U130" s="1400" t="n"/>
      <c r="V130" s="1401" t="n"/>
      <c r="W130" s="1401" t="n"/>
      <c r="X130" s="1401" t="n"/>
      <c r="Y130" s="1401" t="n"/>
      <c r="Z130" s="1401" t="n"/>
      <c r="AA130" s="1401" t="n"/>
      <c r="AB130" s="1401" t="n"/>
      <c r="AC130" s="1401" t="n"/>
      <c r="AD130" s="1401" t="n"/>
      <c r="AE130" s="1401" t="n"/>
      <c r="AF130" s="1401" t="n"/>
      <c r="AG130" s="1402" t="n"/>
      <c r="AI130" s="1400" t="n"/>
      <c r="AJ130" s="1401" t="n"/>
      <c r="AK130" s="1401" t="n"/>
      <c r="AL130" s="1401" t="n"/>
      <c r="AM130" s="1401" t="n"/>
      <c r="AN130" s="1401" t="n"/>
      <c r="AO130" s="1401" t="n"/>
      <c r="AP130" s="1401" t="n"/>
      <c r="AQ130" s="1401" t="n"/>
      <c r="AR130" s="1401" t="n"/>
      <c r="AS130" s="1401" t="n"/>
      <c r="AT130" s="1401" t="n"/>
      <c r="AU130" s="1402" t="n"/>
      <c r="AW130" s="1400" t="n"/>
      <c r="AX130" s="1401" t="n"/>
      <c r="AY130" s="1401" t="n"/>
      <c r="AZ130" s="1401" t="n"/>
      <c r="BA130" s="1401" t="n"/>
      <c r="BB130" s="1401" t="n"/>
      <c r="BC130" s="1401" t="n"/>
      <c r="BD130" s="1401" t="n"/>
      <c r="BE130" s="1401" t="n"/>
      <c r="BF130" s="1401" t="n"/>
      <c r="BG130" s="1401" t="n"/>
      <c r="BH130" s="1401" t="n"/>
      <c r="BI130" s="1402" t="n"/>
    </row>
    <row r="131" outlineLevel="1" ht="20" customHeight="1">
      <c r="A131" s="441" t="n"/>
      <c r="B131" s="375">
        <f>'Departmental Expenses'!A5</f>
        <v/>
      </c>
      <c r="C131" s="1368" t="n"/>
      <c r="D131" s="1364" t="n"/>
      <c r="E131" s="1365" t="n"/>
      <c r="F131" s="1370" t="n"/>
      <c r="G131" s="1370" t="n"/>
      <c r="H131" s="1337" t="n"/>
      <c r="I131" s="1337" t="n"/>
      <c r="J131" s="1337" t="n"/>
      <c r="K131" s="1337" t="n"/>
      <c r="L131" s="1337" t="n"/>
      <c r="M131" s="1337" t="n"/>
      <c r="N131" s="1337" t="n"/>
      <c r="O131" s="1337" t="n"/>
      <c r="P131" s="1337" t="n"/>
      <c r="Q131" s="1337" t="n"/>
      <c r="R131" s="1337" t="n"/>
      <c r="S131" s="1382" t="n"/>
      <c r="U131" s="1370" t="n"/>
      <c r="V131" s="1337" t="n"/>
      <c r="W131" s="1337" t="n"/>
      <c r="X131" s="1337" t="n"/>
      <c r="Y131" s="1337" t="n"/>
      <c r="Z131" s="1337" t="n"/>
      <c r="AA131" s="1337" t="n"/>
      <c r="AB131" s="1337" t="n"/>
      <c r="AC131" s="1337" t="n"/>
      <c r="AD131" s="1337" t="n"/>
      <c r="AE131" s="1337" t="n"/>
      <c r="AF131" s="1337" t="n"/>
      <c r="AG131" s="1382" t="n"/>
      <c r="AI131" s="1370" t="n"/>
      <c r="AJ131" s="1337" t="n"/>
      <c r="AK131" s="1337" t="n"/>
      <c r="AL131" s="1337" t="n"/>
      <c r="AM131" s="1337" t="n"/>
      <c r="AN131" s="1337" t="n"/>
      <c r="AO131" s="1337" t="n"/>
      <c r="AP131" s="1337" t="n"/>
      <c r="AQ131" s="1337" t="n"/>
      <c r="AR131" s="1337" t="n"/>
      <c r="AS131" s="1337" t="n"/>
      <c r="AT131" s="1337" t="n"/>
      <c r="AU131" s="1382" t="n"/>
      <c r="AW131" s="1370" t="n"/>
      <c r="AX131" s="1337" t="n"/>
      <c r="AY131" s="1337" t="n"/>
      <c r="AZ131" s="1337" t="n"/>
      <c r="BA131" s="1337" t="n"/>
      <c r="BB131" s="1337" t="n"/>
      <c r="BC131" s="1337" t="n"/>
      <c r="BD131" s="1337" t="n"/>
      <c r="BE131" s="1337" t="n"/>
      <c r="BF131" s="1337" t="n"/>
      <c r="BG131" s="1337" t="n"/>
      <c r="BH131" s="1337" t="n"/>
      <c r="BI131" s="1382" t="n"/>
    </row>
    <row r="132" outlineLevel="1" ht="20" customHeight="1">
      <c r="A132" s="441" t="n"/>
      <c r="B132" s="400">
        <f>'Departmental Expenses'!A6</f>
        <v/>
      </c>
      <c r="C132" s="1368" t="n"/>
      <c r="D132" s="1364" t="n"/>
      <c r="E132" s="1365" t="n"/>
      <c r="F132" s="1370" t="n"/>
      <c r="G132" s="1337">
        <f>'Departmental Expenses'!D6</f>
        <v/>
      </c>
      <c r="H132" s="1337">
        <f>'Departmental Expenses'!E6</f>
        <v/>
      </c>
      <c r="I132" s="1337">
        <f>'Departmental Expenses'!F6</f>
        <v/>
      </c>
      <c r="J132" s="1337">
        <f>'Departmental Expenses'!G6</f>
        <v/>
      </c>
      <c r="K132" s="1337">
        <f>'Departmental Expenses'!H6</f>
        <v/>
      </c>
      <c r="L132" s="1337">
        <f>'Departmental Expenses'!I6</f>
        <v/>
      </c>
      <c r="M132" s="1337">
        <f>'Departmental Expenses'!J6</f>
        <v/>
      </c>
      <c r="N132" s="1337">
        <f>'Departmental Expenses'!K6</f>
        <v/>
      </c>
      <c r="O132" s="1337">
        <f>'Departmental Expenses'!L6</f>
        <v/>
      </c>
      <c r="P132" s="1337">
        <f>'Departmental Expenses'!M6</f>
        <v/>
      </c>
      <c r="Q132" s="1337">
        <f>'Departmental Expenses'!N6</f>
        <v/>
      </c>
      <c r="R132" s="1337">
        <f>'Departmental Expenses'!O6</f>
        <v/>
      </c>
      <c r="S132" s="1367">
        <f>SUM(G132:R132)</f>
        <v/>
      </c>
      <c r="U132" s="1337">
        <f>'Departmental Expenses'!R6</f>
        <v/>
      </c>
      <c r="V132" s="1337">
        <f>'Departmental Expenses'!S6</f>
        <v/>
      </c>
      <c r="W132" s="1337">
        <f>'Departmental Expenses'!T6</f>
        <v/>
      </c>
      <c r="X132" s="1337">
        <f>'Departmental Expenses'!U6</f>
        <v/>
      </c>
      <c r="Y132" s="1337">
        <f>'Departmental Expenses'!V6</f>
        <v/>
      </c>
      <c r="Z132" s="1337">
        <f>'Departmental Expenses'!W6</f>
        <v/>
      </c>
      <c r="AA132" s="1337">
        <f>'Departmental Expenses'!X6</f>
        <v/>
      </c>
      <c r="AB132" s="1337">
        <f>'Departmental Expenses'!Y6</f>
        <v/>
      </c>
      <c r="AC132" s="1337">
        <f>'Departmental Expenses'!Z6</f>
        <v/>
      </c>
      <c r="AD132" s="1337">
        <f>'Departmental Expenses'!AA6</f>
        <v/>
      </c>
      <c r="AE132" s="1337">
        <f>'Departmental Expenses'!AB6</f>
        <v/>
      </c>
      <c r="AF132" s="1337">
        <f>'Departmental Expenses'!AC6</f>
        <v/>
      </c>
      <c r="AG132" s="1367">
        <f>SUM(U132:AF132)</f>
        <v/>
      </c>
      <c r="AI132" s="1337">
        <f>'Departmental Expenses'!AF6</f>
        <v/>
      </c>
      <c r="AJ132" s="1337">
        <f>'Departmental Expenses'!AG6</f>
        <v/>
      </c>
      <c r="AK132" s="1337">
        <f>'Departmental Expenses'!AH6</f>
        <v/>
      </c>
      <c r="AL132" s="1337">
        <f>'Departmental Expenses'!AI6</f>
        <v/>
      </c>
      <c r="AM132" s="1337">
        <f>'Departmental Expenses'!AJ6</f>
        <v/>
      </c>
      <c r="AN132" s="1337">
        <f>'Departmental Expenses'!AK6</f>
        <v/>
      </c>
      <c r="AO132" s="1337">
        <f>'Departmental Expenses'!AL6</f>
        <v/>
      </c>
      <c r="AP132" s="1337">
        <f>'Departmental Expenses'!AM6</f>
        <v/>
      </c>
      <c r="AQ132" s="1337">
        <f>'Departmental Expenses'!AN6</f>
        <v/>
      </c>
      <c r="AR132" s="1337">
        <f>'Departmental Expenses'!AO6</f>
        <v/>
      </c>
      <c r="AS132" s="1337">
        <f>'Departmental Expenses'!AP6</f>
        <v/>
      </c>
      <c r="AT132" s="1337">
        <f>'Departmental Expenses'!AQ6</f>
        <v/>
      </c>
      <c r="AU132" s="1367">
        <f>SUM(AI132:AT132)</f>
        <v/>
      </c>
      <c r="AW132" s="1337">
        <f>'Departmental Expenses'!AT6</f>
        <v/>
      </c>
      <c r="AX132" s="1337">
        <f>'Departmental Expenses'!AU6</f>
        <v/>
      </c>
      <c r="AY132" s="1337">
        <f>'Departmental Expenses'!AV6</f>
        <v/>
      </c>
      <c r="AZ132" s="1337">
        <f>'Departmental Expenses'!AW6</f>
        <v/>
      </c>
      <c r="BA132" s="1337">
        <f>'Departmental Expenses'!AX6</f>
        <v/>
      </c>
      <c r="BB132" s="1337">
        <f>'Departmental Expenses'!AY6</f>
        <v/>
      </c>
      <c r="BC132" s="1337">
        <f>'Departmental Expenses'!AZ6</f>
        <v/>
      </c>
      <c r="BD132" s="1337">
        <f>'Departmental Expenses'!BA6</f>
        <v/>
      </c>
      <c r="BE132" s="1337">
        <f>'Departmental Expenses'!BB6</f>
        <v/>
      </c>
      <c r="BF132" s="1337">
        <f>'Departmental Expenses'!BC6</f>
        <v/>
      </c>
      <c r="BG132" s="1337">
        <f>'Departmental Expenses'!BD6</f>
        <v/>
      </c>
      <c r="BH132" s="1337">
        <f>'Departmental Expenses'!BE6</f>
        <v/>
      </c>
      <c r="BI132" s="1367">
        <f>SUM(AW132:BH132)</f>
        <v/>
      </c>
    </row>
    <row r="133" outlineLevel="1" ht="31" customHeight="1">
      <c r="A133" s="441" t="n"/>
      <c r="B133" s="779">
        <f>'Departmental Expenses'!A7</f>
        <v/>
      </c>
      <c r="C133" s="1368" t="n"/>
      <c r="D133" s="1364" t="n"/>
      <c r="E133" s="1365" t="n"/>
      <c r="F133" s="1370" t="n"/>
      <c r="G133" s="1337">
        <f>'Departmental Expenses'!D7</f>
        <v/>
      </c>
      <c r="H133" s="1337">
        <f>'Departmental Expenses'!E7</f>
        <v/>
      </c>
      <c r="I133" s="1337">
        <f>'Departmental Expenses'!F7</f>
        <v/>
      </c>
      <c r="J133" s="1337">
        <f>'Departmental Expenses'!G7</f>
        <v/>
      </c>
      <c r="K133" s="1337">
        <f>'Departmental Expenses'!H7</f>
        <v/>
      </c>
      <c r="L133" s="1337">
        <f>'Departmental Expenses'!I7</f>
        <v/>
      </c>
      <c r="M133" s="1337">
        <f>'Departmental Expenses'!J7</f>
        <v/>
      </c>
      <c r="N133" s="1337">
        <f>'Departmental Expenses'!K7</f>
        <v/>
      </c>
      <c r="O133" s="1337">
        <f>'Departmental Expenses'!L7</f>
        <v/>
      </c>
      <c r="P133" s="1337">
        <f>'Departmental Expenses'!M7</f>
        <v/>
      </c>
      <c r="Q133" s="1337">
        <f>'Departmental Expenses'!N7</f>
        <v/>
      </c>
      <c r="R133" s="1337">
        <f>'Departmental Expenses'!O7</f>
        <v/>
      </c>
      <c r="S133" s="1367">
        <f>SUM(G133:R133)</f>
        <v/>
      </c>
      <c r="U133" s="1337">
        <f>'Departmental Expenses'!R7</f>
        <v/>
      </c>
      <c r="V133" s="1337">
        <f>'Departmental Expenses'!S7</f>
        <v/>
      </c>
      <c r="W133" s="1337">
        <f>'Departmental Expenses'!T7</f>
        <v/>
      </c>
      <c r="X133" s="1337">
        <f>'Departmental Expenses'!U7</f>
        <v/>
      </c>
      <c r="Y133" s="1337">
        <f>'Departmental Expenses'!V7</f>
        <v/>
      </c>
      <c r="Z133" s="1337">
        <f>'Departmental Expenses'!W7</f>
        <v/>
      </c>
      <c r="AA133" s="1337">
        <f>'Departmental Expenses'!X7</f>
        <v/>
      </c>
      <c r="AB133" s="1337">
        <f>'Departmental Expenses'!Y7</f>
        <v/>
      </c>
      <c r="AC133" s="1337">
        <f>'Departmental Expenses'!Z7</f>
        <v/>
      </c>
      <c r="AD133" s="1337">
        <f>'Departmental Expenses'!AA7</f>
        <v/>
      </c>
      <c r="AE133" s="1337">
        <f>'Departmental Expenses'!AB7</f>
        <v/>
      </c>
      <c r="AF133" s="1337">
        <f>'Departmental Expenses'!AC7</f>
        <v/>
      </c>
      <c r="AG133" s="1367">
        <f>SUM(U133:AF133)</f>
        <v/>
      </c>
      <c r="AI133" s="1337">
        <f>'Departmental Expenses'!AF7</f>
        <v/>
      </c>
      <c r="AJ133" s="1337">
        <f>'Departmental Expenses'!AG7</f>
        <v/>
      </c>
      <c r="AK133" s="1337">
        <f>'Departmental Expenses'!AH7</f>
        <v/>
      </c>
      <c r="AL133" s="1337">
        <f>'Departmental Expenses'!AI7</f>
        <v/>
      </c>
      <c r="AM133" s="1337">
        <f>'Departmental Expenses'!AJ7</f>
        <v/>
      </c>
      <c r="AN133" s="1337">
        <f>'Departmental Expenses'!AK7</f>
        <v/>
      </c>
      <c r="AO133" s="1337">
        <f>'Departmental Expenses'!AL7</f>
        <v/>
      </c>
      <c r="AP133" s="1337">
        <f>'Departmental Expenses'!AM7</f>
        <v/>
      </c>
      <c r="AQ133" s="1337">
        <f>'Departmental Expenses'!AN7</f>
        <v/>
      </c>
      <c r="AR133" s="1337">
        <f>'Departmental Expenses'!AO7</f>
        <v/>
      </c>
      <c r="AS133" s="1337">
        <f>'Departmental Expenses'!AP7</f>
        <v/>
      </c>
      <c r="AT133" s="1337">
        <f>'Departmental Expenses'!AQ7</f>
        <v/>
      </c>
      <c r="AU133" s="1367">
        <f>SUM(AI133:AT133)</f>
        <v/>
      </c>
      <c r="AW133" s="1337">
        <f>'Departmental Expenses'!AT7</f>
        <v/>
      </c>
      <c r="AX133" s="1337">
        <f>'Departmental Expenses'!AU7</f>
        <v/>
      </c>
      <c r="AY133" s="1337">
        <f>'Departmental Expenses'!AV7</f>
        <v/>
      </c>
      <c r="AZ133" s="1337">
        <f>'Departmental Expenses'!AW7</f>
        <v/>
      </c>
      <c r="BA133" s="1337">
        <f>'Departmental Expenses'!AX7</f>
        <v/>
      </c>
      <c r="BB133" s="1337">
        <f>'Departmental Expenses'!AY7</f>
        <v/>
      </c>
      <c r="BC133" s="1337">
        <f>'Departmental Expenses'!AZ7</f>
        <v/>
      </c>
      <c r="BD133" s="1337">
        <f>'Departmental Expenses'!BA7</f>
        <v/>
      </c>
      <c r="BE133" s="1337">
        <f>'Departmental Expenses'!BB7</f>
        <v/>
      </c>
      <c r="BF133" s="1337">
        <f>'Departmental Expenses'!BC7</f>
        <v/>
      </c>
      <c r="BG133" s="1337">
        <f>'Departmental Expenses'!BD7</f>
        <v/>
      </c>
      <c r="BH133" s="1337">
        <f>'Departmental Expenses'!BE7</f>
        <v/>
      </c>
      <c r="BI133" s="1367">
        <f>SUM(AW133:BH133)</f>
        <v/>
      </c>
    </row>
    <row r="134" outlineLevel="1" ht="38" customHeight="1">
      <c r="A134" s="441" t="n"/>
      <c r="B134" s="779">
        <f>'Departmental Expenses'!A8</f>
        <v/>
      </c>
      <c r="C134" s="1368" t="n"/>
      <c r="D134" s="1364" t="n"/>
      <c r="E134" s="1365" t="n"/>
      <c r="F134" s="1370" t="n"/>
      <c r="G134" s="1337">
        <f>'Departmental Expenses'!D8</f>
        <v/>
      </c>
      <c r="H134" s="1337">
        <f>'Departmental Expenses'!E8</f>
        <v/>
      </c>
      <c r="I134" s="1337">
        <f>'Departmental Expenses'!F8</f>
        <v/>
      </c>
      <c r="J134" s="1337">
        <f>'Departmental Expenses'!G8</f>
        <v/>
      </c>
      <c r="K134" s="1337">
        <f>'Departmental Expenses'!H8</f>
        <v/>
      </c>
      <c r="L134" s="1337">
        <f>'Departmental Expenses'!I8</f>
        <v/>
      </c>
      <c r="M134" s="1337">
        <f>'Departmental Expenses'!J8</f>
        <v/>
      </c>
      <c r="N134" s="1337">
        <f>'Departmental Expenses'!K8</f>
        <v/>
      </c>
      <c r="O134" s="1337">
        <f>'Departmental Expenses'!L8</f>
        <v/>
      </c>
      <c r="P134" s="1337">
        <f>'Departmental Expenses'!M8</f>
        <v/>
      </c>
      <c r="Q134" s="1337">
        <f>'Departmental Expenses'!N8</f>
        <v/>
      </c>
      <c r="R134" s="1337">
        <f>'Departmental Expenses'!O8</f>
        <v/>
      </c>
      <c r="S134" s="1367">
        <f>SUM(G134:R134)</f>
        <v/>
      </c>
      <c r="U134" s="1337">
        <f>'Departmental Expenses'!R8</f>
        <v/>
      </c>
      <c r="V134" s="1337">
        <f>'Departmental Expenses'!S8</f>
        <v/>
      </c>
      <c r="W134" s="1337">
        <f>'Departmental Expenses'!T8</f>
        <v/>
      </c>
      <c r="X134" s="1337">
        <f>'Departmental Expenses'!U8</f>
        <v/>
      </c>
      <c r="Y134" s="1337">
        <f>'Departmental Expenses'!V8</f>
        <v/>
      </c>
      <c r="Z134" s="1337">
        <f>'Departmental Expenses'!W8</f>
        <v/>
      </c>
      <c r="AA134" s="1337">
        <f>'Departmental Expenses'!X8</f>
        <v/>
      </c>
      <c r="AB134" s="1337">
        <f>'Departmental Expenses'!Y8</f>
        <v/>
      </c>
      <c r="AC134" s="1337">
        <f>'Departmental Expenses'!Z8</f>
        <v/>
      </c>
      <c r="AD134" s="1337">
        <f>'Departmental Expenses'!AA8</f>
        <v/>
      </c>
      <c r="AE134" s="1337">
        <f>'Departmental Expenses'!AB8</f>
        <v/>
      </c>
      <c r="AF134" s="1337">
        <f>'Departmental Expenses'!AC8</f>
        <v/>
      </c>
      <c r="AG134" s="1367">
        <f>SUM(U134:AF134)</f>
        <v/>
      </c>
      <c r="AI134" s="1337">
        <f>'Departmental Expenses'!AF8</f>
        <v/>
      </c>
      <c r="AJ134" s="1337">
        <f>'Departmental Expenses'!AG8</f>
        <v/>
      </c>
      <c r="AK134" s="1337">
        <f>'Departmental Expenses'!AH8</f>
        <v/>
      </c>
      <c r="AL134" s="1337">
        <f>'Departmental Expenses'!AI8</f>
        <v/>
      </c>
      <c r="AM134" s="1337">
        <f>'Departmental Expenses'!AJ8</f>
        <v/>
      </c>
      <c r="AN134" s="1337">
        <f>'Departmental Expenses'!AK8</f>
        <v/>
      </c>
      <c r="AO134" s="1337">
        <f>'Departmental Expenses'!AL8</f>
        <v/>
      </c>
      <c r="AP134" s="1337">
        <f>'Departmental Expenses'!AM8</f>
        <v/>
      </c>
      <c r="AQ134" s="1337">
        <f>'Departmental Expenses'!AN8</f>
        <v/>
      </c>
      <c r="AR134" s="1337">
        <f>'Departmental Expenses'!AO8</f>
        <v/>
      </c>
      <c r="AS134" s="1337">
        <f>'Departmental Expenses'!AP8</f>
        <v/>
      </c>
      <c r="AT134" s="1337">
        <f>'Departmental Expenses'!AQ8</f>
        <v/>
      </c>
      <c r="AU134" s="1367">
        <f>SUM(AI134:AT134)</f>
        <v/>
      </c>
      <c r="AW134" s="1337">
        <f>'Departmental Expenses'!AT8</f>
        <v/>
      </c>
      <c r="AX134" s="1337">
        <f>'Departmental Expenses'!AU8</f>
        <v/>
      </c>
      <c r="AY134" s="1337">
        <f>'Departmental Expenses'!AV8</f>
        <v/>
      </c>
      <c r="AZ134" s="1337">
        <f>'Departmental Expenses'!AW8</f>
        <v/>
      </c>
      <c r="BA134" s="1337">
        <f>'Departmental Expenses'!AX8</f>
        <v/>
      </c>
      <c r="BB134" s="1337">
        <f>'Departmental Expenses'!AY8</f>
        <v/>
      </c>
      <c r="BC134" s="1337">
        <f>'Departmental Expenses'!AZ8</f>
        <v/>
      </c>
      <c r="BD134" s="1337">
        <f>'Departmental Expenses'!BA8</f>
        <v/>
      </c>
      <c r="BE134" s="1337">
        <f>'Departmental Expenses'!BB8</f>
        <v/>
      </c>
      <c r="BF134" s="1337">
        <f>'Departmental Expenses'!BC8</f>
        <v/>
      </c>
      <c r="BG134" s="1337">
        <f>'Departmental Expenses'!BD8</f>
        <v/>
      </c>
      <c r="BH134" s="1337">
        <f>'Departmental Expenses'!BE8</f>
        <v/>
      </c>
      <c r="BI134" s="1367">
        <f>SUM(AW134:BH134)</f>
        <v/>
      </c>
    </row>
    <row r="135" outlineLevel="1" ht="33" customHeight="1">
      <c r="A135" s="441" t="n"/>
      <c r="B135" s="779">
        <f>'Departmental Expenses'!A9</f>
        <v/>
      </c>
      <c r="C135" s="1368" t="n"/>
      <c r="D135" s="1364" t="n"/>
      <c r="E135" s="1365" t="n"/>
      <c r="F135" s="1370" t="n"/>
      <c r="G135" s="1337">
        <f>'Departmental Expenses'!D9</f>
        <v/>
      </c>
      <c r="H135" s="1337">
        <f>'Departmental Expenses'!E9</f>
        <v/>
      </c>
      <c r="I135" s="1337">
        <f>'Departmental Expenses'!F9</f>
        <v/>
      </c>
      <c r="J135" s="1337">
        <f>'Departmental Expenses'!G9</f>
        <v/>
      </c>
      <c r="K135" s="1337">
        <f>'Departmental Expenses'!H9</f>
        <v/>
      </c>
      <c r="L135" s="1337">
        <f>'Departmental Expenses'!I9</f>
        <v/>
      </c>
      <c r="M135" s="1337">
        <f>'Departmental Expenses'!J9</f>
        <v/>
      </c>
      <c r="N135" s="1337">
        <f>'Departmental Expenses'!K9</f>
        <v/>
      </c>
      <c r="O135" s="1337">
        <f>'Departmental Expenses'!L9</f>
        <v/>
      </c>
      <c r="P135" s="1337">
        <f>'Departmental Expenses'!M9</f>
        <v/>
      </c>
      <c r="Q135" s="1337">
        <f>'Departmental Expenses'!N9</f>
        <v/>
      </c>
      <c r="R135" s="1337">
        <f>'Departmental Expenses'!O9</f>
        <v/>
      </c>
      <c r="S135" s="1367">
        <f>SUM(G135:R135)</f>
        <v/>
      </c>
      <c r="U135" s="1337">
        <f>'Departmental Expenses'!R9</f>
        <v/>
      </c>
      <c r="V135" s="1337">
        <f>'Departmental Expenses'!S9</f>
        <v/>
      </c>
      <c r="W135" s="1337">
        <f>'Departmental Expenses'!T9</f>
        <v/>
      </c>
      <c r="X135" s="1337">
        <f>'Departmental Expenses'!U9</f>
        <v/>
      </c>
      <c r="Y135" s="1337">
        <f>'Departmental Expenses'!V9</f>
        <v/>
      </c>
      <c r="Z135" s="1337">
        <f>'Departmental Expenses'!W9</f>
        <v/>
      </c>
      <c r="AA135" s="1337">
        <f>'Departmental Expenses'!X9</f>
        <v/>
      </c>
      <c r="AB135" s="1337">
        <f>'Departmental Expenses'!Y9</f>
        <v/>
      </c>
      <c r="AC135" s="1337">
        <f>'Departmental Expenses'!Z9</f>
        <v/>
      </c>
      <c r="AD135" s="1337">
        <f>'Departmental Expenses'!AA9</f>
        <v/>
      </c>
      <c r="AE135" s="1337">
        <f>'Departmental Expenses'!AB9</f>
        <v/>
      </c>
      <c r="AF135" s="1337">
        <f>'Departmental Expenses'!AC9</f>
        <v/>
      </c>
      <c r="AG135" s="1367">
        <f>SUM(U135:AF135)</f>
        <v/>
      </c>
      <c r="AI135" s="1337">
        <f>'Departmental Expenses'!AF9</f>
        <v/>
      </c>
      <c r="AJ135" s="1337">
        <f>'Departmental Expenses'!AG9</f>
        <v/>
      </c>
      <c r="AK135" s="1337">
        <f>'Departmental Expenses'!AH9</f>
        <v/>
      </c>
      <c r="AL135" s="1337">
        <f>'Departmental Expenses'!AI9</f>
        <v/>
      </c>
      <c r="AM135" s="1337">
        <f>'Departmental Expenses'!AJ9</f>
        <v/>
      </c>
      <c r="AN135" s="1337">
        <f>'Departmental Expenses'!AK9</f>
        <v/>
      </c>
      <c r="AO135" s="1337">
        <f>'Departmental Expenses'!AL9</f>
        <v/>
      </c>
      <c r="AP135" s="1337">
        <f>'Departmental Expenses'!AM9</f>
        <v/>
      </c>
      <c r="AQ135" s="1337">
        <f>'Departmental Expenses'!AN9</f>
        <v/>
      </c>
      <c r="AR135" s="1337">
        <f>'Departmental Expenses'!AO9</f>
        <v/>
      </c>
      <c r="AS135" s="1337">
        <f>'Departmental Expenses'!AP9</f>
        <v/>
      </c>
      <c r="AT135" s="1337">
        <f>'Departmental Expenses'!AQ9</f>
        <v/>
      </c>
      <c r="AU135" s="1367">
        <f>SUM(AI135:AT135)</f>
        <v/>
      </c>
      <c r="AW135" s="1337">
        <f>'Departmental Expenses'!AT9</f>
        <v/>
      </c>
      <c r="AX135" s="1337">
        <f>'Departmental Expenses'!AU9</f>
        <v/>
      </c>
      <c r="AY135" s="1337">
        <f>'Departmental Expenses'!AV9</f>
        <v/>
      </c>
      <c r="AZ135" s="1337">
        <f>'Departmental Expenses'!AW9</f>
        <v/>
      </c>
      <c r="BA135" s="1337">
        <f>'Departmental Expenses'!AX9</f>
        <v/>
      </c>
      <c r="BB135" s="1337">
        <f>'Departmental Expenses'!AY9</f>
        <v/>
      </c>
      <c r="BC135" s="1337">
        <f>'Departmental Expenses'!AZ9</f>
        <v/>
      </c>
      <c r="BD135" s="1337">
        <f>'Departmental Expenses'!BA9</f>
        <v/>
      </c>
      <c r="BE135" s="1337">
        <f>'Departmental Expenses'!BB9</f>
        <v/>
      </c>
      <c r="BF135" s="1337">
        <f>'Departmental Expenses'!BC9</f>
        <v/>
      </c>
      <c r="BG135" s="1337">
        <f>'Departmental Expenses'!BD9</f>
        <v/>
      </c>
      <c r="BH135" s="1337">
        <f>'Departmental Expenses'!BE9</f>
        <v/>
      </c>
      <c r="BI135" s="1367">
        <f>SUM(AW135:BH135)</f>
        <v/>
      </c>
    </row>
    <row r="136" outlineLevel="1" ht="20" customHeight="1">
      <c r="A136" s="441" t="n"/>
      <c r="B136" s="400">
        <f>'Departmental Expenses'!A10</f>
        <v/>
      </c>
      <c r="C136" s="1368" t="n"/>
      <c r="D136" s="1364" t="n"/>
      <c r="E136" s="1365" t="n"/>
      <c r="F136" s="1370" t="n"/>
      <c r="G136" s="1337">
        <f>'Departmental Expenses'!D10</f>
        <v/>
      </c>
      <c r="H136" s="1337">
        <f>'Departmental Expenses'!E10</f>
        <v/>
      </c>
      <c r="I136" s="1337">
        <f>'Departmental Expenses'!F10</f>
        <v/>
      </c>
      <c r="J136" s="1337">
        <f>'Departmental Expenses'!G10</f>
        <v/>
      </c>
      <c r="K136" s="1337">
        <f>'Departmental Expenses'!H10</f>
        <v/>
      </c>
      <c r="L136" s="1337">
        <f>'Departmental Expenses'!I10</f>
        <v/>
      </c>
      <c r="M136" s="1337">
        <f>'Departmental Expenses'!J10</f>
        <v/>
      </c>
      <c r="N136" s="1337">
        <f>'Departmental Expenses'!K10</f>
        <v/>
      </c>
      <c r="O136" s="1337">
        <f>'Departmental Expenses'!L10</f>
        <v/>
      </c>
      <c r="P136" s="1337">
        <f>'Departmental Expenses'!M10</f>
        <v/>
      </c>
      <c r="Q136" s="1337">
        <f>'Departmental Expenses'!N10</f>
        <v/>
      </c>
      <c r="R136" s="1337">
        <f>'Departmental Expenses'!O10</f>
        <v/>
      </c>
      <c r="S136" s="1367">
        <f>SUM(G136:R136)</f>
        <v/>
      </c>
      <c r="U136" s="1337">
        <f>'Departmental Expenses'!R10</f>
        <v/>
      </c>
      <c r="V136" s="1337">
        <f>'Departmental Expenses'!S10</f>
        <v/>
      </c>
      <c r="W136" s="1337">
        <f>'Departmental Expenses'!T10</f>
        <v/>
      </c>
      <c r="X136" s="1337">
        <f>'Departmental Expenses'!U10</f>
        <v/>
      </c>
      <c r="Y136" s="1337">
        <f>'Departmental Expenses'!V10</f>
        <v/>
      </c>
      <c r="Z136" s="1337">
        <f>'Departmental Expenses'!W10</f>
        <v/>
      </c>
      <c r="AA136" s="1337">
        <f>'Departmental Expenses'!X10</f>
        <v/>
      </c>
      <c r="AB136" s="1337">
        <f>'Departmental Expenses'!Y10</f>
        <v/>
      </c>
      <c r="AC136" s="1337">
        <f>'Departmental Expenses'!Z10</f>
        <v/>
      </c>
      <c r="AD136" s="1337">
        <f>'Departmental Expenses'!AA10</f>
        <v/>
      </c>
      <c r="AE136" s="1337">
        <f>'Departmental Expenses'!AB10</f>
        <v/>
      </c>
      <c r="AF136" s="1337">
        <f>'Departmental Expenses'!AC10</f>
        <v/>
      </c>
      <c r="AG136" s="1367">
        <f>SUM(U136:AF136)</f>
        <v/>
      </c>
      <c r="AI136" s="1337">
        <f>'Departmental Expenses'!AF10</f>
        <v/>
      </c>
      <c r="AJ136" s="1337">
        <f>'Departmental Expenses'!AG10</f>
        <v/>
      </c>
      <c r="AK136" s="1337">
        <f>'Departmental Expenses'!AH10</f>
        <v/>
      </c>
      <c r="AL136" s="1337">
        <f>'Departmental Expenses'!AI10</f>
        <v/>
      </c>
      <c r="AM136" s="1337">
        <f>'Departmental Expenses'!AJ10</f>
        <v/>
      </c>
      <c r="AN136" s="1337">
        <f>'Departmental Expenses'!AK10</f>
        <v/>
      </c>
      <c r="AO136" s="1337">
        <f>'Departmental Expenses'!AL10</f>
        <v/>
      </c>
      <c r="AP136" s="1337">
        <f>'Departmental Expenses'!AM10</f>
        <v/>
      </c>
      <c r="AQ136" s="1337">
        <f>'Departmental Expenses'!AN10</f>
        <v/>
      </c>
      <c r="AR136" s="1337">
        <f>'Departmental Expenses'!AO10</f>
        <v/>
      </c>
      <c r="AS136" s="1337">
        <f>'Departmental Expenses'!AP10</f>
        <v/>
      </c>
      <c r="AT136" s="1337">
        <f>'Departmental Expenses'!AQ10</f>
        <v/>
      </c>
      <c r="AU136" s="1367">
        <f>SUM(AI136:AT136)</f>
        <v/>
      </c>
      <c r="AW136" s="1337">
        <f>'Departmental Expenses'!AT10</f>
        <v/>
      </c>
      <c r="AX136" s="1337">
        <f>'Departmental Expenses'!AU10</f>
        <v/>
      </c>
      <c r="AY136" s="1337">
        <f>'Departmental Expenses'!AV10</f>
        <v/>
      </c>
      <c r="AZ136" s="1337">
        <f>'Departmental Expenses'!AW10</f>
        <v/>
      </c>
      <c r="BA136" s="1337">
        <f>'Departmental Expenses'!AX10</f>
        <v/>
      </c>
      <c r="BB136" s="1337">
        <f>'Departmental Expenses'!AY10</f>
        <v/>
      </c>
      <c r="BC136" s="1337">
        <f>'Departmental Expenses'!AZ10</f>
        <v/>
      </c>
      <c r="BD136" s="1337">
        <f>'Departmental Expenses'!BA10</f>
        <v/>
      </c>
      <c r="BE136" s="1337">
        <f>'Departmental Expenses'!BB10</f>
        <v/>
      </c>
      <c r="BF136" s="1337">
        <f>'Departmental Expenses'!BC10</f>
        <v/>
      </c>
      <c r="BG136" s="1337">
        <f>'Departmental Expenses'!BD10</f>
        <v/>
      </c>
      <c r="BH136" s="1337">
        <f>'Departmental Expenses'!BE10</f>
        <v/>
      </c>
      <c r="BI136" s="1367">
        <f>SUM(AW136:BH136)</f>
        <v/>
      </c>
    </row>
    <row r="137" outlineLevel="1" ht="27" customHeight="1">
      <c r="A137" s="441" t="n"/>
      <c r="B137" s="780">
        <f>'Departmental Expenses'!A11</f>
        <v/>
      </c>
      <c r="C137" s="1368" t="n"/>
      <c r="D137" s="1364" t="n"/>
      <c r="E137" s="1365" t="n"/>
      <c r="F137" s="1370" t="n"/>
      <c r="G137" s="1337">
        <f>'Departmental Expenses'!D11</f>
        <v/>
      </c>
      <c r="H137" s="1337">
        <f>'Departmental Expenses'!E11</f>
        <v/>
      </c>
      <c r="I137" s="1337">
        <f>'Departmental Expenses'!F11</f>
        <v/>
      </c>
      <c r="J137" s="1337">
        <f>'Departmental Expenses'!G11</f>
        <v/>
      </c>
      <c r="K137" s="1337">
        <f>'Departmental Expenses'!H11</f>
        <v/>
      </c>
      <c r="L137" s="1337">
        <f>'Departmental Expenses'!I11</f>
        <v/>
      </c>
      <c r="M137" s="1337">
        <f>'Departmental Expenses'!J11</f>
        <v/>
      </c>
      <c r="N137" s="1337">
        <f>'Departmental Expenses'!K11</f>
        <v/>
      </c>
      <c r="O137" s="1337">
        <f>'Departmental Expenses'!L11</f>
        <v/>
      </c>
      <c r="P137" s="1337">
        <f>'Departmental Expenses'!M11</f>
        <v/>
      </c>
      <c r="Q137" s="1337">
        <f>'Departmental Expenses'!N11</f>
        <v/>
      </c>
      <c r="R137" s="1337">
        <f>'Departmental Expenses'!O11</f>
        <v/>
      </c>
      <c r="S137" s="1367">
        <f>SUM(G137:R137)</f>
        <v/>
      </c>
      <c r="U137" s="1337">
        <f>'Departmental Expenses'!R11</f>
        <v/>
      </c>
      <c r="V137" s="1337">
        <f>'Departmental Expenses'!S11</f>
        <v/>
      </c>
      <c r="W137" s="1337">
        <f>'Departmental Expenses'!T11</f>
        <v/>
      </c>
      <c r="X137" s="1337">
        <f>'Departmental Expenses'!U11</f>
        <v/>
      </c>
      <c r="Y137" s="1337">
        <f>'Departmental Expenses'!V11</f>
        <v/>
      </c>
      <c r="Z137" s="1337">
        <f>'Departmental Expenses'!W11</f>
        <v/>
      </c>
      <c r="AA137" s="1337">
        <f>'Departmental Expenses'!X11</f>
        <v/>
      </c>
      <c r="AB137" s="1337">
        <f>'Departmental Expenses'!Y11</f>
        <v/>
      </c>
      <c r="AC137" s="1337">
        <f>'Departmental Expenses'!Z11</f>
        <v/>
      </c>
      <c r="AD137" s="1337">
        <f>'Departmental Expenses'!AA11</f>
        <v/>
      </c>
      <c r="AE137" s="1337">
        <f>'Departmental Expenses'!AB11</f>
        <v/>
      </c>
      <c r="AF137" s="1337">
        <f>'Departmental Expenses'!AC11</f>
        <v/>
      </c>
      <c r="AG137" s="1367">
        <f>SUM(U137:AF137)</f>
        <v/>
      </c>
      <c r="AI137" s="1337">
        <f>'Departmental Expenses'!AF11</f>
        <v/>
      </c>
      <c r="AJ137" s="1337">
        <f>'Departmental Expenses'!AG11</f>
        <v/>
      </c>
      <c r="AK137" s="1337">
        <f>'Departmental Expenses'!AH11</f>
        <v/>
      </c>
      <c r="AL137" s="1337">
        <f>'Departmental Expenses'!AI11</f>
        <v/>
      </c>
      <c r="AM137" s="1337">
        <f>'Departmental Expenses'!AJ11</f>
        <v/>
      </c>
      <c r="AN137" s="1337">
        <f>'Departmental Expenses'!AK11</f>
        <v/>
      </c>
      <c r="AO137" s="1337">
        <f>'Departmental Expenses'!AL11</f>
        <v/>
      </c>
      <c r="AP137" s="1337">
        <f>'Departmental Expenses'!AM11</f>
        <v/>
      </c>
      <c r="AQ137" s="1337">
        <f>'Departmental Expenses'!AN11</f>
        <v/>
      </c>
      <c r="AR137" s="1337">
        <f>'Departmental Expenses'!AO11</f>
        <v/>
      </c>
      <c r="AS137" s="1337">
        <f>'Departmental Expenses'!AP11</f>
        <v/>
      </c>
      <c r="AT137" s="1337">
        <f>'Departmental Expenses'!AQ11</f>
        <v/>
      </c>
      <c r="AU137" s="1367">
        <f>SUM(AI137:AT137)</f>
        <v/>
      </c>
      <c r="AW137" s="1337">
        <f>'Departmental Expenses'!AT11</f>
        <v/>
      </c>
      <c r="AX137" s="1337">
        <f>'Departmental Expenses'!AU11</f>
        <v/>
      </c>
      <c r="AY137" s="1337">
        <f>'Departmental Expenses'!AV11</f>
        <v/>
      </c>
      <c r="AZ137" s="1337">
        <f>'Departmental Expenses'!AW11</f>
        <v/>
      </c>
      <c r="BA137" s="1337">
        <f>'Departmental Expenses'!AX11</f>
        <v/>
      </c>
      <c r="BB137" s="1337">
        <f>'Departmental Expenses'!AY11</f>
        <v/>
      </c>
      <c r="BC137" s="1337">
        <f>'Departmental Expenses'!AZ11</f>
        <v/>
      </c>
      <c r="BD137" s="1337">
        <f>'Departmental Expenses'!BA11</f>
        <v/>
      </c>
      <c r="BE137" s="1337">
        <f>'Departmental Expenses'!BB11</f>
        <v/>
      </c>
      <c r="BF137" s="1337">
        <f>'Departmental Expenses'!BC11</f>
        <v/>
      </c>
      <c r="BG137" s="1337">
        <f>'Departmental Expenses'!BD11</f>
        <v/>
      </c>
      <c r="BH137" s="1337">
        <f>'Departmental Expenses'!BE11</f>
        <v/>
      </c>
      <c r="BI137" s="1367">
        <f>SUM(AW137:BH137)</f>
        <v/>
      </c>
    </row>
    <row r="138" outlineLevel="1" ht="38" customHeight="1">
      <c r="A138" s="441" t="n"/>
      <c r="B138" s="780">
        <f>'Departmental Expenses'!A12</f>
        <v/>
      </c>
      <c r="C138" s="1368" t="n"/>
      <c r="D138" s="1364" t="n"/>
      <c r="E138" s="1365" t="n"/>
      <c r="F138" s="1370" t="n"/>
      <c r="G138" s="1337">
        <f>'Departmental Expenses'!D12</f>
        <v/>
      </c>
      <c r="H138" s="1337">
        <f>'Departmental Expenses'!E12</f>
        <v/>
      </c>
      <c r="I138" s="1337">
        <f>'Departmental Expenses'!F12</f>
        <v/>
      </c>
      <c r="J138" s="1337">
        <f>'Departmental Expenses'!G12</f>
        <v/>
      </c>
      <c r="K138" s="1337">
        <f>'Departmental Expenses'!H12</f>
        <v/>
      </c>
      <c r="L138" s="1337">
        <f>'Departmental Expenses'!I12</f>
        <v/>
      </c>
      <c r="M138" s="1337">
        <f>'Departmental Expenses'!J12</f>
        <v/>
      </c>
      <c r="N138" s="1337">
        <f>'Departmental Expenses'!K12</f>
        <v/>
      </c>
      <c r="O138" s="1337">
        <f>'Departmental Expenses'!L12</f>
        <v/>
      </c>
      <c r="P138" s="1337">
        <f>'Departmental Expenses'!M12</f>
        <v/>
      </c>
      <c r="Q138" s="1337">
        <f>'Departmental Expenses'!N12</f>
        <v/>
      </c>
      <c r="R138" s="1337">
        <f>'Departmental Expenses'!O12</f>
        <v/>
      </c>
      <c r="S138" s="1367">
        <f>SUM(G138:R138)</f>
        <v/>
      </c>
      <c r="U138" s="1337">
        <f>'Departmental Expenses'!R12</f>
        <v/>
      </c>
      <c r="V138" s="1337">
        <f>'Departmental Expenses'!S12</f>
        <v/>
      </c>
      <c r="W138" s="1337">
        <f>'Departmental Expenses'!T12</f>
        <v/>
      </c>
      <c r="X138" s="1337">
        <f>'Departmental Expenses'!U12</f>
        <v/>
      </c>
      <c r="Y138" s="1337">
        <f>'Departmental Expenses'!V12</f>
        <v/>
      </c>
      <c r="Z138" s="1337">
        <f>'Departmental Expenses'!W12</f>
        <v/>
      </c>
      <c r="AA138" s="1337">
        <f>'Departmental Expenses'!X12</f>
        <v/>
      </c>
      <c r="AB138" s="1337">
        <f>'Departmental Expenses'!Y12</f>
        <v/>
      </c>
      <c r="AC138" s="1337">
        <f>'Departmental Expenses'!Z12</f>
        <v/>
      </c>
      <c r="AD138" s="1337">
        <f>'Departmental Expenses'!AA12</f>
        <v/>
      </c>
      <c r="AE138" s="1337">
        <f>'Departmental Expenses'!AB12</f>
        <v/>
      </c>
      <c r="AF138" s="1337">
        <f>'Departmental Expenses'!AC12</f>
        <v/>
      </c>
      <c r="AG138" s="1367">
        <f>SUM(U138:AF138)</f>
        <v/>
      </c>
      <c r="AI138" s="1337">
        <f>'Departmental Expenses'!AF12</f>
        <v/>
      </c>
      <c r="AJ138" s="1337">
        <f>'Departmental Expenses'!AG12</f>
        <v/>
      </c>
      <c r="AK138" s="1337">
        <f>'Departmental Expenses'!AH12</f>
        <v/>
      </c>
      <c r="AL138" s="1337">
        <f>'Departmental Expenses'!AI12</f>
        <v/>
      </c>
      <c r="AM138" s="1337">
        <f>'Departmental Expenses'!AJ12</f>
        <v/>
      </c>
      <c r="AN138" s="1337">
        <f>'Departmental Expenses'!AK12</f>
        <v/>
      </c>
      <c r="AO138" s="1337">
        <f>'Departmental Expenses'!AL12</f>
        <v/>
      </c>
      <c r="AP138" s="1337">
        <f>'Departmental Expenses'!AM12</f>
        <v/>
      </c>
      <c r="AQ138" s="1337">
        <f>'Departmental Expenses'!AN12</f>
        <v/>
      </c>
      <c r="AR138" s="1337">
        <f>'Departmental Expenses'!AO12</f>
        <v/>
      </c>
      <c r="AS138" s="1337">
        <f>'Departmental Expenses'!AP12</f>
        <v/>
      </c>
      <c r="AT138" s="1337">
        <f>'Departmental Expenses'!AQ12</f>
        <v/>
      </c>
      <c r="AU138" s="1367">
        <f>SUM(AI138:AT138)</f>
        <v/>
      </c>
      <c r="AW138" s="1337">
        <f>'Departmental Expenses'!AT12</f>
        <v/>
      </c>
      <c r="AX138" s="1337">
        <f>'Departmental Expenses'!AU12</f>
        <v/>
      </c>
      <c r="AY138" s="1337">
        <f>'Departmental Expenses'!AV12</f>
        <v/>
      </c>
      <c r="AZ138" s="1337">
        <f>'Departmental Expenses'!AW12</f>
        <v/>
      </c>
      <c r="BA138" s="1337">
        <f>'Departmental Expenses'!AX12</f>
        <v/>
      </c>
      <c r="BB138" s="1337">
        <f>'Departmental Expenses'!AY12</f>
        <v/>
      </c>
      <c r="BC138" s="1337">
        <f>'Departmental Expenses'!AZ12</f>
        <v/>
      </c>
      <c r="BD138" s="1337">
        <f>'Departmental Expenses'!BA12</f>
        <v/>
      </c>
      <c r="BE138" s="1337">
        <f>'Departmental Expenses'!BB12</f>
        <v/>
      </c>
      <c r="BF138" s="1337">
        <f>'Departmental Expenses'!BC12</f>
        <v/>
      </c>
      <c r="BG138" s="1337">
        <f>'Departmental Expenses'!BD12</f>
        <v/>
      </c>
      <c r="BH138" s="1337">
        <f>'Departmental Expenses'!BE12</f>
        <v/>
      </c>
      <c r="BI138" s="1367">
        <f>SUM(AW138:BH138)</f>
        <v/>
      </c>
    </row>
    <row r="139" outlineLevel="1" ht="16" customHeight="1">
      <c r="A139" s="441" t="n"/>
      <c r="B139" s="780">
        <f>'Departmental Expenses'!A13</f>
        <v/>
      </c>
      <c r="C139" s="1368" t="n"/>
      <c r="D139" s="1364" t="n"/>
      <c r="E139" s="1365" t="n"/>
      <c r="F139" s="1370" t="n"/>
      <c r="G139" s="1337">
        <f>'Departmental Expenses'!D13</f>
        <v/>
      </c>
      <c r="H139" s="1337">
        <f>'Departmental Expenses'!E13</f>
        <v/>
      </c>
      <c r="I139" s="1337">
        <f>'Departmental Expenses'!F13</f>
        <v/>
      </c>
      <c r="J139" s="1337">
        <f>'Departmental Expenses'!G13</f>
        <v/>
      </c>
      <c r="K139" s="1337">
        <f>'Departmental Expenses'!H13</f>
        <v/>
      </c>
      <c r="L139" s="1337">
        <f>'Departmental Expenses'!I13</f>
        <v/>
      </c>
      <c r="M139" s="1337">
        <f>'Departmental Expenses'!J13</f>
        <v/>
      </c>
      <c r="N139" s="1337">
        <f>'Departmental Expenses'!K13</f>
        <v/>
      </c>
      <c r="O139" s="1337">
        <f>'Departmental Expenses'!L13</f>
        <v/>
      </c>
      <c r="P139" s="1337">
        <f>'Departmental Expenses'!M13</f>
        <v/>
      </c>
      <c r="Q139" s="1337">
        <f>'Departmental Expenses'!N13</f>
        <v/>
      </c>
      <c r="R139" s="1337">
        <f>'Departmental Expenses'!O13</f>
        <v/>
      </c>
      <c r="S139" s="1367">
        <f>SUM(G139:R139)</f>
        <v/>
      </c>
      <c r="U139" s="1337">
        <f>'Departmental Expenses'!R13</f>
        <v/>
      </c>
      <c r="V139" s="1337">
        <f>'Departmental Expenses'!S13</f>
        <v/>
      </c>
      <c r="W139" s="1337">
        <f>'Departmental Expenses'!T13</f>
        <v/>
      </c>
      <c r="X139" s="1337">
        <f>'Departmental Expenses'!U13</f>
        <v/>
      </c>
      <c r="Y139" s="1337">
        <f>'Departmental Expenses'!V13</f>
        <v/>
      </c>
      <c r="Z139" s="1337">
        <f>'Departmental Expenses'!W13</f>
        <v/>
      </c>
      <c r="AA139" s="1337">
        <f>'Departmental Expenses'!X13</f>
        <v/>
      </c>
      <c r="AB139" s="1337">
        <f>'Departmental Expenses'!Y13</f>
        <v/>
      </c>
      <c r="AC139" s="1337">
        <f>'Departmental Expenses'!Z13</f>
        <v/>
      </c>
      <c r="AD139" s="1337">
        <f>'Departmental Expenses'!AA13</f>
        <v/>
      </c>
      <c r="AE139" s="1337">
        <f>'Departmental Expenses'!AB13</f>
        <v/>
      </c>
      <c r="AF139" s="1337">
        <f>'Departmental Expenses'!AC13</f>
        <v/>
      </c>
      <c r="AG139" s="1367">
        <f>SUM(U139:AF139)</f>
        <v/>
      </c>
      <c r="AI139" s="1337">
        <f>'Departmental Expenses'!AF13</f>
        <v/>
      </c>
      <c r="AJ139" s="1337">
        <f>'Departmental Expenses'!AG13</f>
        <v/>
      </c>
      <c r="AK139" s="1337">
        <f>'Departmental Expenses'!AH13</f>
        <v/>
      </c>
      <c r="AL139" s="1337">
        <f>'Departmental Expenses'!AI13</f>
        <v/>
      </c>
      <c r="AM139" s="1337">
        <f>'Departmental Expenses'!AJ13</f>
        <v/>
      </c>
      <c r="AN139" s="1337">
        <f>'Departmental Expenses'!AK13</f>
        <v/>
      </c>
      <c r="AO139" s="1337">
        <f>'Departmental Expenses'!AL13</f>
        <v/>
      </c>
      <c r="AP139" s="1337">
        <f>'Departmental Expenses'!AM13</f>
        <v/>
      </c>
      <c r="AQ139" s="1337">
        <f>'Departmental Expenses'!AN13</f>
        <v/>
      </c>
      <c r="AR139" s="1337">
        <f>'Departmental Expenses'!AO13</f>
        <v/>
      </c>
      <c r="AS139" s="1337">
        <f>'Departmental Expenses'!AP13</f>
        <v/>
      </c>
      <c r="AT139" s="1337">
        <f>'Departmental Expenses'!AQ13</f>
        <v/>
      </c>
      <c r="AU139" s="1367">
        <f>SUM(AI139:AT139)</f>
        <v/>
      </c>
      <c r="AW139" s="1337">
        <f>'Departmental Expenses'!AT13</f>
        <v/>
      </c>
      <c r="AX139" s="1337">
        <f>'Departmental Expenses'!AU13</f>
        <v/>
      </c>
      <c r="AY139" s="1337">
        <f>'Departmental Expenses'!AV13</f>
        <v/>
      </c>
      <c r="AZ139" s="1337">
        <f>'Departmental Expenses'!AW13</f>
        <v/>
      </c>
      <c r="BA139" s="1337">
        <f>'Departmental Expenses'!AX13</f>
        <v/>
      </c>
      <c r="BB139" s="1337">
        <f>'Departmental Expenses'!AY13</f>
        <v/>
      </c>
      <c r="BC139" s="1337">
        <f>'Departmental Expenses'!AZ13</f>
        <v/>
      </c>
      <c r="BD139" s="1337">
        <f>'Departmental Expenses'!BA13</f>
        <v/>
      </c>
      <c r="BE139" s="1337">
        <f>'Departmental Expenses'!BB13</f>
        <v/>
      </c>
      <c r="BF139" s="1337">
        <f>'Departmental Expenses'!BC13</f>
        <v/>
      </c>
      <c r="BG139" s="1337">
        <f>'Departmental Expenses'!BD13</f>
        <v/>
      </c>
      <c r="BH139" s="1337">
        <f>'Departmental Expenses'!BE13</f>
        <v/>
      </c>
      <c r="BI139" s="1367">
        <f>SUM(AW139:BH139)</f>
        <v/>
      </c>
    </row>
    <row r="140" outlineLevel="1" ht="36" customHeight="1">
      <c r="A140" s="441" t="n"/>
      <c r="B140" s="877">
        <f>'Departmental Expenses'!A14</f>
        <v/>
      </c>
      <c r="C140" s="1368" t="n"/>
      <c r="D140" s="1364" t="n"/>
      <c r="E140" s="1365" t="n"/>
      <c r="F140" s="1370" t="n"/>
      <c r="G140" s="1337">
        <f>'Departmental Expenses'!D14</f>
        <v/>
      </c>
      <c r="H140" s="1337">
        <f>'Departmental Expenses'!E14</f>
        <v/>
      </c>
      <c r="I140" s="1337">
        <f>'Departmental Expenses'!F14</f>
        <v/>
      </c>
      <c r="J140" s="1337">
        <f>'Departmental Expenses'!G14</f>
        <v/>
      </c>
      <c r="K140" s="1337">
        <f>'Departmental Expenses'!H14</f>
        <v/>
      </c>
      <c r="L140" s="1337">
        <f>'Departmental Expenses'!I14</f>
        <v/>
      </c>
      <c r="M140" s="1337">
        <f>'Departmental Expenses'!J14</f>
        <v/>
      </c>
      <c r="N140" s="1337">
        <f>'Departmental Expenses'!K14</f>
        <v/>
      </c>
      <c r="O140" s="1337">
        <f>'Departmental Expenses'!L14</f>
        <v/>
      </c>
      <c r="P140" s="1337">
        <f>'Departmental Expenses'!M14</f>
        <v/>
      </c>
      <c r="Q140" s="1337">
        <f>'Departmental Expenses'!N14</f>
        <v/>
      </c>
      <c r="R140" s="1337">
        <f>'Departmental Expenses'!O14</f>
        <v/>
      </c>
      <c r="S140" s="1367">
        <f>SUM(G140:R140)</f>
        <v/>
      </c>
      <c r="U140" s="1337">
        <f>'Departmental Expenses'!R14</f>
        <v/>
      </c>
      <c r="V140" s="1337">
        <f>'Departmental Expenses'!S14</f>
        <v/>
      </c>
      <c r="W140" s="1337">
        <f>'Departmental Expenses'!T14</f>
        <v/>
      </c>
      <c r="X140" s="1337">
        <f>'Departmental Expenses'!U14</f>
        <v/>
      </c>
      <c r="Y140" s="1337">
        <f>'Departmental Expenses'!V14</f>
        <v/>
      </c>
      <c r="Z140" s="1337">
        <f>'Departmental Expenses'!W14</f>
        <v/>
      </c>
      <c r="AA140" s="1337">
        <f>'Departmental Expenses'!X14</f>
        <v/>
      </c>
      <c r="AB140" s="1337">
        <f>'Departmental Expenses'!Y14</f>
        <v/>
      </c>
      <c r="AC140" s="1337">
        <f>'Departmental Expenses'!Z14</f>
        <v/>
      </c>
      <c r="AD140" s="1337">
        <f>'Departmental Expenses'!AA14</f>
        <v/>
      </c>
      <c r="AE140" s="1337">
        <f>'Departmental Expenses'!AB14</f>
        <v/>
      </c>
      <c r="AF140" s="1337">
        <f>'Departmental Expenses'!AC14</f>
        <v/>
      </c>
      <c r="AG140" s="1367">
        <f>SUM(U140:AF140)</f>
        <v/>
      </c>
      <c r="AI140" s="1337">
        <f>'Departmental Expenses'!AF14</f>
        <v/>
      </c>
      <c r="AJ140" s="1337">
        <f>'Departmental Expenses'!AG14</f>
        <v/>
      </c>
      <c r="AK140" s="1337">
        <f>'Departmental Expenses'!AH14</f>
        <v/>
      </c>
      <c r="AL140" s="1337">
        <f>'Departmental Expenses'!AI14</f>
        <v/>
      </c>
      <c r="AM140" s="1337">
        <f>'Departmental Expenses'!AJ14</f>
        <v/>
      </c>
      <c r="AN140" s="1337">
        <f>'Departmental Expenses'!AK14</f>
        <v/>
      </c>
      <c r="AO140" s="1337">
        <f>'Departmental Expenses'!AL14</f>
        <v/>
      </c>
      <c r="AP140" s="1337">
        <f>'Departmental Expenses'!AM14</f>
        <v/>
      </c>
      <c r="AQ140" s="1337">
        <f>'Departmental Expenses'!AN14</f>
        <v/>
      </c>
      <c r="AR140" s="1337">
        <f>'Departmental Expenses'!AO14</f>
        <v/>
      </c>
      <c r="AS140" s="1337">
        <f>'Departmental Expenses'!AP14</f>
        <v/>
      </c>
      <c r="AT140" s="1337">
        <f>'Departmental Expenses'!AQ14</f>
        <v/>
      </c>
      <c r="AU140" s="1367">
        <f>SUM(AI140:AT140)</f>
        <v/>
      </c>
      <c r="AW140" s="1337">
        <f>'Departmental Expenses'!AT14</f>
        <v/>
      </c>
      <c r="AX140" s="1337">
        <f>'Departmental Expenses'!AU14</f>
        <v/>
      </c>
      <c r="AY140" s="1337">
        <f>'Departmental Expenses'!AV14</f>
        <v/>
      </c>
      <c r="AZ140" s="1337">
        <f>'Departmental Expenses'!AW14</f>
        <v/>
      </c>
      <c r="BA140" s="1337">
        <f>'Departmental Expenses'!AX14</f>
        <v/>
      </c>
      <c r="BB140" s="1337">
        <f>'Departmental Expenses'!AY14</f>
        <v/>
      </c>
      <c r="BC140" s="1337">
        <f>'Departmental Expenses'!AZ14</f>
        <v/>
      </c>
      <c r="BD140" s="1337">
        <f>'Departmental Expenses'!BA14</f>
        <v/>
      </c>
      <c r="BE140" s="1337">
        <f>'Departmental Expenses'!BB14</f>
        <v/>
      </c>
      <c r="BF140" s="1337">
        <f>'Departmental Expenses'!BC14</f>
        <v/>
      </c>
      <c r="BG140" s="1337">
        <f>'Departmental Expenses'!BD14</f>
        <v/>
      </c>
      <c r="BH140" s="1337">
        <f>'Departmental Expenses'!BE14</f>
        <v/>
      </c>
      <c r="BI140" s="1367">
        <f>SUM(AW140:BH140)</f>
        <v/>
      </c>
    </row>
    <row r="141" outlineLevel="1" ht="20" customHeight="1">
      <c r="A141" s="441" t="n"/>
      <c r="B141" s="400">
        <f>'Departmental Expenses'!A15</f>
        <v/>
      </c>
      <c r="C141" s="1368" t="n"/>
      <c r="D141" s="1364" t="n"/>
      <c r="E141" s="1365" t="n"/>
      <c r="F141" s="1370" t="n"/>
      <c r="G141" s="1337">
        <f>'Departmental Expenses'!D15</f>
        <v/>
      </c>
      <c r="H141" s="1337">
        <f>'Departmental Expenses'!E15</f>
        <v/>
      </c>
      <c r="I141" s="1337">
        <f>'Departmental Expenses'!F15</f>
        <v/>
      </c>
      <c r="J141" s="1337">
        <f>'Departmental Expenses'!G15</f>
        <v/>
      </c>
      <c r="K141" s="1337">
        <f>'Departmental Expenses'!H15</f>
        <v/>
      </c>
      <c r="L141" s="1337">
        <f>'Departmental Expenses'!I15</f>
        <v/>
      </c>
      <c r="M141" s="1337">
        <f>'Departmental Expenses'!J15</f>
        <v/>
      </c>
      <c r="N141" s="1337">
        <f>'Departmental Expenses'!K15</f>
        <v/>
      </c>
      <c r="O141" s="1337">
        <f>'Departmental Expenses'!L15</f>
        <v/>
      </c>
      <c r="P141" s="1337">
        <f>'Departmental Expenses'!M15</f>
        <v/>
      </c>
      <c r="Q141" s="1337">
        <f>'Departmental Expenses'!N15</f>
        <v/>
      </c>
      <c r="R141" s="1337">
        <f>'Departmental Expenses'!O15</f>
        <v/>
      </c>
      <c r="S141" s="1367">
        <f>SUM(G141:R141)</f>
        <v/>
      </c>
      <c r="U141" s="1337">
        <f>'Departmental Expenses'!R15</f>
        <v/>
      </c>
      <c r="V141" s="1337">
        <f>'Departmental Expenses'!S15</f>
        <v/>
      </c>
      <c r="W141" s="1337">
        <f>'Departmental Expenses'!T15</f>
        <v/>
      </c>
      <c r="X141" s="1337">
        <f>'Departmental Expenses'!U15</f>
        <v/>
      </c>
      <c r="Y141" s="1337">
        <f>'Departmental Expenses'!V15</f>
        <v/>
      </c>
      <c r="Z141" s="1337">
        <f>'Departmental Expenses'!W15</f>
        <v/>
      </c>
      <c r="AA141" s="1337">
        <f>'Departmental Expenses'!X15</f>
        <v/>
      </c>
      <c r="AB141" s="1337">
        <f>'Departmental Expenses'!Y15</f>
        <v/>
      </c>
      <c r="AC141" s="1337">
        <f>'Departmental Expenses'!Z15</f>
        <v/>
      </c>
      <c r="AD141" s="1337">
        <f>'Departmental Expenses'!AA15</f>
        <v/>
      </c>
      <c r="AE141" s="1337">
        <f>'Departmental Expenses'!AB15</f>
        <v/>
      </c>
      <c r="AF141" s="1337">
        <f>'Departmental Expenses'!AC15</f>
        <v/>
      </c>
      <c r="AG141" s="1367">
        <f>SUM(U141:AF141)</f>
        <v/>
      </c>
      <c r="AI141" s="1337">
        <f>'Departmental Expenses'!AF15</f>
        <v/>
      </c>
      <c r="AJ141" s="1337">
        <f>'Departmental Expenses'!AG15</f>
        <v/>
      </c>
      <c r="AK141" s="1337">
        <f>'Departmental Expenses'!AH15</f>
        <v/>
      </c>
      <c r="AL141" s="1337">
        <f>'Departmental Expenses'!AI15</f>
        <v/>
      </c>
      <c r="AM141" s="1337">
        <f>'Departmental Expenses'!AJ15</f>
        <v/>
      </c>
      <c r="AN141" s="1337">
        <f>'Departmental Expenses'!AK15</f>
        <v/>
      </c>
      <c r="AO141" s="1337">
        <f>'Departmental Expenses'!AL15</f>
        <v/>
      </c>
      <c r="AP141" s="1337">
        <f>'Departmental Expenses'!AM15</f>
        <v/>
      </c>
      <c r="AQ141" s="1337">
        <f>'Departmental Expenses'!AN15</f>
        <v/>
      </c>
      <c r="AR141" s="1337">
        <f>'Departmental Expenses'!AO15</f>
        <v/>
      </c>
      <c r="AS141" s="1337">
        <f>'Departmental Expenses'!AP15</f>
        <v/>
      </c>
      <c r="AT141" s="1337">
        <f>'Departmental Expenses'!AQ15</f>
        <v/>
      </c>
      <c r="AU141" s="1367">
        <f>SUM(AI141:AT141)</f>
        <v/>
      </c>
      <c r="AW141" s="1337">
        <f>'Departmental Expenses'!AT15</f>
        <v/>
      </c>
      <c r="AX141" s="1337">
        <f>'Departmental Expenses'!AU15</f>
        <v/>
      </c>
      <c r="AY141" s="1337">
        <f>'Departmental Expenses'!AV15</f>
        <v/>
      </c>
      <c r="AZ141" s="1337">
        <f>'Departmental Expenses'!AW15</f>
        <v/>
      </c>
      <c r="BA141" s="1337">
        <f>'Departmental Expenses'!AX15</f>
        <v/>
      </c>
      <c r="BB141" s="1337">
        <f>'Departmental Expenses'!AY15</f>
        <v/>
      </c>
      <c r="BC141" s="1337">
        <f>'Departmental Expenses'!AZ15</f>
        <v/>
      </c>
      <c r="BD141" s="1337">
        <f>'Departmental Expenses'!BA15</f>
        <v/>
      </c>
      <c r="BE141" s="1337">
        <f>'Departmental Expenses'!BB15</f>
        <v/>
      </c>
      <c r="BF141" s="1337">
        <f>'Departmental Expenses'!BC15</f>
        <v/>
      </c>
      <c r="BG141" s="1337">
        <f>'Departmental Expenses'!BD15</f>
        <v/>
      </c>
      <c r="BH141" s="1337">
        <f>'Departmental Expenses'!BE15</f>
        <v/>
      </c>
      <c r="BI141" s="1367">
        <f>SUM(AW141:BH141)</f>
        <v/>
      </c>
    </row>
    <row r="142" outlineLevel="1" ht="20" customHeight="1">
      <c r="A142" s="441" t="n"/>
      <c r="B142" s="400">
        <f>'Departmental Expenses'!A16</f>
        <v/>
      </c>
      <c r="C142" s="1368" t="n"/>
      <c r="D142" s="1364" t="n"/>
      <c r="E142" s="1365" t="n"/>
      <c r="F142" s="1370" t="n"/>
      <c r="G142" s="1337">
        <f>'Departmental Expenses'!D16</f>
        <v/>
      </c>
      <c r="H142" s="1337">
        <f>'Departmental Expenses'!E16</f>
        <v/>
      </c>
      <c r="I142" s="1337">
        <f>'Departmental Expenses'!F16</f>
        <v/>
      </c>
      <c r="J142" s="1337">
        <f>'Departmental Expenses'!G16</f>
        <v/>
      </c>
      <c r="K142" s="1337">
        <f>'Departmental Expenses'!H16</f>
        <v/>
      </c>
      <c r="L142" s="1337">
        <f>'Departmental Expenses'!I16</f>
        <v/>
      </c>
      <c r="M142" s="1337">
        <f>'Departmental Expenses'!J16</f>
        <v/>
      </c>
      <c r="N142" s="1337">
        <f>'Departmental Expenses'!K16</f>
        <v/>
      </c>
      <c r="O142" s="1337">
        <f>'Departmental Expenses'!L16</f>
        <v/>
      </c>
      <c r="P142" s="1337">
        <f>'Departmental Expenses'!M16</f>
        <v/>
      </c>
      <c r="Q142" s="1337">
        <f>'Departmental Expenses'!N16</f>
        <v/>
      </c>
      <c r="R142" s="1337">
        <f>'Departmental Expenses'!O16</f>
        <v/>
      </c>
      <c r="S142" s="1367">
        <f>SUM(G142:R142)</f>
        <v/>
      </c>
      <c r="U142" s="1337">
        <f>'Departmental Expenses'!R16</f>
        <v/>
      </c>
      <c r="V142" s="1337">
        <f>'Departmental Expenses'!S16</f>
        <v/>
      </c>
      <c r="W142" s="1337">
        <f>'Departmental Expenses'!T16</f>
        <v/>
      </c>
      <c r="X142" s="1337">
        <f>'Departmental Expenses'!U16</f>
        <v/>
      </c>
      <c r="Y142" s="1337">
        <f>'Departmental Expenses'!V16</f>
        <v/>
      </c>
      <c r="Z142" s="1337">
        <f>'Departmental Expenses'!W16</f>
        <v/>
      </c>
      <c r="AA142" s="1337">
        <f>'Departmental Expenses'!X16</f>
        <v/>
      </c>
      <c r="AB142" s="1337">
        <f>'Departmental Expenses'!Y16</f>
        <v/>
      </c>
      <c r="AC142" s="1337">
        <f>'Departmental Expenses'!Z16</f>
        <v/>
      </c>
      <c r="AD142" s="1337">
        <f>'Departmental Expenses'!AA16</f>
        <v/>
      </c>
      <c r="AE142" s="1337">
        <f>'Departmental Expenses'!AB16</f>
        <v/>
      </c>
      <c r="AF142" s="1337">
        <f>'Departmental Expenses'!AC16</f>
        <v/>
      </c>
      <c r="AG142" s="1367">
        <f>SUM(U142:AF142)</f>
        <v/>
      </c>
      <c r="AI142" s="1337">
        <f>'Departmental Expenses'!AF16</f>
        <v/>
      </c>
      <c r="AJ142" s="1337">
        <f>'Departmental Expenses'!AG16</f>
        <v/>
      </c>
      <c r="AK142" s="1337">
        <f>'Departmental Expenses'!AH16</f>
        <v/>
      </c>
      <c r="AL142" s="1337">
        <f>'Departmental Expenses'!AI16</f>
        <v/>
      </c>
      <c r="AM142" s="1337">
        <f>'Departmental Expenses'!AJ16</f>
        <v/>
      </c>
      <c r="AN142" s="1337">
        <f>'Departmental Expenses'!AK16</f>
        <v/>
      </c>
      <c r="AO142" s="1337">
        <f>'Departmental Expenses'!AL16</f>
        <v/>
      </c>
      <c r="AP142" s="1337">
        <f>'Departmental Expenses'!AM16</f>
        <v/>
      </c>
      <c r="AQ142" s="1337">
        <f>'Departmental Expenses'!AN16</f>
        <v/>
      </c>
      <c r="AR142" s="1337">
        <f>'Departmental Expenses'!AO16</f>
        <v/>
      </c>
      <c r="AS142" s="1337">
        <f>'Departmental Expenses'!AP16</f>
        <v/>
      </c>
      <c r="AT142" s="1337">
        <f>'Departmental Expenses'!AQ16</f>
        <v/>
      </c>
      <c r="AU142" s="1367">
        <f>SUM(AI142:AT142)</f>
        <v/>
      </c>
      <c r="AW142" s="1337">
        <f>'Departmental Expenses'!AT16</f>
        <v/>
      </c>
      <c r="AX142" s="1337">
        <f>'Departmental Expenses'!AU16</f>
        <v/>
      </c>
      <c r="AY142" s="1337">
        <f>'Departmental Expenses'!AV16</f>
        <v/>
      </c>
      <c r="AZ142" s="1337">
        <f>'Departmental Expenses'!AW16</f>
        <v/>
      </c>
      <c r="BA142" s="1337">
        <f>'Departmental Expenses'!AX16</f>
        <v/>
      </c>
      <c r="BB142" s="1337">
        <f>'Departmental Expenses'!AY16</f>
        <v/>
      </c>
      <c r="BC142" s="1337">
        <f>'Departmental Expenses'!AZ16</f>
        <v/>
      </c>
      <c r="BD142" s="1337">
        <f>'Departmental Expenses'!BA16</f>
        <v/>
      </c>
      <c r="BE142" s="1337">
        <f>'Departmental Expenses'!BB16</f>
        <v/>
      </c>
      <c r="BF142" s="1337">
        <f>'Departmental Expenses'!BC16</f>
        <v/>
      </c>
      <c r="BG142" s="1337">
        <f>'Departmental Expenses'!BD16</f>
        <v/>
      </c>
      <c r="BH142" s="1337">
        <f>'Departmental Expenses'!BE16</f>
        <v/>
      </c>
      <c r="BI142" s="1367">
        <f>SUM(AW142:BH142)</f>
        <v/>
      </c>
    </row>
    <row r="143" outlineLevel="1" ht="20" customHeight="1">
      <c r="A143" s="441" t="n"/>
      <c r="B143" s="400">
        <f>'Departmental Expenses'!A17</f>
        <v/>
      </c>
      <c r="C143" s="1368" t="n"/>
      <c r="D143" s="1364" t="n"/>
      <c r="E143" s="1365" t="n"/>
      <c r="F143" s="1370" t="n"/>
      <c r="G143" s="1337">
        <f>'Departmental Expenses'!D17</f>
        <v/>
      </c>
      <c r="H143" s="1337">
        <f>'Departmental Expenses'!E17</f>
        <v/>
      </c>
      <c r="I143" s="1337">
        <f>'Departmental Expenses'!F17</f>
        <v/>
      </c>
      <c r="J143" s="1337">
        <f>'Departmental Expenses'!G17</f>
        <v/>
      </c>
      <c r="K143" s="1337">
        <f>'Departmental Expenses'!H17</f>
        <v/>
      </c>
      <c r="L143" s="1337">
        <f>'Departmental Expenses'!I17</f>
        <v/>
      </c>
      <c r="M143" s="1337">
        <f>'Departmental Expenses'!J17</f>
        <v/>
      </c>
      <c r="N143" s="1337">
        <f>'Departmental Expenses'!K17</f>
        <v/>
      </c>
      <c r="O143" s="1337">
        <f>'Departmental Expenses'!L17</f>
        <v/>
      </c>
      <c r="P143" s="1337">
        <f>'Departmental Expenses'!M17</f>
        <v/>
      </c>
      <c r="Q143" s="1337">
        <f>'Departmental Expenses'!N17</f>
        <v/>
      </c>
      <c r="R143" s="1337">
        <f>'Departmental Expenses'!O17</f>
        <v/>
      </c>
      <c r="S143" s="1367">
        <f>SUM(G143:R143)</f>
        <v/>
      </c>
      <c r="U143" s="1337">
        <f>'Departmental Expenses'!R17</f>
        <v/>
      </c>
      <c r="V143" s="1337">
        <f>'Departmental Expenses'!S17</f>
        <v/>
      </c>
      <c r="W143" s="1337">
        <f>'Departmental Expenses'!T17</f>
        <v/>
      </c>
      <c r="X143" s="1337">
        <f>'Departmental Expenses'!U17</f>
        <v/>
      </c>
      <c r="Y143" s="1337">
        <f>'Departmental Expenses'!V17</f>
        <v/>
      </c>
      <c r="Z143" s="1337">
        <f>'Departmental Expenses'!W17</f>
        <v/>
      </c>
      <c r="AA143" s="1337">
        <f>'Departmental Expenses'!X17</f>
        <v/>
      </c>
      <c r="AB143" s="1337">
        <f>'Departmental Expenses'!Y17</f>
        <v/>
      </c>
      <c r="AC143" s="1337">
        <f>'Departmental Expenses'!Z17</f>
        <v/>
      </c>
      <c r="AD143" s="1337">
        <f>'Departmental Expenses'!AA17</f>
        <v/>
      </c>
      <c r="AE143" s="1337">
        <f>'Departmental Expenses'!AB17</f>
        <v/>
      </c>
      <c r="AF143" s="1337">
        <f>'Departmental Expenses'!AC17</f>
        <v/>
      </c>
      <c r="AG143" s="1367">
        <f>SUM(U143:AF143)</f>
        <v/>
      </c>
      <c r="AI143" s="1337">
        <f>'Departmental Expenses'!AF17</f>
        <v/>
      </c>
      <c r="AJ143" s="1337">
        <f>'Departmental Expenses'!AG17</f>
        <v/>
      </c>
      <c r="AK143" s="1337">
        <f>'Departmental Expenses'!AH17</f>
        <v/>
      </c>
      <c r="AL143" s="1337">
        <f>'Departmental Expenses'!AI17</f>
        <v/>
      </c>
      <c r="AM143" s="1337">
        <f>'Departmental Expenses'!AJ17</f>
        <v/>
      </c>
      <c r="AN143" s="1337">
        <f>'Departmental Expenses'!AK17</f>
        <v/>
      </c>
      <c r="AO143" s="1337">
        <f>'Departmental Expenses'!AL17</f>
        <v/>
      </c>
      <c r="AP143" s="1337">
        <f>'Departmental Expenses'!AM17</f>
        <v/>
      </c>
      <c r="AQ143" s="1337">
        <f>'Departmental Expenses'!AN17</f>
        <v/>
      </c>
      <c r="AR143" s="1337">
        <f>'Departmental Expenses'!AO17</f>
        <v/>
      </c>
      <c r="AS143" s="1337">
        <f>'Departmental Expenses'!AP17</f>
        <v/>
      </c>
      <c r="AT143" s="1337">
        <f>'Departmental Expenses'!AQ17</f>
        <v/>
      </c>
      <c r="AU143" s="1367">
        <f>SUM(AI143:AT143)</f>
        <v/>
      </c>
      <c r="AW143" s="1337">
        <f>'Departmental Expenses'!AT17</f>
        <v/>
      </c>
      <c r="AX143" s="1337">
        <f>'Departmental Expenses'!AU17</f>
        <v/>
      </c>
      <c r="AY143" s="1337">
        <f>'Departmental Expenses'!AV17</f>
        <v/>
      </c>
      <c r="AZ143" s="1337">
        <f>'Departmental Expenses'!AW17</f>
        <v/>
      </c>
      <c r="BA143" s="1337">
        <f>'Departmental Expenses'!AX17</f>
        <v/>
      </c>
      <c r="BB143" s="1337">
        <f>'Departmental Expenses'!AY17</f>
        <v/>
      </c>
      <c r="BC143" s="1337">
        <f>'Departmental Expenses'!AZ17</f>
        <v/>
      </c>
      <c r="BD143" s="1337">
        <f>'Departmental Expenses'!BA17</f>
        <v/>
      </c>
      <c r="BE143" s="1337">
        <f>'Departmental Expenses'!BB17</f>
        <v/>
      </c>
      <c r="BF143" s="1337">
        <f>'Departmental Expenses'!BC17</f>
        <v/>
      </c>
      <c r="BG143" s="1337">
        <f>'Departmental Expenses'!BD17</f>
        <v/>
      </c>
      <c r="BH143" s="1337">
        <f>'Departmental Expenses'!BE17</f>
        <v/>
      </c>
      <c r="BI143" s="1367">
        <f>SUM(AW143:BH143)</f>
        <v/>
      </c>
    </row>
    <row r="144" outlineLevel="1" ht="20" customHeight="1">
      <c r="A144" s="441" t="n"/>
      <c r="B144" s="400">
        <f>'Departmental Expenses'!A18</f>
        <v/>
      </c>
      <c r="C144" s="1368" t="n"/>
      <c r="D144" s="1364" t="n"/>
      <c r="E144" s="1365" t="n"/>
      <c r="F144" s="1370" t="n"/>
      <c r="G144" s="1337">
        <f>'Departmental Expenses'!D18</f>
        <v/>
      </c>
      <c r="H144" s="1337">
        <f>'Departmental Expenses'!E18</f>
        <v/>
      </c>
      <c r="I144" s="1337">
        <f>'Departmental Expenses'!F18</f>
        <v/>
      </c>
      <c r="J144" s="1337">
        <f>'Departmental Expenses'!G18</f>
        <v/>
      </c>
      <c r="K144" s="1337">
        <f>'Departmental Expenses'!H18</f>
        <v/>
      </c>
      <c r="L144" s="1337">
        <f>'Departmental Expenses'!I18</f>
        <v/>
      </c>
      <c r="M144" s="1337">
        <f>'Departmental Expenses'!J18</f>
        <v/>
      </c>
      <c r="N144" s="1337">
        <f>'Departmental Expenses'!K18</f>
        <v/>
      </c>
      <c r="O144" s="1337">
        <f>'Departmental Expenses'!L18</f>
        <v/>
      </c>
      <c r="P144" s="1337">
        <f>'Departmental Expenses'!M18</f>
        <v/>
      </c>
      <c r="Q144" s="1337">
        <f>'Departmental Expenses'!N18</f>
        <v/>
      </c>
      <c r="R144" s="1337">
        <f>'Departmental Expenses'!O18</f>
        <v/>
      </c>
      <c r="S144" s="1367">
        <f>SUM(G144:R144)</f>
        <v/>
      </c>
      <c r="U144" s="1337">
        <f>'Departmental Expenses'!R18</f>
        <v/>
      </c>
      <c r="V144" s="1337">
        <f>'Departmental Expenses'!S18</f>
        <v/>
      </c>
      <c r="W144" s="1337">
        <f>'Departmental Expenses'!T18</f>
        <v/>
      </c>
      <c r="X144" s="1337">
        <f>'Departmental Expenses'!U18</f>
        <v/>
      </c>
      <c r="Y144" s="1337">
        <f>'Departmental Expenses'!V18</f>
        <v/>
      </c>
      <c r="Z144" s="1337">
        <f>'Departmental Expenses'!W18</f>
        <v/>
      </c>
      <c r="AA144" s="1337">
        <f>'Departmental Expenses'!X18</f>
        <v/>
      </c>
      <c r="AB144" s="1337">
        <f>'Departmental Expenses'!Y18</f>
        <v/>
      </c>
      <c r="AC144" s="1337">
        <f>'Departmental Expenses'!Z18</f>
        <v/>
      </c>
      <c r="AD144" s="1337">
        <f>'Departmental Expenses'!AA18</f>
        <v/>
      </c>
      <c r="AE144" s="1337">
        <f>'Departmental Expenses'!AB18</f>
        <v/>
      </c>
      <c r="AF144" s="1337">
        <f>'Departmental Expenses'!AC18</f>
        <v/>
      </c>
      <c r="AG144" s="1367">
        <f>SUM(U144:AF144)</f>
        <v/>
      </c>
      <c r="AI144" s="1337">
        <f>'Departmental Expenses'!AF18</f>
        <v/>
      </c>
      <c r="AJ144" s="1337">
        <f>'Departmental Expenses'!AG18</f>
        <v/>
      </c>
      <c r="AK144" s="1337">
        <f>'Departmental Expenses'!AH18</f>
        <v/>
      </c>
      <c r="AL144" s="1337">
        <f>'Departmental Expenses'!AI18</f>
        <v/>
      </c>
      <c r="AM144" s="1337">
        <f>'Departmental Expenses'!AJ18</f>
        <v/>
      </c>
      <c r="AN144" s="1337">
        <f>'Departmental Expenses'!AK18</f>
        <v/>
      </c>
      <c r="AO144" s="1337">
        <f>'Departmental Expenses'!AL18</f>
        <v/>
      </c>
      <c r="AP144" s="1337">
        <f>'Departmental Expenses'!AM18</f>
        <v/>
      </c>
      <c r="AQ144" s="1337">
        <f>'Departmental Expenses'!AN18</f>
        <v/>
      </c>
      <c r="AR144" s="1337">
        <f>'Departmental Expenses'!AO18</f>
        <v/>
      </c>
      <c r="AS144" s="1337">
        <f>'Departmental Expenses'!AP18</f>
        <v/>
      </c>
      <c r="AT144" s="1337">
        <f>'Departmental Expenses'!AQ18</f>
        <v/>
      </c>
      <c r="AU144" s="1367">
        <f>SUM(AI144:AT144)</f>
        <v/>
      </c>
      <c r="AW144" s="1337">
        <f>'Departmental Expenses'!AT18</f>
        <v/>
      </c>
      <c r="AX144" s="1337">
        <f>'Departmental Expenses'!AU18</f>
        <v/>
      </c>
      <c r="AY144" s="1337">
        <f>'Departmental Expenses'!AV18</f>
        <v/>
      </c>
      <c r="AZ144" s="1337">
        <f>'Departmental Expenses'!AW18</f>
        <v/>
      </c>
      <c r="BA144" s="1337">
        <f>'Departmental Expenses'!AX18</f>
        <v/>
      </c>
      <c r="BB144" s="1337">
        <f>'Departmental Expenses'!AY18</f>
        <v/>
      </c>
      <c r="BC144" s="1337">
        <f>'Departmental Expenses'!AZ18</f>
        <v/>
      </c>
      <c r="BD144" s="1337">
        <f>'Departmental Expenses'!BA18</f>
        <v/>
      </c>
      <c r="BE144" s="1337">
        <f>'Departmental Expenses'!BB18</f>
        <v/>
      </c>
      <c r="BF144" s="1337">
        <f>'Departmental Expenses'!BC18</f>
        <v/>
      </c>
      <c r="BG144" s="1337">
        <f>'Departmental Expenses'!BD18</f>
        <v/>
      </c>
      <c r="BH144" s="1337">
        <f>'Departmental Expenses'!BE18</f>
        <v/>
      </c>
      <c r="BI144" s="1367">
        <f>SUM(AW144:BH144)</f>
        <v/>
      </c>
    </row>
    <row r="145" outlineLevel="1" ht="20" customHeight="1">
      <c r="A145" s="441" t="n"/>
      <c r="B145" s="401">
        <f>'Departmental Expenses'!A19</f>
        <v/>
      </c>
      <c r="C145" s="1368" t="inlineStr">
        <is>
          <t xml:space="preserve"> </t>
        </is>
      </c>
      <c r="D145" s="1364" t="inlineStr">
        <is>
          <t xml:space="preserve"> </t>
        </is>
      </c>
      <c r="E145" s="1365" t="n"/>
      <c r="F145" s="1370" t="n"/>
      <c r="G145" s="1336">
        <f>'Departmental Expenses'!D19</f>
        <v/>
      </c>
      <c r="H145" s="1336">
        <f>'Departmental Expenses'!E19</f>
        <v/>
      </c>
      <c r="I145" s="1336">
        <f>'Departmental Expenses'!F19</f>
        <v/>
      </c>
      <c r="J145" s="1336">
        <f>'Departmental Expenses'!G19</f>
        <v/>
      </c>
      <c r="K145" s="1336">
        <f>'Departmental Expenses'!H19</f>
        <v/>
      </c>
      <c r="L145" s="1336">
        <f>'Departmental Expenses'!I19</f>
        <v/>
      </c>
      <c r="M145" s="1336">
        <f>'Departmental Expenses'!J19</f>
        <v/>
      </c>
      <c r="N145" s="1336">
        <f>'Departmental Expenses'!K19</f>
        <v/>
      </c>
      <c r="O145" s="1336">
        <f>'Departmental Expenses'!L19</f>
        <v/>
      </c>
      <c r="P145" s="1336">
        <f>'Departmental Expenses'!M19</f>
        <v/>
      </c>
      <c r="Q145" s="1336">
        <f>'Departmental Expenses'!N19</f>
        <v/>
      </c>
      <c r="R145" s="1336">
        <f>'Departmental Expenses'!O19</f>
        <v/>
      </c>
      <c r="S145" s="1403">
        <f>SUM(G145:R145)</f>
        <v/>
      </c>
      <c r="T145" s="248" t="n"/>
      <c r="U145" s="1336">
        <f>'Departmental Expenses'!R19</f>
        <v/>
      </c>
      <c r="V145" s="1336">
        <f>'Departmental Expenses'!S19</f>
        <v/>
      </c>
      <c r="W145" s="1336">
        <f>'Departmental Expenses'!T19</f>
        <v/>
      </c>
      <c r="X145" s="1336">
        <f>'Departmental Expenses'!U19</f>
        <v/>
      </c>
      <c r="Y145" s="1336">
        <f>'Departmental Expenses'!V19</f>
        <v/>
      </c>
      <c r="Z145" s="1336">
        <f>'Departmental Expenses'!W19</f>
        <v/>
      </c>
      <c r="AA145" s="1336">
        <f>'Departmental Expenses'!X19</f>
        <v/>
      </c>
      <c r="AB145" s="1336">
        <f>'Departmental Expenses'!Y19</f>
        <v/>
      </c>
      <c r="AC145" s="1336">
        <f>'Departmental Expenses'!Z19</f>
        <v/>
      </c>
      <c r="AD145" s="1336">
        <f>'Departmental Expenses'!AA19</f>
        <v/>
      </c>
      <c r="AE145" s="1336">
        <f>'Departmental Expenses'!AB19</f>
        <v/>
      </c>
      <c r="AF145" s="1336">
        <f>'Departmental Expenses'!AC19</f>
        <v/>
      </c>
      <c r="AG145" s="1403">
        <f>SUM(U145:AF145)</f>
        <v/>
      </c>
      <c r="AH145" s="248" t="n"/>
      <c r="AI145" s="1336">
        <f>'Departmental Expenses'!AF19</f>
        <v/>
      </c>
      <c r="AJ145" s="1336">
        <f>'Departmental Expenses'!AG19</f>
        <v/>
      </c>
      <c r="AK145" s="1336">
        <f>'Departmental Expenses'!AH19</f>
        <v/>
      </c>
      <c r="AL145" s="1336">
        <f>'Departmental Expenses'!AI19</f>
        <v/>
      </c>
      <c r="AM145" s="1336">
        <f>'Departmental Expenses'!AJ19</f>
        <v/>
      </c>
      <c r="AN145" s="1336">
        <f>'Departmental Expenses'!AK19</f>
        <v/>
      </c>
      <c r="AO145" s="1336">
        <f>'Departmental Expenses'!AL19</f>
        <v/>
      </c>
      <c r="AP145" s="1336">
        <f>'Departmental Expenses'!AM19</f>
        <v/>
      </c>
      <c r="AQ145" s="1336">
        <f>'Departmental Expenses'!AN19</f>
        <v/>
      </c>
      <c r="AR145" s="1336">
        <f>'Departmental Expenses'!AO19</f>
        <v/>
      </c>
      <c r="AS145" s="1336">
        <f>'Departmental Expenses'!AP19</f>
        <v/>
      </c>
      <c r="AT145" s="1336">
        <f>'Departmental Expenses'!AQ19</f>
        <v/>
      </c>
      <c r="AU145" s="1403">
        <f>SUM(AI145:AT145)</f>
        <v/>
      </c>
      <c r="AW145" s="1336">
        <f>'Departmental Expenses'!AT19</f>
        <v/>
      </c>
      <c r="AX145" s="1336">
        <f>'Departmental Expenses'!AU19</f>
        <v/>
      </c>
      <c r="AY145" s="1336">
        <f>'Departmental Expenses'!AV19</f>
        <v/>
      </c>
      <c r="AZ145" s="1336">
        <f>'Departmental Expenses'!AW19</f>
        <v/>
      </c>
      <c r="BA145" s="1336">
        <f>'Departmental Expenses'!AX19</f>
        <v/>
      </c>
      <c r="BB145" s="1336">
        <f>'Departmental Expenses'!AY19</f>
        <v/>
      </c>
      <c r="BC145" s="1336">
        <f>'Departmental Expenses'!AZ19</f>
        <v/>
      </c>
      <c r="BD145" s="1336">
        <f>'Departmental Expenses'!BA19</f>
        <v/>
      </c>
      <c r="BE145" s="1336">
        <f>'Departmental Expenses'!BB19</f>
        <v/>
      </c>
      <c r="BF145" s="1336">
        <f>'Departmental Expenses'!BC19</f>
        <v/>
      </c>
      <c r="BG145" s="1336">
        <f>'Departmental Expenses'!BD19</f>
        <v/>
      </c>
      <c r="BH145" s="1336">
        <f>'Departmental Expenses'!BE19</f>
        <v/>
      </c>
      <c r="BI145" s="1403">
        <f>SUM(AW145:BH145)</f>
        <v/>
      </c>
    </row>
    <row r="146" outlineLevel="1" ht="20" customHeight="1">
      <c r="A146" s="441" t="n"/>
      <c r="B146" s="375">
        <f>'Departmental Expenses'!A20</f>
        <v/>
      </c>
      <c r="C146" s="1368" t="n"/>
      <c r="D146" s="1364" t="n"/>
      <c r="E146" s="1365" t="n"/>
      <c r="F146" s="1370" t="n"/>
      <c r="G146" s="1336">
        <f>'Departmental Expenses'!D20</f>
        <v/>
      </c>
      <c r="H146" s="1336">
        <f>'Departmental Expenses'!E20</f>
        <v/>
      </c>
      <c r="I146" s="1336">
        <f>'Departmental Expenses'!F20</f>
        <v/>
      </c>
      <c r="J146" s="1336">
        <f>'Departmental Expenses'!G20</f>
        <v/>
      </c>
      <c r="K146" s="1336">
        <f>'Departmental Expenses'!H20</f>
        <v/>
      </c>
      <c r="L146" s="1336">
        <f>'Departmental Expenses'!I20</f>
        <v/>
      </c>
      <c r="M146" s="1336">
        <f>'Departmental Expenses'!J20</f>
        <v/>
      </c>
      <c r="N146" s="1336">
        <f>'Departmental Expenses'!K20</f>
        <v/>
      </c>
      <c r="O146" s="1336">
        <f>'Departmental Expenses'!L20</f>
        <v/>
      </c>
      <c r="P146" s="1336">
        <f>'Departmental Expenses'!M20</f>
        <v/>
      </c>
      <c r="Q146" s="1336">
        <f>'Departmental Expenses'!N20</f>
        <v/>
      </c>
      <c r="R146" s="1336">
        <f>'Departmental Expenses'!O20</f>
        <v/>
      </c>
      <c r="S146" s="1403" t="inlineStr">
        <is>
          <t xml:space="preserve"> </t>
        </is>
      </c>
      <c r="T146" s="248" t="n"/>
      <c r="U146" s="1336">
        <f>'Departmental Expenses'!R20</f>
        <v/>
      </c>
      <c r="V146" s="1336">
        <f>'Departmental Expenses'!S20</f>
        <v/>
      </c>
      <c r="W146" s="1336">
        <f>'Departmental Expenses'!T20</f>
        <v/>
      </c>
      <c r="X146" s="1336">
        <f>'Departmental Expenses'!U20</f>
        <v/>
      </c>
      <c r="Y146" s="1336">
        <f>'Departmental Expenses'!V20</f>
        <v/>
      </c>
      <c r="Z146" s="1336">
        <f>'Departmental Expenses'!W20</f>
        <v/>
      </c>
      <c r="AA146" s="1336">
        <f>'Departmental Expenses'!X20</f>
        <v/>
      </c>
      <c r="AB146" s="1336">
        <f>'Departmental Expenses'!Y20</f>
        <v/>
      </c>
      <c r="AC146" s="1336">
        <f>'Departmental Expenses'!Z20</f>
        <v/>
      </c>
      <c r="AD146" s="1336">
        <f>'Departmental Expenses'!AA20</f>
        <v/>
      </c>
      <c r="AE146" s="1336">
        <f>'Departmental Expenses'!AB20</f>
        <v/>
      </c>
      <c r="AF146" s="1336">
        <f>'Departmental Expenses'!AC20</f>
        <v/>
      </c>
      <c r="AG146" s="1403" t="inlineStr">
        <is>
          <t xml:space="preserve">                        -   </t>
        </is>
      </c>
      <c r="AH146" s="248" t="n"/>
      <c r="AI146" s="1336">
        <f>'Departmental Expenses'!AF20</f>
        <v/>
      </c>
      <c r="AJ146" s="1336">
        <f>'Departmental Expenses'!AG20</f>
        <v/>
      </c>
      <c r="AK146" s="1336">
        <f>'Departmental Expenses'!AH20</f>
        <v/>
      </c>
      <c r="AL146" s="1336">
        <f>'Departmental Expenses'!AI20</f>
        <v/>
      </c>
      <c r="AM146" s="1336">
        <f>'Departmental Expenses'!AJ20</f>
        <v/>
      </c>
      <c r="AN146" s="1336">
        <f>'Departmental Expenses'!AK20</f>
        <v/>
      </c>
      <c r="AO146" s="1336">
        <f>'Departmental Expenses'!AL20</f>
        <v/>
      </c>
      <c r="AP146" s="1336">
        <f>'Departmental Expenses'!AM20</f>
        <v/>
      </c>
      <c r="AQ146" s="1336">
        <f>'Departmental Expenses'!AN20</f>
        <v/>
      </c>
      <c r="AR146" s="1336">
        <f>'Departmental Expenses'!AO20</f>
        <v/>
      </c>
      <c r="AS146" s="1336">
        <f>'Departmental Expenses'!AP20</f>
        <v/>
      </c>
      <c r="AT146" s="1336">
        <f>'Departmental Expenses'!AQ20</f>
        <v/>
      </c>
      <c r="AU146" s="1403">
        <f>SUM(AI146:AT146)</f>
        <v/>
      </c>
      <c r="AW146" s="1336">
        <f>'Departmental Expenses'!AT20</f>
        <v/>
      </c>
      <c r="AX146" s="1336">
        <f>'Departmental Expenses'!AU20</f>
        <v/>
      </c>
      <c r="AY146" s="1336">
        <f>'Departmental Expenses'!AV20</f>
        <v/>
      </c>
      <c r="AZ146" s="1336">
        <f>'Departmental Expenses'!AW20</f>
        <v/>
      </c>
      <c r="BA146" s="1336">
        <f>'Departmental Expenses'!AX20</f>
        <v/>
      </c>
      <c r="BB146" s="1336">
        <f>'Departmental Expenses'!AY20</f>
        <v/>
      </c>
      <c r="BC146" s="1336">
        <f>'Departmental Expenses'!AZ20</f>
        <v/>
      </c>
      <c r="BD146" s="1336">
        <f>'Departmental Expenses'!BA20</f>
        <v/>
      </c>
      <c r="BE146" s="1336">
        <f>'Departmental Expenses'!BB20</f>
        <v/>
      </c>
      <c r="BF146" s="1336">
        <f>'Departmental Expenses'!BC20</f>
        <v/>
      </c>
      <c r="BG146" s="1336">
        <f>'Departmental Expenses'!BD20</f>
        <v/>
      </c>
      <c r="BH146" s="1336">
        <f>'Departmental Expenses'!BE20</f>
        <v/>
      </c>
      <c r="BI146" s="1403">
        <f>SUM(AW146:BH146)</f>
        <v/>
      </c>
    </row>
    <row r="147" outlineLevel="1" ht="20" customHeight="1">
      <c r="A147" s="441" t="n"/>
      <c r="B147" s="402">
        <f>'Departmental Expenses'!A21</f>
        <v/>
      </c>
      <c r="C147" s="1368" t="n"/>
      <c r="D147" s="1364" t="n"/>
      <c r="E147" s="1365" t="n"/>
      <c r="F147" s="1370" t="n"/>
      <c r="G147" s="1336">
        <f>'Departmental Expenses'!D21</f>
        <v/>
      </c>
      <c r="H147" s="1336">
        <f>'Departmental Expenses'!E21</f>
        <v/>
      </c>
      <c r="I147" s="1336">
        <f>'Departmental Expenses'!F21</f>
        <v/>
      </c>
      <c r="J147" s="1336">
        <f>'Departmental Expenses'!G21</f>
        <v/>
      </c>
      <c r="K147" s="1336">
        <f>'Departmental Expenses'!H21</f>
        <v/>
      </c>
      <c r="L147" s="1336">
        <f>'Departmental Expenses'!I21</f>
        <v/>
      </c>
      <c r="M147" s="1336">
        <f>'Departmental Expenses'!J21</f>
        <v/>
      </c>
      <c r="N147" s="1336">
        <f>'Departmental Expenses'!K21</f>
        <v/>
      </c>
      <c r="O147" s="1336">
        <f>'Departmental Expenses'!L21</f>
        <v/>
      </c>
      <c r="P147" s="1336">
        <f>'Departmental Expenses'!M21</f>
        <v/>
      </c>
      <c r="Q147" s="1336">
        <f>'Departmental Expenses'!N21</f>
        <v/>
      </c>
      <c r="R147" s="1336">
        <f>'Departmental Expenses'!O21</f>
        <v/>
      </c>
      <c r="S147" s="1403">
        <f>SUM(G147:R147)</f>
        <v/>
      </c>
      <c r="T147" s="248" t="n"/>
      <c r="U147" s="1336">
        <f>'Departmental Expenses'!R21</f>
        <v/>
      </c>
      <c r="V147" s="1336">
        <f>'Departmental Expenses'!S21</f>
        <v/>
      </c>
      <c r="W147" s="1336">
        <f>'Departmental Expenses'!T21</f>
        <v/>
      </c>
      <c r="X147" s="1336">
        <f>'Departmental Expenses'!U21</f>
        <v/>
      </c>
      <c r="Y147" s="1336">
        <f>'Departmental Expenses'!V21</f>
        <v/>
      </c>
      <c r="Z147" s="1336">
        <f>'Departmental Expenses'!W21</f>
        <v/>
      </c>
      <c r="AA147" s="1336">
        <f>'Departmental Expenses'!X21</f>
        <v/>
      </c>
      <c r="AB147" s="1336">
        <f>'Departmental Expenses'!Y21</f>
        <v/>
      </c>
      <c r="AC147" s="1336">
        <f>'Departmental Expenses'!Z21</f>
        <v/>
      </c>
      <c r="AD147" s="1336">
        <f>'Departmental Expenses'!AA21</f>
        <v/>
      </c>
      <c r="AE147" s="1336">
        <f>'Departmental Expenses'!AB21</f>
        <v/>
      </c>
      <c r="AF147" s="1336">
        <f>'Departmental Expenses'!AC21</f>
        <v/>
      </c>
      <c r="AG147" s="1403">
        <f>SUM(U147:AF147)</f>
        <v/>
      </c>
      <c r="AH147" s="248" t="n"/>
      <c r="AI147" s="1336">
        <f>'Departmental Expenses'!AF21</f>
        <v/>
      </c>
      <c r="AJ147" s="1336">
        <f>'Departmental Expenses'!AG21</f>
        <v/>
      </c>
      <c r="AK147" s="1336">
        <f>'Departmental Expenses'!AH21</f>
        <v/>
      </c>
      <c r="AL147" s="1336">
        <f>'Departmental Expenses'!AI21</f>
        <v/>
      </c>
      <c r="AM147" s="1336">
        <f>'Departmental Expenses'!AJ21</f>
        <v/>
      </c>
      <c r="AN147" s="1336">
        <f>'Departmental Expenses'!AK21</f>
        <v/>
      </c>
      <c r="AO147" s="1336">
        <f>'Departmental Expenses'!AL21</f>
        <v/>
      </c>
      <c r="AP147" s="1336">
        <f>'Departmental Expenses'!AM21</f>
        <v/>
      </c>
      <c r="AQ147" s="1336">
        <f>'Departmental Expenses'!AN21</f>
        <v/>
      </c>
      <c r="AR147" s="1336">
        <f>'Departmental Expenses'!AO21</f>
        <v/>
      </c>
      <c r="AS147" s="1336">
        <f>'Departmental Expenses'!AP21</f>
        <v/>
      </c>
      <c r="AT147" s="1336">
        <f>'Departmental Expenses'!AQ21</f>
        <v/>
      </c>
      <c r="AU147" s="1403">
        <f>SUM(AI147:AT147)</f>
        <v/>
      </c>
      <c r="AW147" s="1336">
        <f>'Departmental Expenses'!AT21</f>
        <v/>
      </c>
      <c r="AX147" s="1336">
        <f>'Departmental Expenses'!AU21</f>
        <v/>
      </c>
      <c r="AY147" s="1336">
        <f>'Departmental Expenses'!AV21</f>
        <v/>
      </c>
      <c r="AZ147" s="1336">
        <f>'Departmental Expenses'!AW21</f>
        <v/>
      </c>
      <c r="BA147" s="1336">
        <f>'Departmental Expenses'!AX21</f>
        <v/>
      </c>
      <c r="BB147" s="1336">
        <f>'Departmental Expenses'!AY21</f>
        <v/>
      </c>
      <c r="BC147" s="1336">
        <f>'Departmental Expenses'!AZ21</f>
        <v/>
      </c>
      <c r="BD147" s="1336">
        <f>'Departmental Expenses'!BA21</f>
        <v/>
      </c>
      <c r="BE147" s="1336">
        <f>'Departmental Expenses'!BB21</f>
        <v/>
      </c>
      <c r="BF147" s="1336">
        <f>'Departmental Expenses'!BC21</f>
        <v/>
      </c>
      <c r="BG147" s="1336">
        <f>'Departmental Expenses'!BD21</f>
        <v/>
      </c>
      <c r="BH147" s="1336">
        <f>'Departmental Expenses'!BE21</f>
        <v/>
      </c>
      <c r="BI147" s="1403">
        <f>SUM(AW147:BH147)</f>
        <v/>
      </c>
    </row>
    <row r="148" outlineLevel="1" ht="20" customHeight="1">
      <c r="A148" s="441" t="n"/>
      <c r="B148" s="402">
        <f>'Departmental Expenses'!A22</f>
        <v/>
      </c>
      <c r="C148" s="1368" t="n"/>
      <c r="D148" s="1364" t="n"/>
      <c r="E148" s="1365" t="n"/>
      <c r="F148" s="1370" t="n"/>
      <c r="G148" s="1336">
        <f>'Departmental Expenses'!D22</f>
        <v/>
      </c>
      <c r="H148" s="1336">
        <f>'Departmental Expenses'!E22</f>
        <v/>
      </c>
      <c r="I148" s="1336">
        <f>'Departmental Expenses'!F22</f>
        <v/>
      </c>
      <c r="J148" s="1336">
        <f>'Departmental Expenses'!G22</f>
        <v/>
      </c>
      <c r="K148" s="1336">
        <f>'Departmental Expenses'!H22</f>
        <v/>
      </c>
      <c r="L148" s="1336">
        <f>'Departmental Expenses'!I22</f>
        <v/>
      </c>
      <c r="M148" s="1336">
        <f>'Departmental Expenses'!J22</f>
        <v/>
      </c>
      <c r="N148" s="1336">
        <f>'Departmental Expenses'!K22</f>
        <v/>
      </c>
      <c r="O148" s="1336">
        <f>'Departmental Expenses'!L22</f>
        <v/>
      </c>
      <c r="P148" s="1336">
        <f>'Departmental Expenses'!M22</f>
        <v/>
      </c>
      <c r="Q148" s="1336">
        <f>'Departmental Expenses'!N22</f>
        <v/>
      </c>
      <c r="R148" s="1336">
        <f>'Departmental Expenses'!O22</f>
        <v/>
      </c>
      <c r="S148" s="1403">
        <f>SUM(G148:R148)</f>
        <v/>
      </c>
      <c r="T148" s="248" t="n"/>
      <c r="U148" s="1336">
        <f>'Departmental Expenses'!R22</f>
        <v/>
      </c>
      <c r="V148" s="1336">
        <f>'Departmental Expenses'!S22</f>
        <v/>
      </c>
      <c r="W148" s="1336">
        <f>'Departmental Expenses'!T22</f>
        <v/>
      </c>
      <c r="X148" s="1336">
        <f>'Departmental Expenses'!U22</f>
        <v/>
      </c>
      <c r="Y148" s="1336">
        <f>'Departmental Expenses'!V22</f>
        <v/>
      </c>
      <c r="Z148" s="1336">
        <f>'Departmental Expenses'!W22</f>
        <v/>
      </c>
      <c r="AA148" s="1336">
        <f>'Departmental Expenses'!X22</f>
        <v/>
      </c>
      <c r="AB148" s="1336">
        <f>'Departmental Expenses'!Y22</f>
        <v/>
      </c>
      <c r="AC148" s="1336">
        <f>'Departmental Expenses'!Z22</f>
        <v/>
      </c>
      <c r="AD148" s="1336">
        <f>'Departmental Expenses'!AA22</f>
        <v/>
      </c>
      <c r="AE148" s="1336">
        <f>'Departmental Expenses'!AB22</f>
        <v/>
      </c>
      <c r="AF148" s="1336">
        <f>'Departmental Expenses'!AC22</f>
        <v/>
      </c>
      <c r="AG148" s="1403">
        <f>SUM(U148:AF148)</f>
        <v/>
      </c>
      <c r="AH148" s="248" t="n"/>
      <c r="AI148" s="1336">
        <f>'Departmental Expenses'!AF22</f>
        <v/>
      </c>
      <c r="AJ148" s="1336">
        <f>'Departmental Expenses'!AG22</f>
        <v/>
      </c>
      <c r="AK148" s="1336">
        <f>'Departmental Expenses'!AH22</f>
        <v/>
      </c>
      <c r="AL148" s="1336">
        <f>'Departmental Expenses'!AI22</f>
        <v/>
      </c>
      <c r="AM148" s="1336">
        <f>'Departmental Expenses'!AJ22</f>
        <v/>
      </c>
      <c r="AN148" s="1336">
        <f>'Departmental Expenses'!AK22</f>
        <v/>
      </c>
      <c r="AO148" s="1336">
        <f>'Departmental Expenses'!AL22</f>
        <v/>
      </c>
      <c r="AP148" s="1336">
        <f>'Departmental Expenses'!AM22</f>
        <v/>
      </c>
      <c r="AQ148" s="1336">
        <f>'Departmental Expenses'!AN22</f>
        <v/>
      </c>
      <c r="AR148" s="1336">
        <f>'Departmental Expenses'!AO22</f>
        <v/>
      </c>
      <c r="AS148" s="1336">
        <f>'Departmental Expenses'!AP22</f>
        <v/>
      </c>
      <c r="AT148" s="1336">
        <f>'Departmental Expenses'!AQ22</f>
        <v/>
      </c>
      <c r="AU148" s="1403">
        <f>SUM(AI148:AT148)</f>
        <v/>
      </c>
      <c r="AW148" s="1336">
        <f>'Departmental Expenses'!AT22</f>
        <v/>
      </c>
      <c r="AX148" s="1336">
        <f>'Departmental Expenses'!AU22</f>
        <v/>
      </c>
      <c r="AY148" s="1336">
        <f>'Departmental Expenses'!AV22</f>
        <v/>
      </c>
      <c r="AZ148" s="1336">
        <f>'Departmental Expenses'!AW22</f>
        <v/>
      </c>
      <c r="BA148" s="1336">
        <f>'Departmental Expenses'!AX22</f>
        <v/>
      </c>
      <c r="BB148" s="1336">
        <f>'Departmental Expenses'!AY22</f>
        <v/>
      </c>
      <c r="BC148" s="1336">
        <f>'Departmental Expenses'!AZ22</f>
        <v/>
      </c>
      <c r="BD148" s="1336">
        <f>'Departmental Expenses'!BA22</f>
        <v/>
      </c>
      <c r="BE148" s="1336">
        <f>'Departmental Expenses'!BB22</f>
        <v/>
      </c>
      <c r="BF148" s="1336">
        <f>'Departmental Expenses'!BC22</f>
        <v/>
      </c>
      <c r="BG148" s="1336">
        <f>'Departmental Expenses'!BD22</f>
        <v/>
      </c>
      <c r="BH148" s="1336">
        <f>'Departmental Expenses'!BE22</f>
        <v/>
      </c>
      <c r="BI148" s="1403">
        <f>SUM(AW148:BH148)</f>
        <v/>
      </c>
    </row>
    <row r="149" outlineLevel="1" ht="20" customHeight="1">
      <c r="A149" s="441" t="n"/>
      <c r="B149" s="402">
        <f>'Departmental Expenses'!A23</f>
        <v/>
      </c>
      <c r="C149" s="1368" t="n"/>
      <c r="D149" s="1364" t="n"/>
      <c r="E149" s="1365" t="n"/>
      <c r="F149" s="1370" t="n"/>
      <c r="G149" s="1336">
        <f>'Departmental Expenses'!D23</f>
        <v/>
      </c>
      <c r="H149" s="1336">
        <f>'Departmental Expenses'!E23</f>
        <v/>
      </c>
      <c r="I149" s="1336">
        <f>'Departmental Expenses'!F23</f>
        <v/>
      </c>
      <c r="J149" s="1336">
        <f>'Departmental Expenses'!G23</f>
        <v/>
      </c>
      <c r="K149" s="1336">
        <f>'Departmental Expenses'!H23</f>
        <v/>
      </c>
      <c r="L149" s="1336">
        <f>'Departmental Expenses'!I23</f>
        <v/>
      </c>
      <c r="M149" s="1336">
        <f>'Departmental Expenses'!J23</f>
        <v/>
      </c>
      <c r="N149" s="1336">
        <f>'Departmental Expenses'!K23</f>
        <v/>
      </c>
      <c r="O149" s="1336">
        <f>'Departmental Expenses'!L23</f>
        <v/>
      </c>
      <c r="P149" s="1336">
        <f>'Departmental Expenses'!M23</f>
        <v/>
      </c>
      <c r="Q149" s="1336">
        <f>'Departmental Expenses'!N23</f>
        <v/>
      </c>
      <c r="R149" s="1336">
        <f>'Departmental Expenses'!O23</f>
        <v/>
      </c>
      <c r="S149" s="1403">
        <f>SUM(G149:R149)</f>
        <v/>
      </c>
      <c r="T149" s="248" t="n"/>
      <c r="U149" s="1336">
        <f>'Departmental Expenses'!R23</f>
        <v/>
      </c>
      <c r="V149" s="1336">
        <f>'Departmental Expenses'!S23</f>
        <v/>
      </c>
      <c r="W149" s="1336">
        <f>'Departmental Expenses'!T23</f>
        <v/>
      </c>
      <c r="X149" s="1336">
        <f>'Departmental Expenses'!U23</f>
        <v/>
      </c>
      <c r="Y149" s="1336">
        <f>'Departmental Expenses'!V23</f>
        <v/>
      </c>
      <c r="Z149" s="1336">
        <f>'Departmental Expenses'!W23</f>
        <v/>
      </c>
      <c r="AA149" s="1336">
        <f>'Departmental Expenses'!X23</f>
        <v/>
      </c>
      <c r="AB149" s="1336">
        <f>'Departmental Expenses'!Y23</f>
        <v/>
      </c>
      <c r="AC149" s="1336">
        <f>'Departmental Expenses'!Z23</f>
        <v/>
      </c>
      <c r="AD149" s="1336">
        <f>'Departmental Expenses'!AA23</f>
        <v/>
      </c>
      <c r="AE149" s="1336">
        <f>'Departmental Expenses'!AB23</f>
        <v/>
      </c>
      <c r="AF149" s="1336">
        <f>'Departmental Expenses'!AC23</f>
        <v/>
      </c>
      <c r="AG149" s="1403">
        <f>SUM(U149:AF149)</f>
        <v/>
      </c>
      <c r="AH149" s="248" t="n"/>
      <c r="AI149" s="1336">
        <f>'Departmental Expenses'!AF23</f>
        <v/>
      </c>
      <c r="AJ149" s="1336">
        <f>'Departmental Expenses'!AG23</f>
        <v/>
      </c>
      <c r="AK149" s="1336">
        <f>'Departmental Expenses'!AH23</f>
        <v/>
      </c>
      <c r="AL149" s="1336">
        <f>'Departmental Expenses'!AI23</f>
        <v/>
      </c>
      <c r="AM149" s="1336">
        <f>'Departmental Expenses'!AJ23</f>
        <v/>
      </c>
      <c r="AN149" s="1336">
        <f>'Departmental Expenses'!AK23</f>
        <v/>
      </c>
      <c r="AO149" s="1336">
        <f>'Departmental Expenses'!AL23</f>
        <v/>
      </c>
      <c r="AP149" s="1336">
        <f>'Departmental Expenses'!AM23</f>
        <v/>
      </c>
      <c r="AQ149" s="1336">
        <f>'Departmental Expenses'!AN23</f>
        <v/>
      </c>
      <c r="AR149" s="1336">
        <f>'Departmental Expenses'!AO23</f>
        <v/>
      </c>
      <c r="AS149" s="1336">
        <f>'Departmental Expenses'!AP23</f>
        <v/>
      </c>
      <c r="AT149" s="1336">
        <f>'Departmental Expenses'!AQ23</f>
        <v/>
      </c>
      <c r="AU149" s="1403">
        <f>SUM(AI149:AT149)</f>
        <v/>
      </c>
      <c r="AW149" s="1336">
        <f>'Departmental Expenses'!AT23</f>
        <v/>
      </c>
      <c r="AX149" s="1336">
        <f>'Departmental Expenses'!AU23</f>
        <v/>
      </c>
      <c r="AY149" s="1336">
        <f>'Departmental Expenses'!AV23</f>
        <v/>
      </c>
      <c r="AZ149" s="1336">
        <f>'Departmental Expenses'!AW23</f>
        <v/>
      </c>
      <c r="BA149" s="1336">
        <f>'Departmental Expenses'!AX23</f>
        <v/>
      </c>
      <c r="BB149" s="1336">
        <f>'Departmental Expenses'!AY23</f>
        <v/>
      </c>
      <c r="BC149" s="1336">
        <f>'Departmental Expenses'!AZ23</f>
        <v/>
      </c>
      <c r="BD149" s="1336">
        <f>'Departmental Expenses'!BA23</f>
        <v/>
      </c>
      <c r="BE149" s="1336">
        <f>'Departmental Expenses'!BB23</f>
        <v/>
      </c>
      <c r="BF149" s="1336">
        <f>'Departmental Expenses'!BC23</f>
        <v/>
      </c>
      <c r="BG149" s="1336">
        <f>'Departmental Expenses'!BD23</f>
        <v/>
      </c>
      <c r="BH149" s="1336">
        <f>'Departmental Expenses'!BE23</f>
        <v/>
      </c>
      <c r="BI149" s="1403">
        <f>SUM(AW149:BH149)</f>
        <v/>
      </c>
    </row>
    <row r="150" outlineLevel="1" ht="20" customHeight="1">
      <c r="A150" s="441" t="n"/>
      <c r="B150" s="402">
        <f>'Departmental Expenses'!A24</f>
        <v/>
      </c>
      <c r="C150" s="1368" t="inlineStr">
        <is>
          <t xml:space="preserve"> </t>
        </is>
      </c>
      <c r="D150" s="1364" t="n"/>
      <c r="E150" s="1365" t="n"/>
      <c r="F150" s="1370" t="n"/>
      <c r="G150" s="1336">
        <f>'Departmental Expenses'!D24</f>
        <v/>
      </c>
      <c r="H150" s="1336">
        <f>'Departmental Expenses'!E24</f>
        <v/>
      </c>
      <c r="I150" s="1336">
        <f>'Departmental Expenses'!F24</f>
        <v/>
      </c>
      <c r="J150" s="1336">
        <f>'Departmental Expenses'!G24</f>
        <v/>
      </c>
      <c r="K150" s="1336">
        <f>'Departmental Expenses'!H24</f>
        <v/>
      </c>
      <c r="L150" s="1336">
        <f>'Departmental Expenses'!I24</f>
        <v/>
      </c>
      <c r="M150" s="1336">
        <f>'Departmental Expenses'!J24</f>
        <v/>
      </c>
      <c r="N150" s="1336">
        <f>'Departmental Expenses'!K24</f>
        <v/>
      </c>
      <c r="O150" s="1336">
        <f>'Departmental Expenses'!L24</f>
        <v/>
      </c>
      <c r="P150" s="1336">
        <f>'Departmental Expenses'!M24</f>
        <v/>
      </c>
      <c r="Q150" s="1336">
        <f>'Departmental Expenses'!N24</f>
        <v/>
      </c>
      <c r="R150" s="1336">
        <f>'Departmental Expenses'!O24</f>
        <v/>
      </c>
      <c r="S150" s="1403">
        <f>SUM(G150:R150)</f>
        <v/>
      </c>
      <c r="T150" s="248" t="n"/>
      <c r="U150" s="1336">
        <f>'Departmental Expenses'!R24</f>
        <v/>
      </c>
      <c r="V150" s="1336">
        <f>'Departmental Expenses'!S24</f>
        <v/>
      </c>
      <c r="W150" s="1336">
        <f>'Departmental Expenses'!T24</f>
        <v/>
      </c>
      <c r="X150" s="1336">
        <f>'Departmental Expenses'!U24</f>
        <v/>
      </c>
      <c r="Y150" s="1336">
        <f>'Departmental Expenses'!V24</f>
        <v/>
      </c>
      <c r="Z150" s="1336">
        <f>'Departmental Expenses'!W24</f>
        <v/>
      </c>
      <c r="AA150" s="1336">
        <f>'Departmental Expenses'!X24</f>
        <v/>
      </c>
      <c r="AB150" s="1336">
        <f>'Departmental Expenses'!Y24</f>
        <v/>
      </c>
      <c r="AC150" s="1336">
        <f>'Departmental Expenses'!Z24</f>
        <v/>
      </c>
      <c r="AD150" s="1336">
        <f>'Departmental Expenses'!AA24</f>
        <v/>
      </c>
      <c r="AE150" s="1336">
        <f>'Departmental Expenses'!AB24</f>
        <v/>
      </c>
      <c r="AF150" s="1336">
        <f>'Departmental Expenses'!AC24</f>
        <v/>
      </c>
      <c r="AG150" s="1403">
        <f>SUM(U150:AF150)</f>
        <v/>
      </c>
      <c r="AH150" s="248" t="n"/>
      <c r="AI150" s="1336">
        <f>'Departmental Expenses'!AF24</f>
        <v/>
      </c>
      <c r="AJ150" s="1336">
        <f>'Departmental Expenses'!AG24</f>
        <v/>
      </c>
      <c r="AK150" s="1336">
        <f>'Departmental Expenses'!AH24</f>
        <v/>
      </c>
      <c r="AL150" s="1336">
        <f>'Departmental Expenses'!AI24</f>
        <v/>
      </c>
      <c r="AM150" s="1336">
        <f>'Departmental Expenses'!AJ24</f>
        <v/>
      </c>
      <c r="AN150" s="1336">
        <f>'Departmental Expenses'!AK24</f>
        <v/>
      </c>
      <c r="AO150" s="1336">
        <f>'Departmental Expenses'!AL24</f>
        <v/>
      </c>
      <c r="AP150" s="1336">
        <f>'Departmental Expenses'!AM24</f>
        <v/>
      </c>
      <c r="AQ150" s="1336">
        <f>'Departmental Expenses'!AN24</f>
        <v/>
      </c>
      <c r="AR150" s="1336">
        <f>'Departmental Expenses'!AO24</f>
        <v/>
      </c>
      <c r="AS150" s="1336">
        <f>'Departmental Expenses'!AP24</f>
        <v/>
      </c>
      <c r="AT150" s="1336">
        <f>'Departmental Expenses'!AQ24</f>
        <v/>
      </c>
      <c r="AU150" s="1403">
        <f>SUM(AI150:AT150)</f>
        <v/>
      </c>
      <c r="AW150" s="1336">
        <f>'Departmental Expenses'!AT24</f>
        <v/>
      </c>
      <c r="AX150" s="1336">
        <f>'Departmental Expenses'!AU24</f>
        <v/>
      </c>
      <c r="AY150" s="1336">
        <f>'Departmental Expenses'!AV24</f>
        <v/>
      </c>
      <c r="AZ150" s="1336">
        <f>'Departmental Expenses'!AW24</f>
        <v/>
      </c>
      <c r="BA150" s="1336">
        <f>'Departmental Expenses'!AX24</f>
        <v/>
      </c>
      <c r="BB150" s="1336">
        <f>'Departmental Expenses'!AY24</f>
        <v/>
      </c>
      <c r="BC150" s="1336">
        <f>'Departmental Expenses'!AZ24</f>
        <v/>
      </c>
      <c r="BD150" s="1336">
        <f>'Departmental Expenses'!BA24</f>
        <v/>
      </c>
      <c r="BE150" s="1336">
        <f>'Departmental Expenses'!BB24</f>
        <v/>
      </c>
      <c r="BF150" s="1336">
        <f>'Departmental Expenses'!BC24</f>
        <v/>
      </c>
      <c r="BG150" s="1336">
        <f>'Departmental Expenses'!BD24</f>
        <v/>
      </c>
      <c r="BH150" s="1336">
        <f>'Departmental Expenses'!BE24</f>
        <v/>
      </c>
      <c r="BI150" s="1403">
        <f>SUM(AW150:BH150)</f>
        <v/>
      </c>
    </row>
    <row r="151" outlineLevel="1" ht="20" customHeight="1">
      <c r="A151" s="441" t="n"/>
      <c r="B151" s="402">
        <f>'Departmental Expenses'!A25</f>
        <v/>
      </c>
      <c r="C151" s="1368" t="inlineStr">
        <is>
          <t xml:space="preserve"> </t>
        </is>
      </c>
      <c r="D151" s="1364" t="n"/>
      <c r="E151" s="1365" t="n"/>
      <c r="F151" s="1370" t="n"/>
      <c r="G151" s="1336">
        <f>'Departmental Expenses'!D25</f>
        <v/>
      </c>
      <c r="H151" s="1336">
        <f>'Departmental Expenses'!E25</f>
        <v/>
      </c>
      <c r="I151" s="1336">
        <f>'Departmental Expenses'!F25</f>
        <v/>
      </c>
      <c r="J151" s="1336">
        <f>'Departmental Expenses'!G25</f>
        <v/>
      </c>
      <c r="K151" s="1336">
        <f>'Departmental Expenses'!H25</f>
        <v/>
      </c>
      <c r="L151" s="1336">
        <f>'Departmental Expenses'!I25</f>
        <v/>
      </c>
      <c r="M151" s="1336">
        <f>'Departmental Expenses'!J25</f>
        <v/>
      </c>
      <c r="N151" s="1336">
        <f>'Departmental Expenses'!K25</f>
        <v/>
      </c>
      <c r="O151" s="1336">
        <f>'Departmental Expenses'!L25</f>
        <v/>
      </c>
      <c r="P151" s="1336">
        <f>'Departmental Expenses'!M25</f>
        <v/>
      </c>
      <c r="Q151" s="1336">
        <f>'Departmental Expenses'!N25</f>
        <v/>
      </c>
      <c r="R151" s="1336">
        <f>'Departmental Expenses'!O25</f>
        <v/>
      </c>
      <c r="S151" s="1403">
        <f>SUM(G151:R151)</f>
        <v/>
      </c>
      <c r="T151" s="248" t="n"/>
      <c r="U151" s="1336">
        <f>'Departmental Expenses'!R25</f>
        <v/>
      </c>
      <c r="V151" s="1336">
        <f>'Departmental Expenses'!S25</f>
        <v/>
      </c>
      <c r="W151" s="1336">
        <f>'Departmental Expenses'!T25</f>
        <v/>
      </c>
      <c r="X151" s="1336">
        <f>'Departmental Expenses'!U25</f>
        <v/>
      </c>
      <c r="Y151" s="1336">
        <f>'Departmental Expenses'!V25</f>
        <v/>
      </c>
      <c r="Z151" s="1336">
        <f>'Departmental Expenses'!W25</f>
        <v/>
      </c>
      <c r="AA151" s="1336">
        <f>'Departmental Expenses'!X25</f>
        <v/>
      </c>
      <c r="AB151" s="1336">
        <f>'Departmental Expenses'!Y25</f>
        <v/>
      </c>
      <c r="AC151" s="1336">
        <f>'Departmental Expenses'!Z25</f>
        <v/>
      </c>
      <c r="AD151" s="1336">
        <f>'Departmental Expenses'!AA25</f>
        <v/>
      </c>
      <c r="AE151" s="1336">
        <f>'Departmental Expenses'!AB25</f>
        <v/>
      </c>
      <c r="AF151" s="1336">
        <f>'Departmental Expenses'!AC25</f>
        <v/>
      </c>
      <c r="AG151" s="1403">
        <f>SUM(U151:AF151)</f>
        <v/>
      </c>
      <c r="AH151" s="248" t="n"/>
      <c r="AI151" s="1336">
        <f>'Departmental Expenses'!AF25</f>
        <v/>
      </c>
      <c r="AJ151" s="1336">
        <f>'Departmental Expenses'!AG25</f>
        <v/>
      </c>
      <c r="AK151" s="1336">
        <f>'Departmental Expenses'!AH25</f>
        <v/>
      </c>
      <c r="AL151" s="1336">
        <f>'Departmental Expenses'!AI25</f>
        <v/>
      </c>
      <c r="AM151" s="1336">
        <f>'Departmental Expenses'!AJ25</f>
        <v/>
      </c>
      <c r="AN151" s="1336">
        <f>'Departmental Expenses'!AK25</f>
        <v/>
      </c>
      <c r="AO151" s="1336">
        <f>'Departmental Expenses'!AL25</f>
        <v/>
      </c>
      <c r="AP151" s="1336">
        <f>'Departmental Expenses'!AM25</f>
        <v/>
      </c>
      <c r="AQ151" s="1336">
        <f>'Departmental Expenses'!AN25</f>
        <v/>
      </c>
      <c r="AR151" s="1336">
        <f>'Departmental Expenses'!AO25</f>
        <v/>
      </c>
      <c r="AS151" s="1336">
        <f>'Departmental Expenses'!AP25</f>
        <v/>
      </c>
      <c r="AT151" s="1336">
        <f>'Departmental Expenses'!AQ25</f>
        <v/>
      </c>
      <c r="AU151" s="1403">
        <f>SUM(AI151:AT151)</f>
        <v/>
      </c>
      <c r="AW151" s="1336">
        <f>'Departmental Expenses'!AT25</f>
        <v/>
      </c>
      <c r="AX151" s="1336">
        <f>'Departmental Expenses'!AU25</f>
        <v/>
      </c>
      <c r="AY151" s="1336">
        <f>'Departmental Expenses'!AV25</f>
        <v/>
      </c>
      <c r="AZ151" s="1336">
        <f>'Departmental Expenses'!AW25</f>
        <v/>
      </c>
      <c r="BA151" s="1336">
        <f>'Departmental Expenses'!AX25</f>
        <v/>
      </c>
      <c r="BB151" s="1336">
        <f>'Departmental Expenses'!AY25</f>
        <v/>
      </c>
      <c r="BC151" s="1336">
        <f>'Departmental Expenses'!AZ25</f>
        <v/>
      </c>
      <c r="BD151" s="1336">
        <f>'Departmental Expenses'!BA25</f>
        <v/>
      </c>
      <c r="BE151" s="1336">
        <f>'Departmental Expenses'!BB25</f>
        <v/>
      </c>
      <c r="BF151" s="1336">
        <f>'Departmental Expenses'!BC25</f>
        <v/>
      </c>
      <c r="BG151" s="1336">
        <f>'Departmental Expenses'!BD25</f>
        <v/>
      </c>
      <c r="BH151" s="1336">
        <f>'Departmental Expenses'!BE25</f>
        <v/>
      </c>
      <c r="BI151" s="1403">
        <f>SUM(AW151:BH151)</f>
        <v/>
      </c>
    </row>
    <row r="152" outlineLevel="1" ht="20" customHeight="1">
      <c r="A152" s="441" t="n"/>
      <c r="B152" s="402">
        <f>'Departmental Expenses'!A26</f>
        <v/>
      </c>
      <c r="C152" s="1368" t="inlineStr">
        <is>
          <t xml:space="preserve"> </t>
        </is>
      </c>
      <c r="D152" s="1364" t="n"/>
      <c r="E152" s="1365" t="n"/>
      <c r="F152" s="1370" t="n"/>
      <c r="G152" s="1336">
        <f>'Departmental Expenses'!D26</f>
        <v/>
      </c>
      <c r="H152" s="1336">
        <f>'Departmental Expenses'!E26</f>
        <v/>
      </c>
      <c r="I152" s="1336">
        <f>'Departmental Expenses'!F26</f>
        <v/>
      </c>
      <c r="J152" s="1336">
        <f>'Departmental Expenses'!G26</f>
        <v/>
      </c>
      <c r="K152" s="1336">
        <f>'Departmental Expenses'!H26</f>
        <v/>
      </c>
      <c r="L152" s="1336">
        <f>'Departmental Expenses'!I26</f>
        <v/>
      </c>
      <c r="M152" s="1336">
        <f>'Departmental Expenses'!J26</f>
        <v/>
      </c>
      <c r="N152" s="1336">
        <f>'Departmental Expenses'!K26</f>
        <v/>
      </c>
      <c r="O152" s="1336">
        <f>'Departmental Expenses'!L26</f>
        <v/>
      </c>
      <c r="P152" s="1336">
        <f>'Departmental Expenses'!M26</f>
        <v/>
      </c>
      <c r="Q152" s="1336">
        <f>'Departmental Expenses'!N26</f>
        <v/>
      </c>
      <c r="R152" s="1336">
        <f>'Departmental Expenses'!O26</f>
        <v/>
      </c>
      <c r="S152" s="1403">
        <f>SUM(G152:R152)</f>
        <v/>
      </c>
      <c r="T152" s="248" t="n"/>
      <c r="U152" s="1336">
        <f>'Departmental Expenses'!R26</f>
        <v/>
      </c>
      <c r="V152" s="1336">
        <f>'Departmental Expenses'!S26</f>
        <v/>
      </c>
      <c r="W152" s="1336">
        <f>'Departmental Expenses'!T26</f>
        <v/>
      </c>
      <c r="X152" s="1336">
        <f>'Departmental Expenses'!U26</f>
        <v/>
      </c>
      <c r="Y152" s="1336">
        <f>'Departmental Expenses'!V26</f>
        <v/>
      </c>
      <c r="Z152" s="1336">
        <f>'Departmental Expenses'!W26</f>
        <v/>
      </c>
      <c r="AA152" s="1336">
        <f>'Departmental Expenses'!X26</f>
        <v/>
      </c>
      <c r="AB152" s="1336">
        <f>'Departmental Expenses'!Y26</f>
        <v/>
      </c>
      <c r="AC152" s="1336">
        <f>'Departmental Expenses'!Z26</f>
        <v/>
      </c>
      <c r="AD152" s="1336">
        <f>'Departmental Expenses'!AA26</f>
        <v/>
      </c>
      <c r="AE152" s="1336">
        <f>'Departmental Expenses'!AB26</f>
        <v/>
      </c>
      <c r="AF152" s="1336">
        <f>'Departmental Expenses'!AC26</f>
        <v/>
      </c>
      <c r="AG152" s="1403">
        <f>SUM(U152:AF152)</f>
        <v/>
      </c>
      <c r="AH152" s="248" t="n"/>
      <c r="AI152" s="1336">
        <f>'Departmental Expenses'!AF26</f>
        <v/>
      </c>
      <c r="AJ152" s="1336">
        <f>'Departmental Expenses'!AG26</f>
        <v/>
      </c>
      <c r="AK152" s="1336">
        <f>'Departmental Expenses'!AH26</f>
        <v/>
      </c>
      <c r="AL152" s="1336">
        <f>'Departmental Expenses'!AI26</f>
        <v/>
      </c>
      <c r="AM152" s="1336">
        <f>'Departmental Expenses'!AJ26</f>
        <v/>
      </c>
      <c r="AN152" s="1336">
        <f>'Departmental Expenses'!AK26</f>
        <v/>
      </c>
      <c r="AO152" s="1336">
        <f>'Departmental Expenses'!AL26</f>
        <v/>
      </c>
      <c r="AP152" s="1336">
        <f>'Departmental Expenses'!AM26</f>
        <v/>
      </c>
      <c r="AQ152" s="1336">
        <f>'Departmental Expenses'!AN26</f>
        <v/>
      </c>
      <c r="AR152" s="1336">
        <f>'Departmental Expenses'!AO26</f>
        <v/>
      </c>
      <c r="AS152" s="1336">
        <f>'Departmental Expenses'!AP26</f>
        <v/>
      </c>
      <c r="AT152" s="1336">
        <f>'Departmental Expenses'!AQ26</f>
        <v/>
      </c>
      <c r="AU152" s="1403">
        <f>SUM(AI152:AT152)</f>
        <v/>
      </c>
      <c r="AW152" s="1336">
        <f>'Departmental Expenses'!AT26</f>
        <v/>
      </c>
      <c r="AX152" s="1336">
        <f>'Departmental Expenses'!AU26</f>
        <v/>
      </c>
      <c r="AY152" s="1336">
        <f>'Departmental Expenses'!AV26</f>
        <v/>
      </c>
      <c r="AZ152" s="1336">
        <f>'Departmental Expenses'!AW26</f>
        <v/>
      </c>
      <c r="BA152" s="1336">
        <f>'Departmental Expenses'!AX26</f>
        <v/>
      </c>
      <c r="BB152" s="1336">
        <f>'Departmental Expenses'!AY26</f>
        <v/>
      </c>
      <c r="BC152" s="1336">
        <f>'Departmental Expenses'!AZ26</f>
        <v/>
      </c>
      <c r="BD152" s="1336">
        <f>'Departmental Expenses'!BA26</f>
        <v/>
      </c>
      <c r="BE152" s="1336">
        <f>'Departmental Expenses'!BB26</f>
        <v/>
      </c>
      <c r="BF152" s="1336">
        <f>'Departmental Expenses'!BC26</f>
        <v/>
      </c>
      <c r="BG152" s="1336">
        <f>'Departmental Expenses'!BD26</f>
        <v/>
      </c>
      <c r="BH152" s="1336">
        <f>'Departmental Expenses'!BE26</f>
        <v/>
      </c>
      <c r="BI152" s="1403">
        <f>SUM(AW152:BH152)</f>
        <v/>
      </c>
    </row>
    <row r="153" outlineLevel="1" ht="20" customHeight="1">
      <c r="A153" s="441" t="n"/>
      <c r="B153" s="402">
        <f>'Departmental Expenses'!A27</f>
        <v/>
      </c>
      <c r="C153" s="1368" t="inlineStr">
        <is>
          <t xml:space="preserve"> </t>
        </is>
      </c>
      <c r="D153" s="1364" t="n"/>
      <c r="E153" s="1365" t="n"/>
      <c r="F153" s="1370" t="n"/>
      <c r="G153" s="1336">
        <f>'Departmental Expenses'!D27</f>
        <v/>
      </c>
      <c r="H153" s="1336">
        <f>'Departmental Expenses'!E27</f>
        <v/>
      </c>
      <c r="I153" s="1336">
        <f>'Departmental Expenses'!F27</f>
        <v/>
      </c>
      <c r="J153" s="1336">
        <f>'Departmental Expenses'!G27</f>
        <v/>
      </c>
      <c r="K153" s="1336">
        <f>'Departmental Expenses'!H27</f>
        <v/>
      </c>
      <c r="L153" s="1336">
        <f>'Departmental Expenses'!I27</f>
        <v/>
      </c>
      <c r="M153" s="1336">
        <f>'Departmental Expenses'!J27</f>
        <v/>
      </c>
      <c r="N153" s="1336">
        <f>'Departmental Expenses'!K27</f>
        <v/>
      </c>
      <c r="O153" s="1336">
        <f>'Departmental Expenses'!L27</f>
        <v/>
      </c>
      <c r="P153" s="1336">
        <f>'Departmental Expenses'!M27</f>
        <v/>
      </c>
      <c r="Q153" s="1336">
        <f>'Departmental Expenses'!N27</f>
        <v/>
      </c>
      <c r="R153" s="1336">
        <f>'Departmental Expenses'!O27</f>
        <v/>
      </c>
      <c r="S153" s="1403">
        <f>SUM(G153:R153)</f>
        <v/>
      </c>
      <c r="T153" s="248" t="n"/>
      <c r="U153" s="1336">
        <f>'Departmental Expenses'!R27</f>
        <v/>
      </c>
      <c r="V153" s="1336">
        <f>'Departmental Expenses'!S27</f>
        <v/>
      </c>
      <c r="W153" s="1336">
        <f>'Departmental Expenses'!T27</f>
        <v/>
      </c>
      <c r="X153" s="1336">
        <f>'Departmental Expenses'!U27</f>
        <v/>
      </c>
      <c r="Y153" s="1336">
        <f>'Departmental Expenses'!V27</f>
        <v/>
      </c>
      <c r="Z153" s="1336">
        <f>'Departmental Expenses'!W27</f>
        <v/>
      </c>
      <c r="AA153" s="1336">
        <f>'Departmental Expenses'!X27</f>
        <v/>
      </c>
      <c r="AB153" s="1336">
        <f>'Departmental Expenses'!Y27</f>
        <v/>
      </c>
      <c r="AC153" s="1336">
        <f>'Departmental Expenses'!Z27</f>
        <v/>
      </c>
      <c r="AD153" s="1336">
        <f>'Departmental Expenses'!AA27</f>
        <v/>
      </c>
      <c r="AE153" s="1336">
        <f>'Departmental Expenses'!AB27</f>
        <v/>
      </c>
      <c r="AF153" s="1336">
        <f>'Departmental Expenses'!AC27</f>
        <v/>
      </c>
      <c r="AG153" s="1403">
        <f>SUM(U153:AF153)</f>
        <v/>
      </c>
      <c r="AH153" s="248" t="n"/>
      <c r="AI153" s="1336">
        <f>'Departmental Expenses'!AF27</f>
        <v/>
      </c>
      <c r="AJ153" s="1336">
        <f>'Departmental Expenses'!AG27</f>
        <v/>
      </c>
      <c r="AK153" s="1336">
        <f>'Departmental Expenses'!AH27</f>
        <v/>
      </c>
      <c r="AL153" s="1336">
        <f>'Departmental Expenses'!AI27</f>
        <v/>
      </c>
      <c r="AM153" s="1336">
        <f>'Departmental Expenses'!AJ27</f>
        <v/>
      </c>
      <c r="AN153" s="1336">
        <f>'Departmental Expenses'!AK27</f>
        <v/>
      </c>
      <c r="AO153" s="1336">
        <f>'Departmental Expenses'!AL27</f>
        <v/>
      </c>
      <c r="AP153" s="1336">
        <f>'Departmental Expenses'!AM27</f>
        <v/>
      </c>
      <c r="AQ153" s="1336">
        <f>'Departmental Expenses'!AN27</f>
        <v/>
      </c>
      <c r="AR153" s="1336">
        <f>'Departmental Expenses'!AO27</f>
        <v/>
      </c>
      <c r="AS153" s="1336">
        <f>'Departmental Expenses'!AP27</f>
        <v/>
      </c>
      <c r="AT153" s="1336">
        <f>'Departmental Expenses'!AQ27</f>
        <v/>
      </c>
      <c r="AU153" s="1403">
        <f>SUM(AI153:AT153)</f>
        <v/>
      </c>
      <c r="AW153" s="1336">
        <f>'Departmental Expenses'!AT27</f>
        <v/>
      </c>
      <c r="AX153" s="1336">
        <f>'Departmental Expenses'!AU27</f>
        <v/>
      </c>
      <c r="AY153" s="1336">
        <f>'Departmental Expenses'!AV27</f>
        <v/>
      </c>
      <c r="AZ153" s="1336">
        <f>'Departmental Expenses'!AW27</f>
        <v/>
      </c>
      <c r="BA153" s="1336">
        <f>'Departmental Expenses'!AX27</f>
        <v/>
      </c>
      <c r="BB153" s="1336">
        <f>'Departmental Expenses'!AY27</f>
        <v/>
      </c>
      <c r="BC153" s="1336">
        <f>'Departmental Expenses'!AZ27</f>
        <v/>
      </c>
      <c r="BD153" s="1336">
        <f>'Departmental Expenses'!BA27</f>
        <v/>
      </c>
      <c r="BE153" s="1336">
        <f>'Departmental Expenses'!BB27</f>
        <v/>
      </c>
      <c r="BF153" s="1336">
        <f>'Departmental Expenses'!BC27</f>
        <v/>
      </c>
      <c r="BG153" s="1336">
        <f>'Departmental Expenses'!BD27</f>
        <v/>
      </c>
      <c r="BH153" s="1336">
        <f>'Departmental Expenses'!BE27</f>
        <v/>
      </c>
      <c r="BI153" s="1403">
        <f>SUM(AW153:BH153)</f>
        <v/>
      </c>
    </row>
    <row r="154" outlineLevel="1" ht="20" customHeight="1">
      <c r="A154" s="441" t="n"/>
      <c r="B154" s="402">
        <f>'Departmental Expenses'!A28</f>
        <v/>
      </c>
      <c r="C154" s="1363" t="inlineStr">
        <is>
          <t xml:space="preserve"> </t>
        </is>
      </c>
      <c r="D154" s="1364" t="n"/>
      <c r="E154" s="1365" t="n"/>
      <c r="F154" s="1370" t="n"/>
      <c r="G154" s="1336">
        <f>'Departmental Expenses'!D28</f>
        <v/>
      </c>
      <c r="H154" s="1336">
        <f>'Departmental Expenses'!E28</f>
        <v/>
      </c>
      <c r="I154" s="1336">
        <f>'Departmental Expenses'!F28</f>
        <v/>
      </c>
      <c r="J154" s="1336">
        <f>'Departmental Expenses'!G28</f>
        <v/>
      </c>
      <c r="K154" s="1336">
        <f>'Departmental Expenses'!H28</f>
        <v/>
      </c>
      <c r="L154" s="1336">
        <f>'Departmental Expenses'!I28</f>
        <v/>
      </c>
      <c r="M154" s="1336">
        <f>'Departmental Expenses'!J28</f>
        <v/>
      </c>
      <c r="N154" s="1336">
        <f>'Departmental Expenses'!K28</f>
        <v/>
      </c>
      <c r="O154" s="1336">
        <f>'Departmental Expenses'!L28</f>
        <v/>
      </c>
      <c r="P154" s="1336">
        <f>'Departmental Expenses'!M28</f>
        <v/>
      </c>
      <c r="Q154" s="1336">
        <f>'Departmental Expenses'!N28</f>
        <v/>
      </c>
      <c r="R154" s="1336">
        <f>'Departmental Expenses'!O28</f>
        <v/>
      </c>
      <c r="S154" s="1403">
        <f>SUM(G154:R154)</f>
        <v/>
      </c>
      <c r="T154" s="248" t="n"/>
      <c r="U154" s="1336">
        <f>'Departmental Expenses'!R28</f>
        <v/>
      </c>
      <c r="V154" s="1336">
        <f>'Departmental Expenses'!S28</f>
        <v/>
      </c>
      <c r="W154" s="1336">
        <f>'Departmental Expenses'!T28</f>
        <v/>
      </c>
      <c r="X154" s="1336">
        <f>'Departmental Expenses'!U28</f>
        <v/>
      </c>
      <c r="Y154" s="1336">
        <f>'Departmental Expenses'!V28</f>
        <v/>
      </c>
      <c r="Z154" s="1336">
        <f>'Departmental Expenses'!W28</f>
        <v/>
      </c>
      <c r="AA154" s="1336">
        <f>'Departmental Expenses'!X28</f>
        <v/>
      </c>
      <c r="AB154" s="1336">
        <f>'Departmental Expenses'!Y28</f>
        <v/>
      </c>
      <c r="AC154" s="1336">
        <f>'Departmental Expenses'!Z28</f>
        <v/>
      </c>
      <c r="AD154" s="1336">
        <f>'Departmental Expenses'!AA28</f>
        <v/>
      </c>
      <c r="AE154" s="1336">
        <f>'Departmental Expenses'!AB28</f>
        <v/>
      </c>
      <c r="AF154" s="1336">
        <f>'Departmental Expenses'!AC28</f>
        <v/>
      </c>
      <c r="AG154" s="1403">
        <f>SUM(U154:AF154)</f>
        <v/>
      </c>
      <c r="AH154" s="248" t="n"/>
      <c r="AI154" s="1336">
        <f>'Departmental Expenses'!AF28</f>
        <v/>
      </c>
      <c r="AJ154" s="1336">
        <f>'Departmental Expenses'!AG28</f>
        <v/>
      </c>
      <c r="AK154" s="1336">
        <f>'Departmental Expenses'!AH28</f>
        <v/>
      </c>
      <c r="AL154" s="1336">
        <f>'Departmental Expenses'!AI28</f>
        <v/>
      </c>
      <c r="AM154" s="1336">
        <f>'Departmental Expenses'!AJ28</f>
        <v/>
      </c>
      <c r="AN154" s="1336">
        <f>'Departmental Expenses'!AK28</f>
        <v/>
      </c>
      <c r="AO154" s="1336">
        <f>'Departmental Expenses'!AL28</f>
        <v/>
      </c>
      <c r="AP154" s="1336">
        <f>'Departmental Expenses'!AM28</f>
        <v/>
      </c>
      <c r="AQ154" s="1336">
        <f>'Departmental Expenses'!AN28</f>
        <v/>
      </c>
      <c r="AR154" s="1336">
        <f>'Departmental Expenses'!AO28</f>
        <v/>
      </c>
      <c r="AS154" s="1336">
        <f>'Departmental Expenses'!AP28</f>
        <v/>
      </c>
      <c r="AT154" s="1336">
        <f>'Departmental Expenses'!AQ28</f>
        <v/>
      </c>
      <c r="AU154" s="1403">
        <f>SUM(AI154:AT154)</f>
        <v/>
      </c>
      <c r="AW154" s="1336">
        <f>'Departmental Expenses'!AT28</f>
        <v/>
      </c>
      <c r="AX154" s="1336">
        <f>'Departmental Expenses'!AU28</f>
        <v/>
      </c>
      <c r="AY154" s="1336">
        <f>'Departmental Expenses'!AV28</f>
        <v/>
      </c>
      <c r="AZ154" s="1336">
        <f>'Departmental Expenses'!AW28</f>
        <v/>
      </c>
      <c r="BA154" s="1336">
        <f>'Departmental Expenses'!AX28</f>
        <v/>
      </c>
      <c r="BB154" s="1336">
        <f>'Departmental Expenses'!AY28</f>
        <v/>
      </c>
      <c r="BC154" s="1336">
        <f>'Departmental Expenses'!AZ28</f>
        <v/>
      </c>
      <c r="BD154" s="1336">
        <f>'Departmental Expenses'!BA28</f>
        <v/>
      </c>
      <c r="BE154" s="1336">
        <f>'Departmental Expenses'!BB28</f>
        <v/>
      </c>
      <c r="BF154" s="1336">
        <f>'Departmental Expenses'!BC28</f>
        <v/>
      </c>
      <c r="BG154" s="1336">
        <f>'Departmental Expenses'!BD28</f>
        <v/>
      </c>
      <c r="BH154" s="1336">
        <f>'Departmental Expenses'!BE28</f>
        <v/>
      </c>
      <c r="BI154" s="1403">
        <f>SUM(AW154:BH154)</f>
        <v/>
      </c>
    </row>
    <row r="155" outlineLevel="1" ht="20" customHeight="1">
      <c r="A155" s="441" t="n"/>
      <c r="B155" s="402">
        <f>'Departmental Expenses'!A29</f>
        <v/>
      </c>
      <c r="C155" s="1363" t="n"/>
      <c r="D155" s="1364" t="n"/>
      <c r="E155" s="1365" t="n"/>
      <c r="F155" s="1370" t="n"/>
      <c r="G155" s="1336">
        <f>'Departmental Expenses'!D29</f>
        <v/>
      </c>
      <c r="H155" s="1336">
        <f>'Departmental Expenses'!E29</f>
        <v/>
      </c>
      <c r="I155" s="1336">
        <f>'Departmental Expenses'!F29</f>
        <v/>
      </c>
      <c r="J155" s="1336">
        <f>'Departmental Expenses'!G29</f>
        <v/>
      </c>
      <c r="K155" s="1336">
        <f>'Departmental Expenses'!H29</f>
        <v/>
      </c>
      <c r="L155" s="1336">
        <f>'Departmental Expenses'!I29</f>
        <v/>
      </c>
      <c r="M155" s="1336">
        <f>'Departmental Expenses'!J29</f>
        <v/>
      </c>
      <c r="N155" s="1336">
        <f>'Departmental Expenses'!K29</f>
        <v/>
      </c>
      <c r="O155" s="1336">
        <f>'Departmental Expenses'!L29</f>
        <v/>
      </c>
      <c r="P155" s="1336">
        <f>'Departmental Expenses'!M29</f>
        <v/>
      </c>
      <c r="Q155" s="1336">
        <f>'Departmental Expenses'!N29</f>
        <v/>
      </c>
      <c r="R155" s="1336">
        <f>'Departmental Expenses'!O29</f>
        <v/>
      </c>
      <c r="S155" s="1403">
        <f>SUM(G155:R155)</f>
        <v/>
      </c>
      <c r="T155" s="248" t="n"/>
      <c r="U155" s="1336">
        <f>'Departmental Expenses'!R29</f>
        <v/>
      </c>
      <c r="V155" s="1336">
        <f>'Departmental Expenses'!S29</f>
        <v/>
      </c>
      <c r="W155" s="1336">
        <f>'Departmental Expenses'!T29</f>
        <v/>
      </c>
      <c r="X155" s="1336">
        <f>'Departmental Expenses'!U29</f>
        <v/>
      </c>
      <c r="Y155" s="1336">
        <f>'Departmental Expenses'!V29</f>
        <v/>
      </c>
      <c r="Z155" s="1336">
        <f>'Departmental Expenses'!W29</f>
        <v/>
      </c>
      <c r="AA155" s="1336">
        <f>'Departmental Expenses'!X29</f>
        <v/>
      </c>
      <c r="AB155" s="1336">
        <f>'Departmental Expenses'!Y29</f>
        <v/>
      </c>
      <c r="AC155" s="1336">
        <f>'Departmental Expenses'!Z29</f>
        <v/>
      </c>
      <c r="AD155" s="1336">
        <f>'Departmental Expenses'!AA29</f>
        <v/>
      </c>
      <c r="AE155" s="1336">
        <f>'Departmental Expenses'!AB29</f>
        <v/>
      </c>
      <c r="AF155" s="1336">
        <f>'Departmental Expenses'!AC29</f>
        <v/>
      </c>
      <c r="AG155" s="1403">
        <f>SUM(U155:AF155)</f>
        <v/>
      </c>
      <c r="AH155" s="248" t="n"/>
      <c r="AI155" s="1336">
        <f>'Departmental Expenses'!AF29</f>
        <v/>
      </c>
      <c r="AJ155" s="1336">
        <f>'Departmental Expenses'!AG29</f>
        <v/>
      </c>
      <c r="AK155" s="1336">
        <f>'Departmental Expenses'!AH29</f>
        <v/>
      </c>
      <c r="AL155" s="1336">
        <f>'Departmental Expenses'!AI29</f>
        <v/>
      </c>
      <c r="AM155" s="1336">
        <f>'Departmental Expenses'!AJ29</f>
        <v/>
      </c>
      <c r="AN155" s="1336">
        <f>'Departmental Expenses'!AK29</f>
        <v/>
      </c>
      <c r="AO155" s="1336">
        <f>'Departmental Expenses'!AL29</f>
        <v/>
      </c>
      <c r="AP155" s="1336">
        <f>'Departmental Expenses'!AM29</f>
        <v/>
      </c>
      <c r="AQ155" s="1336">
        <f>'Departmental Expenses'!AN29</f>
        <v/>
      </c>
      <c r="AR155" s="1336">
        <f>'Departmental Expenses'!AO29</f>
        <v/>
      </c>
      <c r="AS155" s="1336">
        <f>'Departmental Expenses'!AP29</f>
        <v/>
      </c>
      <c r="AT155" s="1336">
        <f>'Departmental Expenses'!AQ29</f>
        <v/>
      </c>
      <c r="AU155" s="1403">
        <f>SUM(AI155:AT155)</f>
        <v/>
      </c>
      <c r="AW155" s="1336">
        <f>'Departmental Expenses'!AT29</f>
        <v/>
      </c>
      <c r="AX155" s="1336">
        <f>'Departmental Expenses'!AU29</f>
        <v/>
      </c>
      <c r="AY155" s="1336">
        <f>'Departmental Expenses'!AV29</f>
        <v/>
      </c>
      <c r="AZ155" s="1336">
        <f>'Departmental Expenses'!AW29</f>
        <v/>
      </c>
      <c r="BA155" s="1336">
        <f>'Departmental Expenses'!AX29</f>
        <v/>
      </c>
      <c r="BB155" s="1336">
        <f>'Departmental Expenses'!AY29</f>
        <v/>
      </c>
      <c r="BC155" s="1336">
        <f>'Departmental Expenses'!AZ29</f>
        <v/>
      </c>
      <c r="BD155" s="1336">
        <f>'Departmental Expenses'!BA29</f>
        <v/>
      </c>
      <c r="BE155" s="1336">
        <f>'Departmental Expenses'!BB29</f>
        <v/>
      </c>
      <c r="BF155" s="1336">
        <f>'Departmental Expenses'!BC29</f>
        <v/>
      </c>
      <c r="BG155" s="1336">
        <f>'Departmental Expenses'!BD29</f>
        <v/>
      </c>
      <c r="BH155" s="1336">
        <f>'Departmental Expenses'!BE29</f>
        <v/>
      </c>
      <c r="BI155" s="1403">
        <f>SUM(AW155:BH155)</f>
        <v/>
      </c>
    </row>
    <row r="156" outlineLevel="1" ht="20" customHeight="1">
      <c r="A156" s="441" t="n"/>
      <c r="B156" s="402">
        <f>'Departmental Expenses'!A30</f>
        <v/>
      </c>
      <c r="C156" s="1363" t="n"/>
      <c r="D156" s="1364" t="n"/>
      <c r="E156" s="1365" t="n"/>
      <c r="F156" s="1370" t="n"/>
      <c r="G156" s="1336">
        <f>'Departmental Expenses'!D30</f>
        <v/>
      </c>
      <c r="H156" s="1336">
        <f>'Departmental Expenses'!E30</f>
        <v/>
      </c>
      <c r="I156" s="1336">
        <f>'Departmental Expenses'!F30</f>
        <v/>
      </c>
      <c r="J156" s="1336">
        <f>'Departmental Expenses'!G30</f>
        <v/>
      </c>
      <c r="K156" s="1336">
        <f>'Departmental Expenses'!H30</f>
        <v/>
      </c>
      <c r="L156" s="1336">
        <f>'Departmental Expenses'!I30</f>
        <v/>
      </c>
      <c r="M156" s="1336">
        <f>'Departmental Expenses'!J30</f>
        <v/>
      </c>
      <c r="N156" s="1336">
        <f>'Departmental Expenses'!K30</f>
        <v/>
      </c>
      <c r="O156" s="1336">
        <f>'Departmental Expenses'!L30</f>
        <v/>
      </c>
      <c r="P156" s="1336">
        <f>'Departmental Expenses'!M30</f>
        <v/>
      </c>
      <c r="Q156" s="1336">
        <f>'Departmental Expenses'!N30</f>
        <v/>
      </c>
      <c r="R156" s="1336">
        <f>'Departmental Expenses'!O30</f>
        <v/>
      </c>
      <c r="S156" s="1403">
        <f>SUM(G156:R156)</f>
        <v/>
      </c>
      <c r="T156" s="248" t="n"/>
      <c r="U156" s="1336">
        <f>'Departmental Expenses'!R30</f>
        <v/>
      </c>
      <c r="V156" s="1336">
        <f>'Departmental Expenses'!S30</f>
        <v/>
      </c>
      <c r="W156" s="1336">
        <f>'Departmental Expenses'!T30</f>
        <v/>
      </c>
      <c r="X156" s="1336">
        <f>'Departmental Expenses'!U30</f>
        <v/>
      </c>
      <c r="Y156" s="1336">
        <f>'Departmental Expenses'!V30</f>
        <v/>
      </c>
      <c r="Z156" s="1336">
        <f>'Departmental Expenses'!W30</f>
        <v/>
      </c>
      <c r="AA156" s="1336">
        <f>'Departmental Expenses'!X30</f>
        <v/>
      </c>
      <c r="AB156" s="1336">
        <f>'Departmental Expenses'!Y30</f>
        <v/>
      </c>
      <c r="AC156" s="1336">
        <f>'Departmental Expenses'!Z30</f>
        <v/>
      </c>
      <c r="AD156" s="1336">
        <f>'Departmental Expenses'!AA30</f>
        <v/>
      </c>
      <c r="AE156" s="1336">
        <f>'Departmental Expenses'!AB30</f>
        <v/>
      </c>
      <c r="AF156" s="1336">
        <f>'Departmental Expenses'!AC30</f>
        <v/>
      </c>
      <c r="AG156" s="1403">
        <f>SUM(U156:AF156)</f>
        <v/>
      </c>
      <c r="AH156" s="248" t="n"/>
      <c r="AI156" s="1336">
        <f>'Departmental Expenses'!AF30</f>
        <v/>
      </c>
      <c r="AJ156" s="1336">
        <f>'Departmental Expenses'!AG30</f>
        <v/>
      </c>
      <c r="AK156" s="1336">
        <f>'Departmental Expenses'!AH30</f>
        <v/>
      </c>
      <c r="AL156" s="1336">
        <f>'Departmental Expenses'!AI30</f>
        <v/>
      </c>
      <c r="AM156" s="1336">
        <f>'Departmental Expenses'!AJ30</f>
        <v/>
      </c>
      <c r="AN156" s="1336">
        <f>'Departmental Expenses'!AK30</f>
        <v/>
      </c>
      <c r="AO156" s="1336">
        <f>'Departmental Expenses'!AL30</f>
        <v/>
      </c>
      <c r="AP156" s="1336">
        <f>'Departmental Expenses'!AM30</f>
        <v/>
      </c>
      <c r="AQ156" s="1336">
        <f>'Departmental Expenses'!AN30</f>
        <v/>
      </c>
      <c r="AR156" s="1336">
        <f>'Departmental Expenses'!AO30</f>
        <v/>
      </c>
      <c r="AS156" s="1336">
        <f>'Departmental Expenses'!AP30</f>
        <v/>
      </c>
      <c r="AT156" s="1336">
        <f>'Departmental Expenses'!AQ30</f>
        <v/>
      </c>
      <c r="AU156" s="1403">
        <f>SUM(AI156:AT156)</f>
        <v/>
      </c>
      <c r="AW156" s="1336">
        <f>'Departmental Expenses'!AT30</f>
        <v/>
      </c>
      <c r="AX156" s="1336">
        <f>'Departmental Expenses'!AU30</f>
        <v/>
      </c>
      <c r="AY156" s="1336">
        <f>'Departmental Expenses'!AV30</f>
        <v/>
      </c>
      <c r="AZ156" s="1336">
        <f>'Departmental Expenses'!AW30</f>
        <v/>
      </c>
      <c r="BA156" s="1336">
        <f>'Departmental Expenses'!AX30</f>
        <v/>
      </c>
      <c r="BB156" s="1336">
        <f>'Departmental Expenses'!AY30</f>
        <v/>
      </c>
      <c r="BC156" s="1336">
        <f>'Departmental Expenses'!AZ30</f>
        <v/>
      </c>
      <c r="BD156" s="1336">
        <f>'Departmental Expenses'!BA30</f>
        <v/>
      </c>
      <c r="BE156" s="1336">
        <f>'Departmental Expenses'!BB30</f>
        <v/>
      </c>
      <c r="BF156" s="1336">
        <f>'Departmental Expenses'!BC30</f>
        <v/>
      </c>
      <c r="BG156" s="1336">
        <f>'Departmental Expenses'!BD30</f>
        <v/>
      </c>
      <c r="BH156" s="1336">
        <f>'Departmental Expenses'!BE30</f>
        <v/>
      </c>
      <c r="BI156" s="1403">
        <f>SUM(AW156:BH156)</f>
        <v/>
      </c>
    </row>
    <row r="157" outlineLevel="1" ht="20" customHeight="1">
      <c r="A157" s="441" t="n"/>
      <c r="B157" s="402">
        <f>'Departmental Expenses'!A31</f>
        <v/>
      </c>
      <c r="C157" s="1363" t="n"/>
      <c r="D157" s="1364" t="n"/>
      <c r="E157" s="1365" t="n"/>
      <c r="F157" s="1370" t="n"/>
      <c r="G157" s="1336">
        <f>'Departmental Expenses'!D31</f>
        <v/>
      </c>
      <c r="H157" s="1336">
        <f>'Departmental Expenses'!E31</f>
        <v/>
      </c>
      <c r="I157" s="1336">
        <f>'Departmental Expenses'!F31</f>
        <v/>
      </c>
      <c r="J157" s="1336">
        <f>'Departmental Expenses'!G31</f>
        <v/>
      </c>
      <c r="K157" s="1336">
        <f>'Departmental Expenses'!H31</f>
        <v/>
      </c>
      <c r="L157" s="1336">
        <f>'Departmental Expenses'!I31</f>
        <v/>
      </c>
      <c r="M157" s="1336">
        <f>'Departmental Expenses'!J31</f>
        <v/>
      </c>
      <c r="N157" s="1336">
        <f>'Departmental Expenses'!K31</f>
        <v/>
      </c>
      <c r="O157" s="1336">
        <f>'Departmental Expenses'!L31</f>
        <v/>
      </c>
      <c r="P157" s="1336">
        <f>'Departmental Expenses'!M31</f>
        <v/>
      </c>
      <c r="Q157" s="1336">
        <f>'Departmental Expenses'!N31</f>
        <v/>
      </c>
      <c r="R157" s="1336">
        <f>'Departmental Expenses'!O31</f>
        <v/>
      </c>
      <c r="S157" s="1403">
        <f>SUM(G157:R157)</f>
        <v/>
      </c>
      <c r="T157" s="248" t="n"/>
      <c r="U157" s="1336">
        <f>'Departmental Expenses'!R31</f>
        <v/>
      </c>
      <c r="V157" s="1336">
        <f>'Departmental Expenses'!S31</f>
        <v/>
      </c>
      <c r="W157" s="1336">
        <f>'Departmental Expenses'!T31</f>
        <v/>
      </c>
      <c r="X157" s="1336">
        <f>'Departmental Expenses'!U31</f>
        <v/>
      </c>
      <c r="Y157" s="1336">
        <f>'Departmental Expenses'!V31</f>
        <v/>
      </c>
      <c r="Z157" s="1336">
        <f>'Departmental Expenses'!W31</f>
        <v/>
      </c>
      <c r="AA157" s="1336">
        <f>'Departmental Expenses'!X31</f>
        <v/>
      </c>
      <c r="AB157" s="1336">
        <f>'Departmental Expenses'!Y31</f>
        <v/>
      </c>
      <c r="AC157" s="1336">
        <f>'Departmental Expenses'!Z31</f>
        <v/>
      </c>
      <c r="AD157" s="1336">
        <f>'Departmental Expenses'!AA31</f>
        <v/>
      </c>
      <c r="AE157" s="1336">
        <f>'Departmental Expenses'!AB31</f>
        <v/>
      </c>
      <c r="AF157" s="1336">
        <f>'Departmental Expenses'!AC31</f>
        <v/>
      </c>
      <c r="AG157" s="1403">
        <f>SUM(U157:AF157)</f>
        <v/>
      </c>
      <c r="AH157" s="248" t="n"/>
      <c r="AI157" s="1336">
        <f>'Departmental Expenses'!AF31</f>
        <v/>
      </c>
      <c r="AJ157" s="1336">
        <f>'Departmental Expenses'!AG31</f>
        <v/>
      </c>
      <c r="AK157" s="1336">
        <f>'Departmental Expenses'!AH31</f>
        <v/>
      </c>
      <c r="AL157" s="1336">
        <f>'Departmental Expenses'!AI31</f>
        <v/>
      </c>
      <c r="AM157" s="1336">
        <f>'Departmental Expenses'!AJ31</f>
        <v/>
      </c>
      <c r="AN157" s="1336">
        <f>'Departmental Expenses'!AK31</f>
        <v/>
      </c>
      <c r="AO157" s="1336">
        <f>'Departmental Expenses'!AL31</f>
        <v/>
      </c>
      <c r="AP157" s="1336">
        <f>'Departmental Expenses'!AM31</f>
        <v/>
      </c>
      <c r="AQ157" s="1336">
        <f>'Departmental Expenses'!AN31</f>
        <v/>
      </c>
      <c r="AR157" s="1336">
        <f>'Departmental Expenses'!AO31</f>
        <v/>
      </c>
      <c r="AS157" s="1336">
        <f>'Departmental Expenses'!AP31</f>
        <v/>
      </c>
      <c r="AT157" s="1336">
        <f>'Departmental Expenses'!AQ31</f>
        <v/>
      </c>
      <c r="AU157" s="1403">
        <f>SUM(AI157:AT157)</f>
        <v/>
      </c>
      <c r="AW157" s="1336">
        <f>'Departmental Expenses'!AT31</f>
        <v/>
      </c>
      <c r="AX157" s="1336">
        <f>'Departmental Expenses'!AU31</f>
        <v/>
      </c>
      <c r="AY157" s="1336">
        <f>'Departmental Expenses'!AV31</f>
        <v/>
      </c>
      <c r="AZ157" s="1336">
        <f>'Departmental Expenses'!AW31</f>
        <v/>
      </c>
      <c r="BA157" s="1336">
        <f>'Departmental Expenses'!AX31</f>
        <v/>
      </c>
      <c r="BB157" s="1336">
        <f>'Departmental Expenses'!AY31</f>
        <v/>
      </c>
      <c r="BC157" s="1336">
        <f>'Departmental Expenses'!AZ31</f>
        <v/>
      </c>
      <c r="BD157" s="1336">
        <f>'Departmental Expenses'!BA31</f>
        <v/>
      </c>
      <c r="BE157" s="1336">
        <f>'Departmental Expenses'!BB31</f>
        <v/>
      </c>
      <c r="BF157" s="1336">
        <f>'Departmental Expenses'!BC31</f>
        <v/>
      </c>
      <c r="BG157" s="1336">
        <f>'Departmental Expenses'!BD31</f>
        <v/>
      </c>
      <c r="BH157" s="1336">
        <f>'Departmental Expenses'!BE31</f>
        <v/>
      </c>
      <c r="BI157" s="1403">
        <f>SUM(AW157:BH157)</f>
        <v/>
      </c>
    </row>
    <row r="158" outlineLevel="1" ht="20" customHeight="1">
      <c r="A158" s="441" t="n"/>
      <c r="B158" s="375">
        <f>'Departmental Expenses'!A32</f>
        <v/>
      </c>
      <c r="C158" s="1363" t="n"/>
      <c r="D158" s="1364" t="n"/>
      <c r="E158" s="1365" t="n"/>
      <c r="F158" s="1370" t="n"/>
      <c r="G158" s="1336">
        <f>'Departmental Expenses'!D32</f>
        <v/>
      </c>
      <c r="H158" s="1336">
        <f>'Departmental Expenses'!E32</f>
        <v/>
      </c>
      <c r="I158" s="1336">
        <f>'Departmental Expenses'!F32</f>
        <v/>
      </c>
      <c r="J158" s="1336">
        <f>'Departmental Expenses'!G32</f>
        <v/>
      </c>
      <c r="K158" s="1336">
        <f>'Departmental Expenses'!H32</f>
        <v/>
      </c>
      <c r="L158" s="1336">
        <f>'Departmental Expenses'!I32</f>
        <v/>
      </c>
      <c r="M158" s="1336">
        <f>'Departmental Expenses'!J32</f>
        <v/>
      </c>
      <c r="N158" s="1336">
        <f>'Departmental Expenses'!K32</f>
        <v/>
      </c>
      <c r="O158" s="1336">
        <f>'Departmental Expenses'!L32</f>
        <v/>
      </c>
      <c r="P158" s="1336">
        <f>'Departmental Expenses'!M32</f>
        <v/>
      </c>
      <c r="Q158" s="1336">
        <f>'Departmental Expenses'!N32</f>
        <v/>
      </c>
      <c r="R158" s="1336">
        <f>'Departmental Expenses'!O32</f>
        <v/>
      </c>
      <c r="S158" s="1403">
        <f>SUM(G158:R158)</f>
        <v/>
      </c>
      <c r="T158" s="248" t="n"/>
      <c r="U158" s="1336">
        <f>'Departmental Expenses'!R32</f>
        <v/>
      </c>
      <c r="V158" s="1336">
        <f>'Departmental Expenses'!S32</f>
        <v/>
      </c>
      <c r="W158" s="1336">
        <f>'Departmental Expenses'!T32</f>
        <v/>
      </c>
      <c r="X158" s="1336">
        <f>'Departmental Expenses'!U32</f>
        <v/>
      </c>
      <c r="Y158" s="1336">
        <f>'Departmental Expenses'!V32</f>
        <v/>
      </c>
      <c r="Z158" s="1336">
        <f>'Departmental Expenses'!W32</f>
        <v/>
      </c>
      <c r="AA158" s="1336">
        <f>'Departmental Expenses'!X32</f>
        <v/>
      </c>
      <c r="AB158" s="1336">
        <f>'Departmental Expenses'!Y32</f>
        <v/>
      </c>
      <c r="AC158" s="1336">
        <f>'Departmental Expenses'!Z32</f>
        <v/>
      </c>
      <c r="AD158" s="1336">
        <f>'Departmental Expenses'!AA32</f>
        <v/>
      </c>
      <c r="AE158" s="1336">
        <f>'Departmental Expenses'!AB32</f>
        <v/>
      </c>
      <c r="AF158" s="1336">
        <f>'Departmental Expenses'!AC32</f>
        <v/>
      </c>
      <c r="AG158" s="1403">
        <f>SUM(U158:AF158)</f>
        <v/>
      </c>
      <c r="AH158" s="248" t="n"/>
      <c r="AI158" s="1336">
        <f>'Departmental Expenses'!AF32</f>
        <v/>
      </c>
      <c r="AJ158" s="1336">
        <f>'Departmental Expenses'!AG32</f>
        <v/>
      </c>
      <c r="AK158" s="1336">
        <f>'Departmental Expenses'!AH32</f>
        <v/>
      </c>
      <c r="AL158" s="1336">
        <f>'Departmental Expenses'!AI32</f>
        <v/>
      </c>
      <c r="AM158" s="1336">
        <f>'Departmental Expenses'!AJ32</f>
        <v/>
      </c>
      <c r="AN158" s="1336">
        <f>'Departmental Expenses'!AK32</f>
        <v/>
      </c>
      <c r="AO158" s="1336">
        <f>'Departmental Expenses'!AL32</f>
        <v/>
      </c>
      <c r="AP158" s="1336">
        <f>'Departmental Expenses'!AM32</f>
        <v/>
      </c>
      <c r="AQ158" s="1336">
        <f>'Departmental Expenses'!AN32</f>
        <v/>
      </c>
      <c r="AR158" s="1336">
        <f>'Departmental Expenses'!AO32</f>
        <v/>
      </c>
      <c r="AS158" s="1336">
        <f>'Departmental Expenses'!AP32</f>
        <v/>
      </c>
      <c r="AT158" s="1336">
        <f>'Departmental Expenses'!AQ32</f>
        <v/>
      </c>
      <c r="AU158" s="1403">
        <f>SUM(AI158:AT158)</f>
        <v/>
      </c>
      <c r="AW158" s="1336">
        <f>'Departmental Expenses'!AT32</f>
        <v/>
      </c>
      <c r="AX158" s="1336">
        <f>'Departmental Expenses'!AU32</f>
        <v/>
      </c>
      <c r="AY158" s="1336">
        <f>'Departmental Expenses'!AV32</f>
        <v/>
      </c>
      <c r="AZ158" s="1336">
        <f>'Departmental Expenses'!AW32</f>
        <v/>
      </c>
      <c r="BA158" s="1336">
        <f>'Departmental Expenses'!AX32</f>
        <v/>
      </c>
      <c r="BB158" s="1336">
        <f>'Departmental Expenses'!AY32</f>
        <v/>
      </c>
      <c r="BC158" s="1336">
        <f>'Departmental Expenses'!AZ32</f>
        <v/>
      </c>
      <c r="BD158" s="1336">
        <f>'Departmental Expenses'!BA32</f>
        <v/>
      </c>
      <c r="BE158" s="1336">
        <f>'Departmental Expenses'!BB32</f>
        <v/>
      </c>
      <c r="BF158" s="1336">
        <f>'Departmental Expenses'!BC32</f>
        <v/>
      </c>
      <c r="BG158" s="1336">
        <f>'Departmental Expenses'!BD32</f>
        <v/>
      </c>
      <c r="BH158" s="1336">
        <f>'Departmental Expenses'!BE32</f>
        <v/>
      </c>
      <c r="BI158" s="1403">
        <f>SUM(AW158:BH158)</f>
        <v/>
      </c>
    </row>
    <row r="159" outlineLevel="1" ht="20" customHeight="1">
      <c r="A159" s="441" t="n"/>
      <c r="B159" s="402">
        <f>'Departmental Expenses'!A33</f>
        <v/>
      </c>
      <c r="C159" s="1363" t="inlineStr">
        <is>
          <t xml:space="preserve"> </t>
        </is>
      </c>
      <c r="D159" s="1364" t="n"/>
      <c r="E159" s="1365" t="n"/>
      <c r="F159" s="1370" t="n"/>
      <c r="G159" s="1336">
        <f>'Departmental Expenses'!D33</f>
        <v/>
      </c>
      <c r="H159" s="1336">
        <f>'Departmental Expenses'!E33</f>
        <v/>
      </c>
      <c r="I159" s="1336">
        <f>'Departmental Expenses'!F33</f>
        <v/>
      </c>
      <c r="J159" s="1336">
        <f>'Departmental Expenses'!G33</f>
        <v/>
      </c>
      <c r="K159" s="1336">
        <f>'Departmental Expenses'!H33</f>
        <v/>
      </c>
      <c r="L159" s="1336">
        <f>'Departmental Expenses'!I33</f>
        <v/>
      </c>
      <c r="M159" s="1336">
        <f>'Departmental Expenses'!J33</f>
        <v/>
      </c>
      <c r="N159" s="1336">
        <f>'Departmental Expenses'!K33</f>
        <v/>
      </c>
      <c r="O159" s="1336">
        <f>'Departmental Expenses'!L33</f>
        <v/>
      </c>
      <c r="P159" s="1336">
        <f>'Departmental Expenses'!M33</f>
        <v/>
      </c>
      <c r="Q159" s="1336">
        <f>'Departmental Expenses'!N33</f>
        <v/>
      </c>
      <c r="R159" s="1336">
        <f>'Departmental Expenses'!O33</f>
        <v/>
      </c>
      <c r="S159" s="1403">
        <f>SUM(G159:R159)</f>
        <v/>
      </c>
      <c r="T159" s="248" t="n"/>
      <c r="U159" s="1336">
        <f>'Departmental Expenses'!R33</f>
        <v/>
      </c>
      <c r="V159" s="1336">
        <f>'Departmental Expenses'!S33</f>
        <v/>
      </c>
      <c r="W159" s="1336">
        <f>'Departmental Expenses'!T33</f>
        <v/>
      </c>
      <c r="X159" s="1336">
        <f>'Departmental Expenses'!U33</f>
        <v/>
      </c>
      <c r="Y159" s="1336">
        <f>'Departmental Expenses'!V33</f>
        <v/>
      </c>
      <c r="Z159" s="1336">
        <f>'Departmental Expenses'!W33</f>
        <v/>
      </c>
      <c r="AA159" s="1336">
        <f>'Departmental Expenses'!X33</f>
        <v/>
      </c>
      <c r="AB159" s="1336">
        <f>'Departmental Expenses'!Y33</f>
        <v/>
      </c>
      <c r="AC159" s="1336">
        <f>'Departmental Expenses'!Z33</f>
        <v/>
      </c>
      <c r="AD159" s="1336">
        <f>'Departmental Expenses'!AA33</f>
        <v/>
      </c>
      <c r="AE159" s="1336">
        <f>'Departmental Expenses'!AB33</f>
        <v/>
      </c>
      <c r="AF159" s="1336">
        <f>'Departmental Expenses'!AC33</f>
        <v/>
      </c>
      <c r="AG159" s="1403">
        <f>SUM(U159:AF159)</f>
        <v/>
      </c>
      <c r="AH159" s="248" t="n"/>
      <c r="AI159" s="1336">
        <f>'Departmental Expenses'!AF33</f>
        <v/>
      </c>
      <c r="AJ159" s="1336">
        <f>'Departmental Expenses'!AG33</f>
        <v/>
      </c>
      <c r="AK159" s="1336">
        <f>'Departmental Expenses'!AH33</f>
        <v/>
      </c>
      <c r="AL159" s="1336">
        <f>'Departmental Expenses'!AI33</f>
        <v/>
      </c>
      <c r="AM159" s="1336">
        <f>'Departmental Expenses'!AJ33</f>
        <v/>
      </c>
      <c r="AN159" s="1336">
        <f>'Departmental Expenses'!AK33</f>
        <v/>
      </c>
      <c r="AO159" s="1336">
        <f>'Departmental Expenses'!AL33</f>
        <v/>
      </c>
      <c r="AP159" s="1336">
        <f>'Departmental Expenses'!AM33</f>
        <v/>
      </c>
      <c r="AQ159" s="1336">
        <f>'Departmental Expenses'!AN33</f>
        <v/>
      </c>
      <c r="AR159" s="1336">
        <f>'Departmental Expenses'!AO33</f>
        <v/>
      </c>
      <c r="AS159" s="1336">
        <f>'Departmental Expenses'!AP33</f>
        <v/>
      </c>
      <c r="AT159" s="1336">
        <f>'Departmental Expenses'!AQ33</f>
        <v/>
      </c>
      <c r="AU159" s="1403">
        <f>SUM(AI159:AT159)</f>
        <v/>
      </c>
      <c r="AW159" s="1336">
        <f>'Departmental Expenses'!AT33</f>
        <v/>
      </c>
      <c r="AX159" s="1336">
        <f>'Departmental Expenses'!AU33</f>
        <v/>
      </c>
      <c r="AY159" s="1336">
        <f>'Departmental Expenses'!AV33</f>
        <v/>
      </c>
      <c r="AZ159" s="1336">
        <f>'Departmental Expenses'!AW33</f>
        <v/>
      </c>
      <c r="BA159" s="1336">
        <f>'Departmental Expenses'!AX33</f>
        <v/>
      </c>
      <c r="BB159" s="1336">
        <f>'Departmental Expenses'!AY33</f>
        <v/>
      </c>
      <c r="BC159" s="1336">
        <f>'Departmental Expenses'!AZ33</f>
        <v/>
      </c>
      <c r="BD159" s="1336">
        <f>'Departmental Expenses'!BA33</f>
        <v/>
      </c>
      <c r="BE159" s="1336">
        <f>'Departmental Expenses'!BB33</f>
        <v/>
      </c>
      <c r="BF159" s="1336">
        <f>'Departmental Expenses'!BC33</f>
        <v/>
      </c>
      <c r="BG159" s="1336">
        <f>'Departmental Expenses'!BD33</f>
        <v/>
      </c>
      <c r="BH159" s="1336">
        <f>'Departmental Expenses'!BE33</f>
        <v/>
      </c>
      <c r="BI159" s="1403">
        <f>SUM(AW159:BH159)</f>
        <v/>
      </c>
    </row>
    <row r="160" outlineLevel="1" ht="20" customHeight="1">
      <c r="A160" s="441" t="n"/>
      <c r="B160" s="402">
        <f>'Departmental Expenses'!A34</f>
        <v/>
      </c>
      <c r="C160" s="1363" t="inlineStr">
        <is>
          <t xml:space="preserve"> </t>
        </is>
      </c>
      <c r="D160" s="1364" t="n"/>
      <c r="E160" s="1365" t="n"/>
      <c r="F160" s="1370" t="n"/>
      <c r="G160" s="1336">
        <f>'Departmental Expenses'!D34</f>
        <v/>
      </c>
      <c r="H160" s="1336">
        <f>'Departmental Expenses'!E34</f>
        <v/>
      </c>
      <c r="I160" s="1336">
        <f>'Departmental Expenses'!F34</f>
        <v/>
      </c>
      <c r="J160" s="1336">
        <f>'Departmental Expenses'!G34</f>
        <v/>
      </c>
      <c r="K160" s="1336">
        <f>'Departmental Expenses'!H34</f>
        <v/>
      </c>
      <c r="L160" s="1336">
        <f>'Departmental Expenses'!I34</f>
        <v/>
      </c>
      <c r="M160" s="1336">
        <f>'Departmental Expenses'!J34</f>
        <v/>
      </c>
      <c r="N160" s="1336">
        <f>'Departmental Expenses'!K34</f>
        <v/>
      </c>
      <c r="O160" s="1336">
        <f>'Departmental Expenses'!L34</f>
        <v/>
      </c>
      <c r="P160" s="1336">
        <f>'Departmental Expenses'!M34</f>
        <v/>
      </c>
      <c r="Q160" s="1336">
        <f>'Departmental Expenses'!N34</f>
        <v/>
      </c>
      <c r="R160" s="1336">
        <f>'Departmental Expenses'!O34</f>
        <v/>
      </c>
      <c r="S160" s="1403">
        <f>SUM(G160:R160)</f>
        <v/>
      </c>
      <c r="T160" s="248" t="n"/>
      <c r="U160" s="1336">
        <f>'Departmental Expenses'!R34</f>
        <v/>
      </c>
      <c r="V160" s="1336">
        <f>'Departmental Expenses'!S34</f>
        <v/>
      </c>
      <c r="W160" s="1336">
        <f>'Departmental Expenses'!T34</f>
        <v/>
      </c>
      <c r="X160" s="1336">
        <f>'Departmental Expenses'!U34</f>
        <v/>
      </c>
      <c r="Y160" s="1336">
        <f>'Departmental Expenses'!V34</f>
        <v/>
      </c>
      <c r="Z160" s="1336">
        <f>'Departmental Expenses'!W34</f>
        <v/>
      </c>
      <c r="AA160" s="1336">
        <f>'Departmental Expenses'!X34</f>
        <v/>
      </c>
      <c r="AB160" s="1336">
        <f>'Departmental Expenses'!Y34</f>
        <v/>
      </c>
      <c r="AC160" s="1336">
        <f>'Departmental Expenses'!Z34</f>
        <v/>
      </c>
      <c r="AD160" s="1336">
        <f>'Departmental Expenses'!AA34</f>
        <v/>
      </c>
      <c r="AE160" s="1336">
        <f>'Departmental Expenses'!AB34</f>
        <v/>
      </c>
      <c r="AF160" s="1336">
        <f>'Departmental Expenses'!AC34</f>
        <v/>
      </c>
      <c r="AG160" s="1403">
        <f>SUM(U160:AF160)</f>
        <v/>
      </c>
      <c r="AH160" s="248" t="n"/>
      <c r="AI160" s="1336">
        <f>'Departmental Expenses'!AF34</f>
        <v/>
      </c>
      <c r="AJ160" s="1336">
        <f>'Departmental Expenses'!AG34</f>
        <v/>
      </c>
      <c r="AK160" s="1336">
        <f>'Departmental Expenses'!AH34</f>
        <v/>
      </c>
      <c r="AL160" s="1336">
        <f>'Departmental Expenses'!AI34</f>
        <v/>
      </c>
      <c r="AM160" s="1336">
        <f>'Departmental Expenses'!AJ34</f>
        <v/>
      </c>
      <c r="AN160" s="1336">
        <f>'Departmental Expenses'!AK34</f>
        <v/>
      </c>
      <c r="AO160" s="1336">
        <f>'Departmental Expenses'!AL34</f>
        <v/>
      </c>
      <c r="AP160" s="1336">
        <f>'Departmental Expenses'!AM34</f>
        <v/>
      </c>
      <c r="AQ160" s="1336">
        <f>'Departmental Expenses'!AN34</f>
        <v/>
      </c>
      <c r="AR160" s="1336">
        <f>'Departmental Expenses'!AO34</f>
        <v/>
      </c>
      <c r="AS160" s="1336">
        <f>'Departmental Expenses'!AP34</f>
        <v/>
      </c>
      <c r="AT160" s="1336">
        <f>'Departmental Expenses'!AQ34</f>
        <v/>
      </c>
      <c r="AU160" s="1403">
        <f>SUM(AI160:AT160)</f>
        <v/>
      </c>
      <c r="AW160" s="1336">
        <f>'Departmental Expenses'!AT34</f>
        <v/>
      </c>
      <c r="AX160" s="1336">
        <f>'Departmental Expenses'!AU34</f>
        <v/>
      </c>
      <c r="AY160" s="1336">
        <f>'Departmental Expenses'!AV34</f>
        <v/>
      </c>
      <c r="AZ160" s="1336">
        <f>'Departmental Expenses'!AW34</f>
        <v/>
      </c>
      <c r="BA160" s="1336">
        <f>'Departmental Expenses'!AX34</f>
        <v/>
      </c>
      <c r="BB160" s="1336">
        <f>'Departmental Expenses'!AY34</f>
        <v/>
      </c>
      <c r="BC160" s="1336">
        <f>'Departmental Expenses'!AZ34</f>
        <v/>
      </c>
      <c r="BD160" s="1336">
        <f>'Departmental Expenses'!BA34</f>
        <v/>
      </c>
      <c r="BE160" s="1336">
        <f>'Departmental Expenses'!BB34</f>
        <v/>
      </c>
      <c r="BF160" s="1336">
        <f>'Departmental Expenses'!BC34</f>
        <v/>
      </c>
      <c r="BG160" s="1336">
        <f>'Departmental Expenses'!BD34</f>
        <v/>
      </c>
      <c r="BH160" s="1336">
        <f>'Departmental Expenses'!BE34</f>
        <v/>
      </c>
      <c r="BI160" s="1403">
        <f>SUM(AW160:BH160)</f>
        <v/>
      </c>
    </row>
    <row r="161" outlineLevel="1" ht="20" customHeight="1">
      <c r="A161" s="441" t="n"/>
      <c r="B161" s="402">
        <f>'Departmental Expenses'!A35</f>
        <v/>
      </c>
      <c r="C161" s="1368" t="inlineStr">
        <is>
          <t xml:space="preserve"> </t>
        </is>
      </c>
      <c r="D161" s="1364" t="n"/>
      <c r="E161" s="1365" t="n"/>
      <c r="F161" s="1370" t="n"/>
      <c r="G161" s="1336">
        <f>'Departmental Expenses'!D35</f>
        <v/>
      </c>
      <c r="H161" s="1336">
        <f>'Departmental Expenses'!E35</f>
        <v/>
      </c>
      <c r="I161" s="1336">
        <f>'Departmental Expenses'!F35</f>
        <v/>
      </c>
      <c r="J161" s="1336">
        <f>'Departmental Expenses'!G35</f>
        <v/>
      </c>
      <c r="K161" s="1336">
        <f>'Departmental Expenses'!H35</f>
        <v/>
      </c>
      <c r="L161" s="1336">
        <f>'Departmental Expenses'!I35</f>
        <v/>
      </c>
      <c r="M161" s="1336">
        <f>'Departmental Expenses'!J35</f>
        <v/>
      </c>
      <c r="N161" s="1336">
        <f>'Departmental Expenses'!K35</f>
        <v/>
      </c>
      <c r="O161" s="1336">
        <f>'Departmental Expenses'!L35</f>
        <v/>
      </c>
      <c r="P161" s="1336">
        <f>'Departmental Expenses'!M35</f>
        <v/>
      </c>
      <c r="Q161" s="1336">
        <f>'Departmental Expenses'!N35</f>
        <v/>
      </c>
      <c r="R161" s="1336">
        <f>'Departmental Expenses'!O35</f>
        <v/>
      </c>
      <c r="S161" s="1403">
        <f>SUM(G161:R161)</f>
        <v/>
      </c>
      <c r="T161" s="248" t="n"/>
      <c r="U161" s="1336">
        <f>'Departmental Expenses'!R35</f>
        <v/>
      </c>
      <c r="V161" s="1336">
        <f>'Departmental Expenses'!S35</f>
        <v/>
      </c>
      <c r="W161" s="1336">
        <f>'Departmental Expenses'!T35</f>
        <v/>
      </c>
      <c r="X161" s="1336">
        <f>'Departmental Expenses'!U35</f>
        <v/>
      </c>
      <c r="Y161" s="1336">
        <f>'Departmental Expenses'!V35</f>
        <v/>
      </c>
      <c r="Z161" s="1336">
        <f>'Departmental Expenses'!W35</f>
        <v/>
      </c>
      <c r="AA161" s="1336">
        <f>'Departmental Expenses'!X35</f>
        <v/>
      </c>
      <c r="AB161" s="1336">
        <f>'Departmental Expenses'!Y35</f>
        <v/>
      </c>
      <c r="AC161" s="1336">
        <f>'Departmental Expenses'!Z35</f>
        <v/>
      </c>
      <c r="AD161" s="1336">
        <f>'Departmental Expenses'!AA35</f>
        <v/>
      </c>
      <c r="AE161" s="1336">
        <f>'Departmental Expenses'!AB35</f>
        <v/>
      </c>
      <c r="AF161" s="1336">
        <f>'Departmental Expenses'!AC35</f>
        <v/>
      </c>
      <c r="AG161" s="1403">
        <f>SUM(U161:AF161)</f>
        <v/>
      </c>
      <c r="AH161" s="248" t="n"/>
      <c r="AI161" s="1336">
        <f>'Departmental Expenses'!AF35</f>
        <v/>
      </c>
      <c r="AJ161" s="1336">
        <f>'Departmental Expenses'!AG35</f>
        <v/>
      </c>
      <c r="AK161" s="1336">
        <f>'Departmental Expenses'!AH35</f>
        <v/>
      </c>
      <c r="AL161" s="1336">
        <f>'Departmental Expenses'!AI35</f>
        <v/>
      </c>
      <c r="AM161" s="1336">
        <f>'Departmental Expenses'!AJ35</f>
        <v/>
      </c>
      <c r="AN161" s="1336">
        <f>'Departmental Expenses'!AK35</f>
        <v/>
      </c>
      <c r="AO161" s="1336">
        <f>'Departmental Expenses'!AL35</f>
        <v/>
      </c>
      <c r="AP161" s="1336">
        <f>'Departmental Expenses'!AM35</f>
        <v/>
      </c>
      <c r="AQ161" s="1336">
        <f>'Departmental Expenses'!AN35</f>
        <v/>
      </c>
      <c r="AR161" s="1336">
        <f>'Departmental Expenses'!AO35</f>
        <v/>
      </c>
      <c r="AS161" s="1336">
        <f>'Departmental Expenses'!AP35</f>
        <v/>
      </c>
      <c r="AT161" s="1336">
        <f>'Departmental Expenses'!AQ35</f>
        <v/>
      </c>
      <c r="AU161" s="1403">
        <f>SUM(AI161:AT161)</f>
        <v/>
      </c>
      <c r="AW161" s="1336">
        <f>'Departmental Expenses'!AT35</f>
        <v/>
      </c>
      <c r="AX161" s="1336">
        <f>'Departmental Expenses'!AU35</f>
        <v/>
      </c>
      <c r="AY161" s="1336">
        <f>'Departmental Expenses'!AV35</f>
        <v/>
      </c>
      <c r="AZ161" s="1336">
        <f>'Departmental Expenses'!AW35</f>
        <v/>
      </c>
      <c r="BA161" s="1336">
        <f>'Departmental Expenses'!AX35</f>
        <v/>
      </c>
      <c r="BB161" s="1336">
        <f>'Departmental Expenses'!AY35</f>
        <v/>
      </c>
      <c r="BC161" s="1336">
        <f>'Departmental Expenses'!AZ35</f>
        <v/>
      </c>
      <c r="BD161" s="1336">
        <f>'Departmental Expenses'!BA35</f>
        <v/>
      </c>
      <c r="BE161" s="1336">
        <f>'Departmental Expenses'!BB35</f>
        <v/>
      </c>
      <c r="BF161" s="1336">
        <f>'Departmental Expenses'!BC35</f>
        <v/>
      </c>
      <c r="BG161" s="1336">
        <f>'Departmental Expenses'!BD35</f>
        <v/>
      </c>
      <c r="BH161" s="1336">
        <f>'Departmental Expenses'!BE35</f>
        <v/>
      </c>
      <c r="BI161" s="1403">
        <f>SUM(AW161:BH161)</f>
        <v/>
      </c>
    </row>
    <row r="162" outlineLevel="1" ht="20" customHeight="1">
      <c r="A162" s="441" t="n"/>
      <c r="B162" s="402">
        <f>'Departmental Expenses'!A36</f>
        <v/>
      </c>
      <c r="C162" s="1368" t="inlineStr">
        <is>
          <t xml:space="preserve"> </t>
        </is>
      </c>
      <c r="D162" s="1364" t="n"/>
      <c r="E162" s="1365" t="n"/>
      <c r="F162" s="1370" t="n"/>
      <c r="G162" s="1336">
        <f>'Departmental Expenses'!D36</f>
        <v/>
      </c>
      <c r="H162" s="1336">
        <f>'Departmental Expenses'!E36</f>
        <v/>
      </c>
      <c r="I162" s="1336">
        <f>'Departmental Expenses'!F36</f>
        <v/>
      </c>
      <c r="J162" s="1336">
        <f>'Departmental Expenses'!G36</f>
        <v/>
      </c>
      <c r="K162" s="1336">
        <f>'Departmental Expenses'!H36</f>
        <v/>
      </c>
      <c r="L162" s="1336">
        <f>'Departmental Expenses'!I36</f>
        <v/>
      </c>
      <c r="M162" s="1336">
        <f>'Departmental Expenses'!J36</f>
        <v/>
      </c>
      <c r="N162" s="1336">
        <f>'Departmental Expenses'!K36</f>
        <v/>
      </c>
      <c r="O162" s="1336">
        <f>'Departmental Expenses'!L36</f>
        <v/>
      </c>
      <c r="P162" s="1336">
        <f>'Departmental Expenses'!M36</f>
        <v/>
      </c>
      <c r="Q162" s="1336">
        <f>'Departmental Expenses'!N36</f>
        <v/>
      </c>
      <c r="R162" s="1336">
        <f>'Departmental Expenses'!O36</f>
        <v/>
      </c>
      <c r="S162" s="1403">
        <f>SUM(G162:R162)</f>
        <v/>
      </c>
      <c r="T162" s="248" t="n"/>
      <c r="U162" s="1336">
        <f>'Departmental Expenses'!R36</f>
        <v/>
      </c>
      <c r="V162" s="1336">
        <f>'Departmental Expenses'!S36</f>
        <v/>
      </c>
      <c r="W162" s="1336">
        <f>'Departmental Expenses'!T36</f>
        <v/>
      </c>
      <c r="X162" s="1336">
        <f>'Departmental Expenses'!U36</f>
        <v/>
      </c>
      <c r="Y162" s="1336">
        <f>'Departmental Expenses'!V36</f>
        <v/>
      </c>
      <c r="Z162" s="1336">
        <f>'Departmental Expenses'!W36</f>
        <v/>
      </c>
      <c r="AA162" s="1336">
        <f>'Departmental Expenses'!X36</f>
        <v/>
      </c>
      <c r="AB162" s="1336">
        <f>'Departmental Expenses'!Y36</f>
        <v/>
      </c>
      <c r="AC162" s="1336">
        <f>'Departmental Expenses'!Z36</f>
        <v/>
      </c>
      <c r="AD162" s="1336">
        <f>'Departmental Expenses'!AA36</f>
        <v/>
      </c>
      <c r="AE162" s="1336">
        <f>'Departmental Expenses'!AB36</f>
        <v/>
      </c>
      <c r="AF162" s="1336">
        <f>'Departmental Expenses'!AC36</f>
        <v/>
      </c>
      <c r="AG162" s="1403">
        <f>SUM(U162:AF162)</f>
        <v/>
      </c>
      <c r="AH162" s="248" t="n"/>
      <c r="AI162" s="1336">
        <f>'Departmental Expenses'!AF36</f>
        <v/>
      </c>
      <c r="AJ162" s="1336">
        <f>'Departmental Expenses'!AG36</f>
        <v/>
      </c>
      <c r="AK162" s="1336">
        <f>'Departmental Expenses'!AH36</f>
        <v/>
      </c>
      <c r="AL162" s="1336">
        <f>'Departmental Expenses'!AI36</f>
        <v/>
      </c>
      <c r="AM162" s="1336">
        <f>'Departmental Expenses'!AJ36</f>
        <v/>
      </c>
      <c r="AN162" s="1336">
        <f>'Departmental Expenses'!AK36</f>
        <v/>
      </c>
      <c r="AO162" s="1336">
        <f>'Departmental Expenses'!AL36</f>
        <v/>
      </c>
      <c r="AP162" s="1336">
        <f>'Departmental Expenses'!AM36</f>
        <v/>
      </c>
      <c r="AQ162" s="1336">
        <f>'Departmental Expenses'!AN36</f>
        <v/>
      </c>
      <c r="AR162" s="1336">
        <f>'Departmental Expenses'!AO36</f>
        <v/>
      </c>
      <c r="AS162" s="1336">
        <f>'Departmental Expenses'!AP36</f>
        <v/>
      </c>
      <c r="AT162" s="1336">
        <f>'Departmental Expenses'!AQ36</f>
        <v/>
      </c>
      <c r="AU162" s="1403">
        <f>SUM(AI162:AT162)</f>
        <v/>
      </c>
      <c r="AW162" s="1336">
        <f>'Departmental Expenses'!AT36</f>
        <v/>
      </c>
      <c r="AX162" s="1336">
        <f>'Departmental Expenses'!AU36</f>
        <v/>
      </c>
      <c r="AY162" s="1336">
        <f>'Departmental Expenses'!AV36</f>
        <v/>
      </c>
      <c r="AZ162" s="1336">
        <f>'Departmental Expenses'!AW36</f>
        <v/>
      </c>
      <c r="BA162" s="1336">
        <f>'Departmental Expenses'!AX36</f>
        <v/>
      </c>
      <c r="BB162" s="1336">
        <f>'Departmental Expenses'!AY36</f>
        <v/>
      </c>
      <c r="BC162" s="1336">
        <f>'Departmental Expenses'!AZ36</f>
        <v/>
      </c>
      <c r="BD162" s="1336">
        <f>'Departmental Expenses'!BA36</f>
        <v/>
      </c>
      <c r="BE162" s="1336">
        <f>'Departmental Expenses'!BB36</f>
        <v/>
      </c>
      <c r="BF162" s="1336">
        <f>'Departmental Expenses'!BC36</f>
        <v/>
      </c>
      <c r="BG162" s="1336">
        <f>'Departmental Expenses'!BD36</f>
        <v/>
      </c>
      <c r="BH162" s="1336">
        <f>'Departmental Expenses'!BE36</f>
        <v/>
      </c>
      <c r="BI162" s="1403">
        <f>SUM(AW162:BH162)</f>
        <v/>
      </c>
    </row>
    <row r="163" outlineLevel="1" ht="20" customHeight="1">
      <c r="A163" s="441" t="n"/>
      <c r="B163" s="402">
        <f>'Departmental Expenses'!A37</f>
        <v/>
      </c>
      <c r="C163" s="1368" t="inlineStr">
        <is>
          <t xml:space="preserve"> </t>
        </is>
      </c>
      <c r="D163" s="1364" t="n"/>
      <c r="E163" s="1365" t="n"/>
      <c r="F163" s="1370" t="n"/>
      <c r="G163" s="1336">
        <f>'Departmental Expenses'!D37</f>
        <v/>
      </c>
      <c r="H163" s="1336">
        <f>'Departmental Expenses'!E37</f>
        <v/>
      </c>
      <c r="I163" s="1336">
        <f>'Departmental Expenses'!F37</f>
        <v/>
      </c>
      <c r="J163" s="1336">
        <f>'Departmental Expenses'!G37</f>
        <v/>
      </c>
      <c r="K163" s="1336">
        <f>'Departmental Expenses'!H37</f>
        <v/>
      </c>
      <c r="L163" s="1336">
        <f>'Departmental Expenses'!I37</f>
        <v/>
      </c>
      <c r="M163" s="1336">
        <f>'Departmental Expenses'!J37</f>
        <v/>
      </c>
      <c r="N163" s="1336">
        <f>'Departmental Expenses'!K37</f>
        <v/>
      </c>
      <c r="O163" s="1336">
        <f>'Departmental Expenses'!L37</f>
        <v/>
      </c>
      <c r="P163" s="1336">
        <f>'Departmental Expenses'!M37</f>
        <v/>
      </c>
      <c r="Q163" s="1336">
        <f>'Departmental Expenses'!N37</f>
        <v/>
      </c>
      <c r="R163" s="1336">
        <f>'Departmental Expenses'!O37</f>
        <v/>
      </c>
      <c r="S163" s="1403">
        <f>SUM(G163:R163)</f>
        <v/>
      </c>
      <c r="T163" s="248" t="n"/>
      <c r="U163" s="1336">
        <f>'Departmental Expenses'!R37</f>
        <v/>
      </c>
      <c r="V163" s="1336">
        <f>'Departmental Expenses'!S37</f>
        <v/>
      </c>
      <c r="W163" s="1336">
        <f>'Departmental Expenses'!T37</f>
        <v/>
      </c>
      <c r="X163" s="1336">
        <f>'Departmental Expenses'!U37</f>
        <v/>
      </c>
      <c r="Y163" s="1336">
        <f>'Departmental Expenses'!V37</f>
        <v/>
      </c>
      <c r="Z163" s="1336">
        <f>'Departmental Expenses'!W37</f>
        <v/>
      </c>
      <c r="AA163" s="1336">
        <f>'Departmental Expenses'!X37</f>
        <v/>
      </c>
      <c r="AB163" s="1336">
        <f>'Departmental Expenses'!Y37</f>
        <v/>
      </c>
      <c r="AC163" s="1336">
        <f>'Departmental Expenses'!Z37</f>
        <v/>
      </c>
      <c r="AD163" s="1336">
        <f>'Departmental Expenses'!AA37</f>
        <v/>
      </c>
      <c r="AE163" s="1336">
        <f>'Departmental Expenses'!AB37</f>
        <v/>
      </c>
      <c r="AF163" s="1336">
        <f>'Departmental Expenses'!AC37</f>
        <v/>
      </c>
      <c r="AG163" s="1403">
        <f>SUM(U163:AF163)</f>
        <v/>
      </c>
      <c r="AH163" s="248" t="n"/>
      <c r="AI163" s="1336">
        <f>'Departmental Expenses'!AF37</f>
        <v/>
      </c>
      <c r="AJ163" s="1336">
        <f>'Departmental Expenses'!AG37</f>
        <v/>
      </c>
      <c r="AK163" s="1336">
        <f>'Departmental Expenses'!AH37</f>
        <v/>
      </c>
      <c r="AL163" s="1336">
        <f>'Departmental Expenses'!AI37</f>
        <v/>
      </c>
      <c r="AM163" s="1336">
        <f>'Departmental Expenses'!AJ37</f>
        <v/>
      </c>
      <c r="AN163" s="1336">
        <f>'Departmental Expenses'!AK37</f>
        <v/>
      </c>
      <c r="AO163" s="1336">
        <f>'Departmental Expenses'!AL37</f>
        <v/>
      </c>
      <c r="AP163" s="1336">
        <f>'Departmental Expenses'!AM37</f>
        <v/>
      </c>
      <c r="AQ163" s="1336">
        <f>'Departmental Expenses'!AN37</f>
        <v/>
      </c>
      <c r="AR163" s="1336">
        <f>'Departmental Expenses'!AO37</f>
        <v/>
      </c>
      <c r="AS163" s="1336">
        <f>'Departmental Expenses'!AP37</f>
        <v/>
      </c>
      <c r="AT163" s="1336">
        <f>'Departmental Expenses'!AQ37</f>
        <v/>
      </c>
      <c r="AU163" s="1403">
        <f>SUM(AI163:AT163)</f>
        <v/>
      </c>
      <c r="AW163" s="1336">
        <f>'Departmental Expenses'!AT37</f>
        <v/>
      </c>
      <c r="AX163" s="1336">
        <f>'Departmental Expenses'!AU37</f>
        <v/>
      </c>
      <c r="AY163" s="1336">
        <f>'Departmental Expenses'!AV37</f>
        <v/>
      </c>
      <c r="AZ163" s="1336">
        <f>'Departmental Expenses'!AW37</f>
        <v/>
      </c>
      <c r="BA163" s="1336">
        <f>'Departmental Expenses'!AX37</f>
        <v/>
      </c>
      <c r="BB163" s="1336">
        <f>'Departmental Expenses'!AY37</f>
        <v/>
      </c>
      <c r="BC163" s="1336">
        <f>'Departmental Expenses'!AZ37</f>
        <v/>
      </c>
      <c r="BD163" s="1336">
        <f>'Departmental Expenses'!BA37</f>
        <v/>
      </c>
      <c r="BE163" s="1336">
        <f>'Departmental Expenses'!BB37</f>
        <v/>
      </c>
      <c r="BF163" s="1336">
        <f>'Departmental Expenses'!BC37</f>
        <v/>
      </c>
      <c r="BG163" s="1336">
        <f>'Departmental Expenses'!BD37</f>
        <v/>
      </c>
      <c r="BH163" s="1336">
        <f>'Departmental Expenses'!BE37</f>
        <v/>
      </c>
      <c r="BI163" s="1403">
        <f>SUM(AW163:BH163)</f>
        <v/>
      </c>
    </row>
    <row r="164" outlineLevel="1" ht="20" customHeight="1">
      <c r="A164" s="441" t="n"/>
      <c r="B164" s="400">
        <f>'Departmental Expenses'!A38</f>
        <v/>
      </c>
      <c r="C164" s="1368" t="inlineStr">
        <is>
          <t xml:space="preserve"> </t>
        </is>
      </c>
      <c r="D164" s="1364" t="n"/>
      <c r="E164" s="1365" t="n"/>
      <c r="F164" s="1370" t="n"/>
      <c r="G164" s="1336">
        <f>'Departmental Expenses'!D38</f>
        <v/>
      </c>
      <c r="H164" s="1336">
        <f>'Departmental Expenses'!E38</f>
        <v/>
      </c>
      <c r="I164" s="1336">
        <f>'Departmental Expenses'!F38</f>
        <v/>
      </c>
      <c r="J164" s="1336">
        <f>'Departmental Expenses'!G38</f>
        <v/>
      </c>
      <c r="K164" s="1336">
        <f>'Departmental Expenses'!H38</f>
        <v/>
      </c>
      <c r="L164" s="1336">
        <f>'Departmental Expenses'!I38</f>
        <v/>
      </c>
      <c r="M164" s="1336">
        <f>'Departmental Expenses'!J38</f>
        <v/>
      </c>
      <c r="N164" s="1336">
        <f>'Departmental Expenses'!K38</f>
        <v/>
      </c>
      <c r="O164" s="1336">
        <f>'Departmental Expenses'!L38</f>
        <v/>
      </c>
      <c r="P164" s="1336">
        <f>'Departmental Expenses'!M38</f>
        <v/>
      </c>
      <c r="Q164" s="1336">
        <f>'Departmental Expenses'!N38</f>
        <v/>
      </c>
      <c r="R164" s="1336">
        <f>'Departmental Expenses'!O38</f>
        <v/>
      </c>
      <c r="S164" s="1403">
        <f>SUM(G164:R164)</f>
        <v/>
      </c>
      <c r="T164" s="248" t="n"/>
      <c r="U164" s="1336">
        <f>'Departmental Expenses'!R38</f>
        <v/>
      </c>
      <c r="V164" s="1336">
        <f>'Departmental Expenses'!S38</f>
        <v/>
      </c>
      <c r="W164" s="1336">
        <f>'Departmental Expenses'!T38</f>
        <v/>
      </c>
      <c r="X164" s="1336">
        <f>'Departmental Expenses'!U38</f>
        <v/>
      </c>
      <c r="Y164" s="1336">
        <f>'Departmental Expenses'!V38</f>
        <v/>
      </c>
      <c r="Z164" s="1336">
        <f>'Departmental Expenses'!W38</f>
        <v/>
      </c>
      <c r="AA164" s="1336">
        <f>'Departmental Expenses'!X38</f>
        <v/>
      </c>
      <c r="AB164" s="1336">
        <f>'Departmental Expenses'!Y38</f>
        <v/>
      </c>
      <c r="AC164" s="1336">
        <f>'Departmental Expenses'!Z38</f>
        <v/>
      </c>
      <c r="AD164" s="1336">
        <f>'Departmental Expenses'!AA38</f>
        <v/>
      </c>
      <c r="AE164" s="1336">
        <f>'Departmental Expenses'!AB38</f>
        <v/>
      </c>
      <c r="AF164" s="1336">
        <f>'Departmental Expenses'!AC38</f>
        <v/>
      </c>
      <c r="AG164" s="1403">
        <f>SUM(U164:AF164)</f>
        <v/>
      </c>
      <c r="AH164" s="248" t="n"/>
      <c r="AI164" s="1336">
        <f>'Departmental Expenses'!AF38</f>
        <v/>
      </c>
      <c r="AJ164" s="1336">
        <f>'Departmental Expenses'!AG38</f>
        <v/>
      </c>
      <c r="AK164" s="1336">
        <f>'Departmental Expenses'!AH38</f>
        <v/>
      </c>
      <c r="AL164" s="1336">
        <f>'Departmental Expenses'!AI38</f>
        <v/>
      </c>
      <c r="AM164" s="1336">
        <f>'Departmental Expenses'!AJ38</f>
        <v/>
      </c>
      <c r="AN164" s="1336">
        <f>'Departmental Expenses'!AK38</f>
        <v/>
      </c>
      <c r="AO164" s="1336">
        <f>'Departmental Expenses'!AL38</f>
        <v/>
      </c>
      <c r="AP164" s="1336">
        <f>'Departmental Expenses'!AM38</f>
        <v/>
      </c>
      <c r="AQ164" s="1336">
        <f>'Departmental Expenses'!AN38</f>
        <v/>
      </c>
      <c r="AR164" s="1336">
        <f>'Departmental Expenses'!AO38</f>
        <v/>
      </c>
      <c r="AS164" s="1336">
        <f>'Departmental Expenses'!AP38</f>
        <v/>
      </c>
      <c r="AT164" s="1336">
        <f>'Departmental Expenses'!AQ38</f>
        <v/>
      </c>
      <c r="AU164" s="1403">
        <f>SUM(AI164:AT164)</f>
        <v/>
      </c>
      <c r="AW164" s="1336">
        <f>'Departmental Expenses'!AT38</f>
        <v/>
      </c>
      <c r="AX164" s="1336">
        <f>'Departmental Expenses'!AU38</f>
        <v/>
      </c>
      <c r="AY164" s="1336">
        <f>'Departmental Expenses'!AV38</f>
        <v/>
      </c>
      <c r="AZ164" s="1336">
        <f>'Departmental Expenses'!AW38</f>
        <v/>
      </c>
      <c r="BA164" s="1336">
        <f>'Departmental Expenses'!AX38</f>
        <v/>
      </c>
      <c r="BB164" s="1336">
        <f>'Departmental Expenses'!AY38</f>
        <v/>
      </c>
      <c r="BC164" s="1336">
        <f>'Departmental Expenses'!AZ38</f>
        <v/>
      </c>
      <c r="BD164" s="1336">
        <f>'Departmental Expenses'!BA38</f>
        <v/>
      </c>
      <c r="BE164" s="1336">
        <f>'Departmental Expenses'!BB38</f>
        <v/>
      </c>
      <c r="BF164" s="1336">
        <f>'Departmental Expenses'!BC38</f>
        <v/>
      </c>
      <c r="BG164" s="1336">
        <f>'Departmental Expenses'!BD38</f>
        <v/>
      </c>
      <c r="BH164" s="1336">
        <f>'Departmental Expenses'!BE38</f>
        <v/>
      </c>
      <c r="BI164" s="1403">
        <f>SUM(AW164:BH164)</f>
        <v/>
      </c>
    </row>
    <row r="165" outlineLevel="1" ht="20" customHeight="1">
      <c r="A165" s="441" t="n"/>
      <c r="B165" s="375">
        <f>'Departmental Expenses'!A39</f>
        <v/>
      </c>
      <c r="C165" s="1368" t="inlineStr">
        <is>
          <t xml:space="preserve"> </t>
        </is>
      </c>
      <c r="D165" s="1364" t="n"/>
      <c r="E165" s="1365" t="n"/>
      <c r="F165" s="1370" t="n"/>
      <c r="G165" s="1336">
        <f>'Departmental Expenses'!D39</f>
        <v/>
      </c>
      <c r="H165" s="1336">
        <f>'Departmental Expenses'!E39</f>
        <v/>
      </c>
      <c r="I165" s="1336">
        <f>'Departmental Expenses'!F39</f>
        <v/>
      </c>
      <c r="J165" s="1336">
        <f>'Departmental Expenses'!G39</f>
        <v/>
      </c>
      <c r="K165" s="1336">
        <f>'Departmental Expenses'!H39</f>
        <v/>
      </c>
      <c r="L165" s="1336">
        <f>'Departmental Expenses'!I39</f>
        <v/>
      </c>
      <c r="M165" s="1336">
        <f>'Departmental Expenses'!J39</f>
        <v/>
      </c>
      <c r="N165" s="1336">
        <f>'Departmental Expenses'!K39</f>
        <v/>
      </c>
      <c r="O165" s="1336">
        <f>'Departmental Expenses'!L39</f>
        <v/>
      </c>
      <c r="P165" s="1336">
        <f>'Departmental Expenses'!M39</f>
        <v/>
      </c>
      <c r="Q165" s="1336">
        <f>'Departmental Expenses'!N39</f>
        <v/>
      </c>
      <c r="R165" s="1336">
        <f>'Departmental Expenses'!O39</f>
        <v/>
      </c>
      <c r="S165" s="1403">
        <f>SUM(G165:R165)</f>
        <v/>
      </c>
      <c r="T165" s="248" t="n"/>
      <c r="U165" s="1336">
        <f>'Departmental Expenses'!R39</f>
        <v/>
      </c>
      <c r="V165" s="1336">
        <f>'Departmental Expenses'!S39</f>
        <v/>
      </c>
      <c r="W165" s="1336">
        <f>'Departmental Expenses'!T39</f>
        <v/>
      </c>
      <c r="X165" s="1336">
        <f>'Departmental Expenses'!U39</f>
        <v/>
      </c>
      <c r="Y165" s="1336">
        <f>'Departmental Expenses'!V39</f>
        <v/>
      </c>
      <c r="Z165" s="1336">
        <f>'Departmental Expenses'!W39</f>
        <v/>
      </c>
      <c r="AA165" s="1336">
        <f>'Departmental Expenses'!X39</f>
        <v/>
      </c>
      <c r="AB165" s="1336">
        <f>'Departmental Expenses'!Y39</f>
        <v/>
      </c>
      <c r="AC165" s="1336">
        <f>'Departmental Expenses'!Z39</f>
        <v/>
      </c>
      <c r="AD165" s="1336">
        <f>'Departmental Expenses'!AA39</f>
        <v/>
      </c>
      <c r="AE165" s="1336">
        <f>'Departmental Expenses'!AB39</f>
        <v/>
      </c>
      <c r="AF165" s="1336">
        <f>'Departmental Expenses'!AC39</f>
        <v/>
      </c>
      <c r="AG165" s="1403">
        <f>SUM(U165:AF165)</f>
        <v/>
      </c>
      <c r="AH165" s="248" t="n"/>
      <c r="AI165" s="1336">
        <f>'Departmental Expenses'!AF39</f>
        <v/>
      </c>
      <c r="AJ165" s="1336">
        <f>'Departmental Expenses'!AG39</f>
        <v/>
      </c>
      <c r="AK165" s="1336">
        <f>'Departmental Expenses'!AH39</f>
        <v/>
      </c>
      <c r="AL165" s="1336">
        <f>'Departmental Expenses'!AI39</f>
        <v/>
      </c>
      <c r="AM165" s="1336">
        <f>'Departmental Expenses'!AJ39</f>
        <v/>
      </c>
      <c r="AN165" s="1336">
        <f>'Departmental Expenses'!AK39</f>
        <v/>
      </c>
      <c r="AO165" s="1336">
        <f>'Departmental Expenses'!AL39</f>
        <v/>
      </c>
      <c r="AP165" s="1336">
        <f>'Departmental Expenses'!AM39</f>
        <v/>
      </c>
      <c r="AQ165" s="1336">
        <f>'Departmental Expenses'!AN39</f>
        <v/>
      </c>
      <c r="AR165" s="1336">
        <f>'Departmental Expenses'!AO39</f>
        <v/>
      </c>
      <c r="AS165" s="1336">
        <f>'Departmental Expenses'!AP39</f>
        <v/>
      </c>
      <c r="AT165" s="1336">
        <f>'Departmental Expenses'!AQ39</f>
        <v/>
      </c>
      <c r="AU165" s="1403">
        <f>SUM(AI165:AT165)</f>
        <v/>
      </c>
      <c r="AW165" s="1336">
        <f>'Departmental Expenses'!AT39</f>
        <v/>
      </c>
      <c r="AX165" s="1336">
        <f>'Departmental Expenses'!AU39</f>
        <v/>
      </c>
      <c r="AY165" s="1336">
        <f>'Departmental Expenses'!AV39</f>
        <v/>
      </c>
      <c r="AZ165" s="1336">
        <f>'Departmental Expenses'!AW39</f>
        <v/>
      </c>
      <c r="BA165" s="1336">
        <f>'Departmental Expenses'!AX39</f>
        <v/>
      </c>
      <c r="BB165" s="1336">
        <f>'Departmental Expenses'!AY39</f>
        <v/>
      </c>
      <c r="BC165" s="1336">
        <f>'Departmental Expenses'!AZ39</f>
        <v/>
      </c>
      <c r="BD165" s="1336">
        <f>'Departmental Expenses'!BA39</f>
        <v/>
      </c>
      <c r="BE165" s="1336">
        <f>'Departmental Expenses'!BB39</f>
        <v/>
      </c>
      <c r="BF165" s="1336">
        <f>'Departmental Expenses'!BC39</f>
        <v/>
      </c>
      <c r="BG165" s="1336">
        <f>'Departmental Expenses'!BD39</f>
        <v/>
      </c>
      <c r="BH165" s="1336">
        <f>'Departmental Expenses'!BE39</f>
        <v/>
      </c>
      <c r="BI165" s="1403">
        <f>SUM(AW165:BH165)</f>
        <v/>
      </c>
    </row>
    <row r="166" outlineLevel="1" ht="20" customHeight="1">
      <c r="A166" s="441" t="n"/>
      <c r="B166" s="402">
        <f>'Departmental Expenses'!A40</f>
        <v/>
      </c>
      <c r="C166" s="1363" t="inlineStr">
        <is>
          <t xml:space="preserve"> </t>
        </is>
      </c>
      <c r="D166" s="1364" t="n"/>
      <c r="E166" s="1365" t="n"/>
      <c r="F166" s="1370" t="n"/>
      <c r="G166" s="1336">
        <f>'Departmental Expenses'!D40</f>
        <v/>
      </c>
      <c r="H166" s="1336">
        <f>'Departmental Expenses'!E40</f>
        <v/>
      </c>
      <c r="I166" s="1336">
        <f>'Departmental Expenses'!F40</f>
        <v/>
      </c>
      <c r="J166" s="1336">
        <f>'Departmental Expenses'!G40</f>
        <v/>
      </c>
      <c r="K166" s="1336">
        <f>'Departmental Expenses'!H40</f>
        <v/>
      </c>
      <c r="L166" s="1336">
        <f>'Departmental Expenses'!I40</f>
        <v/>
      </c>
      <c r="M166" s="1336">
        <f>'Departmental Expenses'!J40</f>
        <v/>
      </c>
      <c r="N166" s="1336">
        <f>'Departmental Expenses'!K40</f>
        <v/>
      </c>
      <c r="O166" s="1336">
        <f>'Departmental Expenses'!L40</f>
        <v/>
      </c>
      <c r="P166" s="1336">
        <f>'Departmental Expenses'!M40</f>
        <v/>
      </c>
      <c r="Q166" s="1336">
        <f>'Departmental Expenses'!N40</f>
        <v/>
      </c>
      <c r="R166" s="1336">
        <f>'Departmental Expenses'!O40</f>
        <v/>
      </c>
      <c r="S166" s="1403">
        <f>SUM(G166:R166)</f>
        <v/>
      </c>
      <c r="T166" s="248" t="n"/>
      <c r="U166" s="1336">
        <f>'Departmental Expenses'!R40</f>
        <v/>
      </c>
      <c r="V166" s="1336">
        <f>'Departmental Expenses'!S40</f>
        <v/>
      </c>
      <c r="W166" s="1336">
        <f>'Departmental Expenses'!T40</f>
        <v/>
      </c>
      <c r="X166" s="1336">
        <f>'Departmental Expenses'!U40</f>
        <v/>
      </c>
      <c r="Y166" s="1336">
        <f>'Departmental Expenses'!V40</f>
        <v/>
      </c>
      <c r="Z166" s="1336">
        <f>'Departmental Expenses'!W40</f>
        <v/>
      </c>
      <c r="AA166" s="1336">
        <f>'Departmental Expenses'!X40</f>
        <v/>
      </c>
      <c r="AB166" s="1336">
        <f>'Departmental Expenses'!Y40</f>
        <v/>
      </c>
      <c r="AC166" s="1336">
        <f>'Departmental Expenses'!Z40</f>
        <v/>
      </c>
      <c r="AD166" s="1336">
        <f>'Departmental Expenses'!AA40</f>
        <v/>
      </c>
      <c r="AE166" s="1336">
        <f>'Departmental Expenses'!AB40</f>
        <v/>
      </c>
      <c r="AF166" s="1336">
        <f>'Departmental Expenses'!AC40</f>
        <v/>
      </c>
      <c r="AG166" s="1403">
        <f>SUM(U166:AF166)</f>
        <v/>
      </c>
      <c r="AH166" s="248" t="n"/>
      <c r="AI166" s="1336">
        <f>'Departmental Expenses'!AF40</f>
        <v/>
      </c>
      <c r="AJ166" s="1336">
        <f>'Departmental Expenses'!AG40</f>
        <v/>
      </c>
      <c r="AK166" s="1336">
        <f>'Departmental Expenses'!AH40</f>
        <v/>
      </c>
      <c r="AL166" s="1336">
        <f>'Departmental Expenses'!AI40</f>
        <v/>
      </c>
      <c r="AM166" s="1336">
        <f>'Departmental Expenses'!AJ40</f>
        <v/>
      </c>
      <c r="AN166" s="1336">
        <f>'Departmental Expenses'!AK40</f>
        <v/>
      </c>
      <c r="AO166" s="1336">
        <f>'Departmental Expenses'!AL40</f>
        <v/>
      </c>
      <c r="AP166" s="1336">
        <f>'Departmental Expenses'!AM40</f>
        <v/>
      </c>
      <c r="AQ166" s="1336">
        <f>'Departmental Expenses'!AN40</f>
        <v/>
      </c>
      <c r="AR166" s="1336">
        <f>'Departmental Expenses'!AO40</f>
        <v/>
      </c>
      <c r="AS166" s="1336">
        <f>'Departmental Expenses'!AP40</f>
        <v/>
      </c>
      <c r="AT166" s="1336">
        <f>'Departmental Expenses'!AQ40</f>
        <v/>
      </c>
      <c r="AU166" s="1403">
        <f>SUM(AI166:AT166)</f>
        <v/>
      </c>
      <c r="AW166" s="1336">
        <f>'Departmental Expenses'!AT40</f>
        <v/>
      </c>
      <c r="AX166" s="1336">
        <f>'Departmental Expenses'!AU40</f>
        <v/>
      </c>
      <c r="AY166" s="1336">
        <f>'Departmental Expenses'!AV40</f>
        <v/>
      </c>
      <c r="AZ166" s="1336">
        <f>'Departmental Expenses'!AW40</f>
        <v/>
      </c>
      <c r="BA166" s="1336">
        <f>'Departmental Expenses'!AX40</f>
        <v/>
      </c>
      <c r="BB166" s="1336">
        <f>'Departmental Expenses'!AY40</f>
        <v/>
      </c>
      <c r="BC166" s="1336">
        <f>'Departmental Expenses'!AZ40</f>
        <v/>
      </c>
      <c r="BD166" s="1336">
        <f>'Departmental Expenses'!BA40</f>
        <v/>
      </c>
      <c r="BE166" s="1336">
        <f>'Departmental Expenses'!BB40</f>
        <v/>
      </c>
      <c r="BF166" s="1336">
        <f>'Departmental Expenses'!BC40</f>
        <v/>
      </c>
      <c r="BG166" s="1336">
        <f>'Departmental Expenses'!BD40</f>
        <v/>
      </c>
      <c r="BH166" s="1336">
        <f>'Departmental Expenses'!BE40</f>
        <v/>
      </c>
      <c r="BI166" s="1403">
        <f>SUM(AW166:BH166)</f>
        <v/>
      </c>
    </row>
    <row r="167" outlineLevel="1" ht="20" customHeight="1">
      <c r="A167" s="441" t="n"/>
      <c r="B167" s="402">
        <f>'Departmental Expenses'!A41</f>
        <v/>
      </c>
      <c r="C167" s="1368" t="inlineStr">
        <is>
          <t xml:space="preserve"> </t>
        </is>
      </c>
      <c r="D167" s="1364" t="n"/>
      <c r="E167" s="1365" t="n"/>
      <c r="F167" s="1370" t="n"/>
      <c r="G167" s="1336" t="n">
        <v>0</v>
      </c>
      <c r="H167" s="1336" t="n">
        <v>0</v>
      </c>
      <c r="I167" s="1336" t="n">
        <v>0</v>
      </c>
      <c r="J167" s="1336" t="n">
        <v>0</v>
      </c>
      <c r="K167" s="1336" t="n">
        <v>0</v>
      </c>
      <c r="L167" s="1336" t="n">
        <v>0</v>
      </c>
      <c r="M167" s="1336" t="n">
        <v>0</v>
      </c>
      <c r="N167" s="1336" t="n">
        <v>0</v>
      </c>
      <c r="O167" s="1336" t="n">
        <v>0</v>
      </c>
      <c r="P167" s="1336" t="n">
        <v>0</v>
      </c>
      <c r="Q167" s="1336" t="n">
        <v>0</v>
      </c>
      <c r="R167" s="1336" t="n">
        <v>0</v>
      </c>
      <c r="S167" s="1403">
        <f>SUM(G167:R167)</f>
        <v/>
      </c>
      <c r="T167" s="248" t="n"/>
      <c r="U167" s="1336" t="n">
        <v>0</v>
      </c>
      <c r="V167" s="1336" t="n">
        <v>0</v>
      </c>
      <c r="W167" s="1336" t="n">
        <v>0</v>
      </c>
      <c r="X167" s="1336" t="n">
        <v>0</v>
      </c>
      <c r="Y167" s="1336" t="n">
        <v>0</v>
      </c>
      <c r="Z167" s="1336" t="n">
        <v>0</v>
      </c>
      <c r="AA167" s="1336" t="n">
        <v>0</v>
      </c>
      <c r="AB167" s="1336" t="n">
        <v>0</v>
      </c>
      <c r="AC167" s="1336" t="n">
        <v>0</v>
      </c>
      <c r="AD167" s="1336" t="n">
        <v>0</v>
      </c>
      <c r="AE167" s="1336" t="n">
        <v>0</v>
      </c>
      <c r="AF167" s="1336" t="n">
        <v>0</v>
      </c>
      <c r="AG167" s="1403">
        <f>SUM(U167:AF167)</f>
        <v/>
      </c>
      <c r="AH167" s="248" t="n"/>
      <c r="AI167" s="1336" t="n">
        <v>0</v>
      </c>
      <c r="AJ167" s="1336" t="n">
        <v>0</v>
      </c>
      <c r="AK167" s="1336" t="n">
        <v>0</v>
      </c>
      <c r="AL167" s="1336" t="n">
        <v>0</v>
      </c>
      <c r="AM167" s="1336" t="n">
        <v>0</v>
      </c>
      <c r="AN167" s="1336" t="n">
        <v>0</v>
      </c>
      <c r="AO167" s="1336" t="n">
        <v>0</v>
      </c>
      <c r="AP167" s="1336" t="n">
        <v>0</v>
      </c>
      <c r="AQ167" s="1336" t="n">
        <v>0</v>
      </c>
      <c r="AR167" s="1336" t="n">
        <v>0</v>
      </c>
      <c r="AS167" s="1336" t="n">
        <v>0</v>
      </c>
      <c r="AT167" s="1336" t="n">
        <v>0</v>
      </c>
      <c r="AU167" s="1403">
        <f>SUM(AI167:AT167)</f>
        <v/>
      </c>
      <c r="AW167" s="1336">
        <f>'Departmental Expenses'!AT41</f>
        <v/>
      </c>
      <c r="AX167" s="1336">
        <f>'Departmental Expenses'!AU41</f>
        <v/>
      </c>
      <c r="AY167" s="1336">
        <f>'Departmental Expenses'!AV41</f>
        <v/>
      </c>
      <c r="AZ167" s="1336">
        <f>'Departmental Expenses'!AW41</f>
        <v/>
      </c>
      <c r="BA167" s="1336">
        <f>'Departmental Expenses'!AX41</f>
        <v/>
      </c>
      <c r="BB167" s="1336">
        <f>'Departmental Expenses'!AY41</f>
        <v/>
      </c>
      <c r="BC167" s="1336">
        <f>'Departmental Expenses'!AZ41</f>
        <v/>
      </c>
      <c r="BD167" s="1336">
        <f>'Departmental Expenses'!BA41</f>
        <v/>
      </c>
      <c r="BE167" s="1336">
        <f>'Departmental Expenses'!BB41</f>
        <v/>
      </c>
      <c r="BF167" s="1336">
        <f>'Departmental Expenses'!BC41</f>
        <v/>
      </c>
      <c r="BG167" s="1336">
        <f>'Departmental Expenses'!BD41</f>
        <v/>
      </c>
      <c r="BH167" s="1336">
        <f>'Departmental Expenses'!BE41</f>
        <v/>
      </c>
      <c r="BI167" s="1403">
        <f>SUM(AW167:BH167)</f>
        <v/>
      </c>
    </row>
    <row r="168" outlineLevel="1" ht="20" customHeight="1">
      <c r="A168" s="441" t="n"/>
      <c r="B168" s="402">
        <f>'Departmental Expenses'!A42</f>
        <v/>
      </c>
      <c r="C168" s="1363" t="inlineStr">
        <is>
          <t xml:space="preserve"> </t>
        </is>
      </c>
      <c r="D168" s="1364" t="n"/>
      <c r="E168" s="1365" t="n"/>
      <c r="F168" s="1370" t="n"/>
      <c r="G168" s="1336">
        <f>'Departmental Expenses'!D42</f>
        <v/>
      </c>
      <c r="H168" s="1336">
        <f>'Departmental Expenses'!E42</f>
        <v/>
      </c>
      <c r="I168" s="1336">
        <f>'Departmental Expenses'!F42</f>
        <v/>
      </c>
      <c r="J168" s="1336">
        <f>'Departmental Expenses'!G42</f>
        <v/>
      </c>
      <c r="K168" s="1336">
        <f>'Departmental Expenses'!H42</f>
        <v/>
      </c>
      <c r="L168" s="1336">
        <f>'Departmental Expenses'!I42</f>
        <v/>
      </c>
      <c r="M168" s="1336">
        <f>'Departmental Expenses'!J42</f>
        <v/>
      </c>
      <c r="N168" s="1336">
        <f>'Departmental Expenses'!K42</f>
        <v/>
      </c>
      <c r="O168" s="1336">
        <f>'Departmental Expenses'!L42</f>
        <v/>
      </c>
      <c r="P168" s="1336">
        <f>'Departmental Expenses'!M42</f>
        <v/>
      </c>
      <c r="Q168" s="1336">
        <f>'Departmental Expenses'!N42</f>
        <v/>
      </c>
      <c r="R168" s="1336">
        <f>'Departmental Expenses'!O42</f>
        <v/>
      </c>
      <c r="S168" s="1403">
        <f>SUM(G168:R168)</f>
        <v/>
      </c>
      <c r="T168" s="248" t="n"/>
      <c r="U168" s="1336">
        <f>'Departmental Expenses'!R42</f>
        <v/>
      </c>
      <c r="V168" s="1336">
        <f>'Departmental Expenses'!S42</f>
        <v/>
      </c>
      <c r="W168" s="1336">
        <f>'Departmental Expenses'!T42</f>
        <v/>
      </c>
      <c r="X168" s="1336">
        <f>'Departmental Expenses'!U42</f>
        <v/>
      </c>
      <c r="Y168" s="1336">
        <f>'Departmental Expenses'!V42</f>
        <v/>
      </c>
      <c r="Z168" s="1336">
        <f>'Departmental Expenses'!W42</f>
        <v/>
      </c>
      <c r="AA168" s="1336">
        <f>'Departmental Expenses'!X42</f>
        <v/>
      </c>
      <c r="AB168" s="1336">
        <f>'Departmental Expenses'!Y42</f>
        <v/>
      </c>
      <c r="AC168" s="1336">
        <f>'Departmental Expenses'!Z42</f>
        <v/>
      </c>
      <c r="AD168" s="1336">
        <f>'Departmental Expenses'!AA42</f>
        <v/>
      </c>
      <c r="AE168" s="1336">
        <f>'Departmental Expenses'!AB42</f>
        <v/>
      </c>
      <c r="AF168" s="1336">
        <f>'Departmental Expenses'!AC42</f>
        <v/>
      </c>
      <c r="AG168" s="1403">
        <f>SUM(U168:AF168)</f>
        <v/>
      </c>
      <c r="AH168" s="248" t="n"/>
      <c r="AI168" s="1336">
        <f>'Departmental Expenses'!AF42</f>
        <v/>
      </c>
      <c r="AJ168" s="1336">
        <f>'Departmental Expenses'!AG42</f>
        <v/>
      </c>
      <c r="AK168" s="1336">
        <f>'Departmental Expenses'!AH42</f>
        <v/>
      </c>
      <c r="AL168" s="1336">
        <f>'Departmental Expenses'!AI42</f>
        <v/>
      </c>
      <c r="AM168" s="1336">
        <f>'Departmental Expenses'!AJ42</f>
        <v/>
      </c>
      <c r="AN168" s="1336">
        <f>'Departmental Expenses'!AK42</f>
        <v/>
      </c>
      <c r="AO168" s="1336">
        <f>'Departmental Expenses'!AL42</f>
        <v/>
      </c>
      <c r="AP168" s="1336">
        <f>'Departmental Expenses'!AM42</f>
        <v/>
      </c>
      <c r="AQ168" s="1336">
        <f>'Departmental Expenses'!AN42</f>
        <v/>
      </c>
      <c r="AR168" s="1336">
        <f>'Departmental Expenses'!AO42</f>
        <v/>
      </c>
      <c r="AS168" s="1336">
        <f>'Departmental Expenses'!AP42</f>
        <v/>
      </c>
      <c r="AT168" s="1336">
        <f>'Departmental Expenses'!AQ42</f>
        <v/>
      </c>
      <c r="AU168" s="1403">
        <f>SUM(AI168:AT168)</f>
        <v/>
      </c>
      <c r="AW168" s="1336">
        <f>'Departmental Expenses'!AT42</f>
        <v/>
      </c>
      <c r="AX168" s="1336">
        <f>'Departmental Expenses'!AU42</f>
        <v/>
      </c>
      <c r="AY168" s="1336">
        <f>'Departmental Expenses'!AV42</f>
        <v/>
      </c>
      <c r="AZ168" s="1336">
        <f>'Departmental Expenses'!AW42</f>
        <v/>
      </c>
      <c r="BA168" s="1336">
        <f>'Departmental Expenses'!AX42</f>
        <v/>
      </c>
      <c r="BB168" s="1336">
        <f>'Departmental Expenses'!AY42</f>
        <v/>
      </c>
      <c r="BC168" s="1336">
        <f>'Departmental Expenses'!AZ42</f>
        <v/>
      </c>
      <c r="BD168" s="1336">
        <f>'Departmental Expenses'!BA42</f>
        <v/>
      </c>
      <c r="BE168" s="1336">
        <f>'Departmental Expenses'!BB42</f>
        <v/>
      </c>
      <c r="BF168" s="1336">
        <f>'Departmental Expenses'!BC42</f>
        <v/>
      </c>
      <c r="BG168" s="1336">
        <f>'Departmental Expenses'!BD42</f>
        <v/>
      </c>
      <c r="BH168" s="1336">
        <f>'Departmental Expenses'!BE42</f>
        <v/>
      </c>
      <c r="BI168" s="1403">
        <f>SUM(AW168:BH168)</f>
        <v/>
      </c>
    </row>
    <row r="169" outlineLevel="1" ht="20" customHeight="1">
      <c r="A169" s="441" t="n"/>
      <c r="B169" s="402">
        <f>'Departmental Expenses'!A43</f>
        <v/>
      </c>
      <c r="C169" s="1368" t="inlineStr">
        <is>
          <t xml:space="preserve"> </t>
        </is>
      </c>
      <c r="D169" s="1364" t="n"/>
      <c r="E169" s="1365" t="n"/>
      <c r="F169" s="1370" t="n"/>
      <c r="G169" s="1336">
        <f>'Departmental Expenses'!D43</f>
        <v/>
      </c>
      <c r="H169" s="1336">
        <f>'Departmental Expenses'!E43</f>
        <v/>
      </c>
      <c r="I169" s="1336">
        <f>'Departmental Expenses'!F43</f>
        <v/>
      </c>
      <c r="J169" s="1336">
        <f>'Departmental Expenses'!G43</f>
        <v/>
      </c>
      <c r="K169" s="1336">
        <f>'Departmental Expenses'!H43</f>
        <v/>
      </c>
      <c r="L169" s="1336">
        <f>'Departmental Expenses'!I43</f>
        <v/>
      </c>
      <c r="M169" s="1336">
        <f>'Departmental Expenses'!J43</f>
        <v/>
      </c>
      <c r="N169" s="1336">
        <f>'Departmental Expenses'!K43</f>
        <v/>
      </c>
      <c r="O169" s="1336">
        <f>'Departmental Expenses'!L43</f>
        <v/>
      </c>
      <c r="P169" s="1336">
        <f>'Departmental Expenses'!M43</f>
        <v/>
      </c>
      <c r="Q169" s="1336">
        <f>'Departmental Expenses'!N43</f>
        <v/>
      </c>
      <c r="R169" s="1336">
        <f>'Departmental Expenses'!O43</f>
        <v/>
      </c>
      <c r="S169" s="1403">
        <f>SUM(G169:R169)</f>
        <v/>
      </c>
      <c r="T169" s="248" t="n"/>
      <c r="U169" s="1336">
        <f>'Departmental Expenses'!R43</f>
        <v/>
      </c>
      <c r="V169" s="1336">
        <f>'Departmental Expenses'!S43</f>
        <v/>
      </c>
      <c r="W169" s="1336">
        <f>'Departmental Expenses'!T43</f>
        <v/>
      </c>
      <c r="X169" s="1336">
        <f>'Departmental Expenses'!U43</f>
        <v/>
      </c>
      <c r="Y169" s="1336">
        <f>'Departmental Expenses'!V43</f>
        <v/>
      </c>
      <c r="Z169" s="1336">
        <f>'Departmental Expenses'!W43</f>
        <v/>
      </c>
      <c r="AA169" s="1336">
        <f>'Departmental Expenses'!X43</f>
        <v/>
      </c>
      <c r="AB169" s="1336">
        <f>'Departmental Expenses'!Y43</f>
        <v/>
      </c>
      <c r="AC169" s="1336">
        <f>'Departmental Expenses'!Z43</f>
        <v/>
      </c>
      <c r="AD169" s="1336">
        <f>'Departmental Expenses'!AA43</f>
        <v/>
      </c>
      <c r="AE169" s="1336">
        <f>'Departmental Expenses'!AB43</f>
        <v/>
      </c>
      <c r="AF169" s="1336">
        <f>'Departmental Expenses'!AC43</f>
        <v/>
      </c>
      <c r="AG169" s="1403">
        <f>SUM(U169:AF169)</f>
        <v/>
      </c>
      <c r="AH169" s="248" t="n"/>
      <c r="AI169" s="1336">
        <f>'Departmental Expenses'!AF43</f>
        <v/>
      </c>
      <c r="AJ169" s="1336">
        <f>'Departmental Expenses'!AG43</f>
        <v/>
      </c>
      <c r="AK169" s="1336">
        <f>'Departmental Expenses'!AH43</f>
        <v/>
      </c>
      <c r="AL169" s="1336">
        <f>'Departmental Expenses'!AI43</f>
        <v/>
      </c>
      <c r="AM169" s="1336">
        <f>'Departmental Expenses'!AJ43</f>
        <v/>
      </c>
      <c r="AN169" s="1336">
        <f>'Departmental Expenses'!AK43</f>
        <v/>
      </c>
      <c r="AO169" s="1336">
        <f>'Departmental Expenses'!AL43</f>
        <v/>
      </c>
      <c r="AP169" s="1336">
        <f>'Departmental Expenses'!AM43</f>
        <v/>
      </c>
      <c r="AQ169" s="1336">
        <f>'Departmental Expenses'!AN43</f>
        <v/>
      </c>
      <c r="AR169" s="1336">
        <f>'Departmental Expenses'!AO43</f>
        <v/>
      </c>
      <c r="AS169" s="1336">
        <f>'Departmental Expenses'!AP43</f>
        <v/>
      </c>
      <c r="AT169" s="1336">
        <f>'Departmental Expenses'!AQ43</f>
        <v/>
      </c>
      <c r="AU169" s="1403">
        <f>SUM(AI169:AT169)</f>
        <v/>
      </c>
      <c r="AW169" s="1336">
        <f>'Departmental Expenses'!AT43</f>
        <v/>
      </c>
      <c r="AX169" s="1336">
        <f>'Departmental Expenses'!AU43</f>
        <v/>
      </c>
      <c r="AY169" s="1336">
        <f>'Departmental Expenses'!AV43</f>
        <v/>
      </c>
      <c r="AZ169" s="1336">
        <f>'Departmental Expenses'!AW43</f>
        <v/>
      </c>
      <c r="BA169" s="1336">
        <f>'Departmental Expenses'!AX43</f>
        <v/>
      </c>
      <c r="BB169" s="1336">
        <f>'Departmental Expenses'!AY43</f>
        <v/>
      </c>
      <c r="BC169" s="1336">
        <f>'Departmental Expenses'!AZ43</f>
        <v/>
      </c>
      <c r="BD169" s="1336">
        <f>'Departmental Expenses'!BA43</f>
        <v/>
      </c>
      <c r="BE169" s="1336">
        <f>'Departmental Expenses'!BB43</f>
        <v/>
      </c>
      <c r="BF169" s="1336">
        <f>'Departmental Expenses'!BC43</f>
        <v/>
      </c>
      <c r="BG169" s="1336">
        <f>'Departmental Expenses'!BD43</f>
        <v/>
      </c>
      <c r="BH169" s="1336">
        <f>'Departmental Expenses'!BE43</f>
        <v/>
      </c>
      <c r="BI169" s="1403">
        <f>SUM(AW169:BH169)</f>
        <v/>
      </c>
    </row>
    <row r="170" outlineLevel="1" ht="20" customHeight="1">
      <c r="A170" s="441" t="n"/>
      <c r="B170" s="402">
        <f>'Departmental Expenses'!A44</f>
        <v/>
      </c>
      <c r="C170" s="1368" t="inlineStr">
        <is>
          <t xml:space="preserve"> </t>
        </is>
      </c>
      <c r="D170" s="1364" t="n"/>
      <c r="E170" s="1365" t="n"/>
      <c r="F170" s="1370" t="n"/>
      <c r="G170" s="1336">
        <f>'Departmental Expenses'!D44</f>
        <v/>
      </c>
      <c r="H170" s="1336">
        <f>'Departmental Expenses'!E44</f>
        <v/>
      </c>
      <c r="I170" s="1336">
        <f>'Departmental Expenses'!F44</f>
        <v/>
      </c>
      <c r="J170" s="1336">
        <f>'Departmental Expenses'!G44</f>
        <v/>
      </c>
      <c r="K170" s="1336">
        <f>'Departmental Expenses'!H44</f>
        <v/>
      </c>
      <c r="L170" s="1336">
        <f>'Departmental Expenses'!I44</f>
        <v/>
      </c>
      <c r="M170" s="1336">
        <f>'Departmental Expenses'!J44</f>
        <v/>
      </c>
      <c r="N170" s="1336">
        <f>'Departmental Expenses'!K44</f>
        <v/>
      </c>
      <c r="O170" s="1336">
        <f>'Departmental Expenses'!L44</f>
        <v/>
      </c>
      <c r="P170" s="1336">
        <f>'Departmental Expenses'!M44</f>
        <v/>
      </c>
      <c r="Q170" s="1336">
        <f>'Departmental Expenses'!N44</f>
        <v/>
      </c>
      <c r="R170" s="1336">
        <f>'Departmental Expenses'!O44</f>
        <v/>
      </c>
      <c r="S170" s="1403">
        <f>SUM(G170:R170)</f>
        <v/>
      </c>
      <c r="T170" s="248" t="n"/>
      <c r="U170" s="1336">
        <f>'Departmental Expenses'!R44</f>
        <v/>
      </c>
      <c r="V170" s="1336">
        <f>'Departmental Expenses'!S44</f>
        <v/>
      </c>
      <c r="W170" s="1336">
        <f>'Departmental Expenses'!T44</f>
        <v/>
      </c>
      <c r="X170" s="1336">
        <f>'Departmental Expenses'!U44</f>
        <v/>
      </c>
      <c r="Y170" s="1336">
        <f>'Departmental Expenses'!V44</f>
        <v/>
      </c>
      <c r="Z170" s="1336">
        <f>'Departmental Expenses'!W44</f>
        <v/>
      </c>
      <c r="AA170" s="1336">
        <f>'Departmental Expenses'!X44</f>
        <v/>
      </c>
      <c r="AB170" s="1336">
        <f>'Departmental Expenses'!Y44</f>
        <v/>
      </c>
      <c r="AC170" s="1336">
        <f>'Departmental Expenses'!Z44</f>
        <v/>
      </c>
      <c r="AD170" s="1336">
        <f>'Departmental Expenses'!AA44</f>
        <v/>
      </c>
      <c r="AE170" s="1336">
        <f>'Departmental Expenses'!AB44</f>
        <v/>
      </c>
      <c r="AF170" s="1336">
        <f>'Departmental Expenses'!AC44</f>
        <v/>
      </c>
      <c r="AG170" s="1403">
        <f>SUM(U170:AF170)</f>
        <v/>
      </c>
      <c r="AH170" s="248" t="n"/>
      <c r="AI170" s="1336">
        <f>'Departmental Expenses'!AF44</f>
        <v/>
      </c>
      <c r="AJ170" s="1336">
        <f>'Departmental Expenses'!AG44</f>
        <v/>
      </c>
      <c r="AK170" s="1336">
        <f>'Departmental Expenses'!AH44</f>
        <v/>
      </c>
      <c r="AL170" s="1336">
        <f>'Departmental Expenses'!AI44</f>
        <v/>
      </c>
      <c r="AM170" s="1336">
        <f>'Departmental Expenses'!AJ44</f>
        <v/>
      </c>
      <c r="AN170" s="1336">
        <f>'Departmental Expenses'!AK44</f>
        <v/>
      </c>
      <c r="AO170" s="1336">
        <f>'Departmental Expenses'!AL44</f>
        <v/>
      </c>
      <c r="AP170" s="1336">
        <f>'Departmental Expenses'!AM44</f>
        <v/>
      </c>
      <c r="AQ170" s="1336">
        <f>'Departmental Expenses'!AN44</f>
        <v/>
      </c>
      <c r="AR170" s="1336">
        <f>'Departmental Expenses'!AO44</f>
        <v/>
      </c>
      <c r="AS170" s="1336">
        <f>'Departmental Expenses'!AP44</f>
        <v/>
      </c>
      <c r="AT170" s="1336">
        <f>'Departmental Expenses'!AQ44</f>
        <v/>
      </c>
      <c r="AU170" s="1403">
        <f>SUM(AI170:AT170)</f>
        <v/>
      </c>
      <c r="AW170" s="1336">
        <f>'Departmental Expenses'!AT44</f>
        <v/>
      </c>
      <c r="AX170" s="1336">
        <f>'Departmental Expenses'!AU44</f>
        <v/>
      </c>
      <c r="AY170" s="1336">
        <f>'Departmental Expenses'!AV44</f>
        <v/>
      </c>
      <c r="AZ170" s="1336">
        <f>'Departmental Expenses'!AW44</f>
        <v/>
      </c>
      <c r="BA170" s="1336">
        <f>'Departmental Expenses'!AX44</f>
        <v/>
      </c>
      <c r="BB170" s="1336">
        <f>'Departmental Expenses'!AY44</f>
        <v/>
      </c>
      <c r="BC170" s="1336">
        <f>'Departmental Expenses'!AZ44</f>
        <v/>
      </c>
      <c r="BD170" s="1336">
        <f>'Departmental Expenses'!BA44</f>
        <v/>
      </c>
      <c r="BE170" s="1336">
        <f>'Departmental Expenses'!BB44</f>
        <v/>
      </c>
      <c r="BF170" s="1336">
        <f>'Departmental Expenses'!BC44</f>
        <v/>
      </c>
      <c r="BG170" s="1336">
        <f>'Departmental Expenses'!BD44</f>
        <v/>
      </c>
      <c r="BH170" s="1336">
        <f>'Departmental Expenses'!BE44</f>
        <v/>
      </c>
      <c r="BI170" s="1403">
        <f>SUM(AW170:BH170)</f>
        <v/>
      </c>
    </row>
    <row r="171" outlineLevel="1" ht="20" customHeight="1">
      <c r="A171" s="441" t="n"/>
      <c r="B171" s="402">
        <f>'Departmental Expenses'!A45</f>
        <v/>
      </c>
      <c r="C171" s="1368" t="n"/>
      <c r="D171" s="1364" t="n"/>
      <c r="E171" s="1365" t="n"/>
      <c r="F171" s="1370" t="n"/>
      <c r="G171" s="1336">
        <f>'Departmental Expenses'!D45</f>
        <v/>
      </c>
      <c r="H171" s="1336">
        <f>'Departmental Expenses'!E45</f>
        <v/>
      </c>
      <c r="I171" s="1336">
        <f>'Departmental Expenses'!F45</f>
        <v/>
      </c>
      <c r="J171" s="1336">
        <f>'Departmental Expenses'!G45</f>
        <v/>
      </c>
      <c r="K171" s="1336">
        <f>'Departmental Expenses'!H45</f>
        <v/>
      </c>
      <c r="L171" s="1336">
        <f>'Departmental Expenses'!I45</f>
        <v/>
      </c>
      <c r="M171" s="1336">
        <f>'Departmental Expenses'!J45</f>
        <v/>
      </c>
      <c r="N171" s="1336">
        <f>'Departmental Expenses'!K45</f>
        <v/>
      </c>
      <c r="O171" s="1336">
        <f>'Departmental Expenses'!L45</f>
        <v/>
      </c>
      <c r="P171" s="1336">
        <f>'Departmental Expenses'!M45</f>
        <v/>
      </c>
      <c r="Q171" s="1336">
        <f>'Departmental Expenses'!N45</f>
        <v/>
      </c>
      <c r="R171" s="1336">
        <f>'Departmental Expenses'!O45</f>
        <v/>
      </c>
      <c r="S171" s="1403">
        <f>SUM(G171:R171)</f>
        <v/>
      </c>
      <c r="T171" s="248" t="n"/>
      <c r="U171" s="1336">
        <f>'Departmental Expenses'!R45</f>
        <v/>
      </c>
      <c r="V171" s="1336">
        <f>'Departmental Expenses'!S45</f>
        <v/>
      </c>
      <c r="W171" s="1336">
        <f>'Departmental Expenses'!T45</f>
        <v/>
      </c>
      <c r="X171" s="1336">
        <f>'Departmental Expenses'!U45</f>
        <v/>
      </c>
      <c r="Y171" s="1336">
        <f>'Departmental Expenses'!V45</f>
        <v/>
      </c>
      <c r="Z171" s="1336">
        <f>'Departmental Expenses'!W45</f>
        <v/>
      </c>
      <c r="AA171" s="1336">
        <f>'Departmental Expenses'!X45</f>
        <v/>
      </c>
      <c r="AB171" s="1336">
        <f>'Departmental Expenses'!Y45</f>
        <v/>
      </c>
      <c r="AC171" s="1336">
        <f>'Departmental Expenses'!Z45</f>
        <v/>
      </c>
      <c r="AD171" s="1336">
        <f>'Departmental Expenses'!AA45</f>
        <v/>
      </c>
      <c r="AE171" s="1336">
        <f>'Departmental Expenses'!AB45</f>
        <v/>
      </c>
      <c r="AF171" s="1336">
        <f>'Departmental Expenses'!AC45</f>
        <v/>
      </c>
      <c r="AG171" s="1403">
        <f>SUM(U171:AF171)</f>
        <v/>
      </c>
      <c r="AH171" s="248" t="n"/>
      <c r="AI171" s="1336">
        <f>'Departmental Expenses'!AF45</f>
        <v/>
      </c>
      <c r="AJ171" s="1336">
        <f>'Departmental Expenses'!AG45</f>
        <v/>
      </c>
      <c r="AK171" s="1336">
        <f>'Departmental Expenses'!AH45</f>
        <v/>
      </c>
      <c r="AL171" s="1336">
        <f>'Departmental Expenses'!AI45</f>
        <v/>
      </c>
      <c r="AM171" s="1336">
        <f>'Departmental Expenses'!AJ45</f>
        <v/>
      </c>
      <c r="AN171" s="1336">
        <f>'Departmental Expenses'!AK45</f>
        <v/>
      </c>
      <c r="AO171" s="1336">
        <f>'Departmental Expenses'!AL45</f>
        <v/>
      </c>
      <c r="AP171" s="1336">
        <f>'Departmental Expenses'!AM45</f>
        <v/>
      </c>
      <c r="AQ171" s="1336">
        <f>'Departmental Expenses'!AN45</f>
        <v/>
      </c>
      <c r="AR171" s="1336">
        <f>'Departmental Expenses'!AO45</f>
        <v/>
      </c>
      <c r="AS171" s="1336">
        <f>'Departmental Expenses'!AP45</f>
        <v/>
      </c>
      <c r="AT171" s="1336">
        <f>'Departmental Expenses'!AQ45</f>
        <v/>
      </c>
      <c r="AU171" s="1403">
        <f>SUM(AI171:AT171)</f>
        <v/>
      </c>
      <c r="AW171" s="1336">
        <f>'Departmental Expenses'!AT45</f>
        <v/>
      </c>
      <c r="AX171" s="1336">
        <f>'Departmental Expenses'!AU45</f>
        <v/>
      </c>
      <c r="AY171" s="1336">
        <f>'Departmental Expenses'!AV45</f>
        <v/>
      </c>
      <c r="AZ171" s="1336">
        <f>'Departmental Expenses'!AW45</f>
        <v/>
      </c>
      <c r="BA171" s="1336">
        <f>'Departmental Expenses'!AX45</f>
        <v/>
      </c>
      <c r="BB171" s="1336">
        <f>'Departmental Expenses'!AY45</f>
        <v/>
      </c>
      <c r="BC171" s="1336">
        <f>'Departmental Expenses'!AZ45</f>
        <v/>
      </c>
      <c r="BD171" s="1336">
        <f>'Departmental Expenses'!BA45</f>
        <v/>
      </c>
      <c r="BE171" s="1336">
        <f>'Departmental Expenses'!BB45</f>
        <v/>
      </c>
      <c r="BF171" s="1336">
        <f>'Departmental Expenses'!BC45</f>
        <v/>
      </c>
      <c r="BG171" s="1336">
        <f>'Departmental Expenses'!BD45</f>
        <v/>
      </c>
      <c r="BH171" s="1336">
        <f>'Departmental Expenses'!BE45</f>
        <v/>
      </c>
      <c r="BI171" s="1403">
        <f>SUM(AW171:BH171)</f>
        <v/>
      </c>
    </row>
    <row r="172" outlineLevel="1" ht="20" customHeight="1">
      <c r="A172" s="441" t="n"/>
      <c r="B172" s="375">
        <f>'Departmental Expenses'!A46</f>
        <v/>
      </c>
      <c r="C172" s="1368" t="n"/>
      <c r="D172" s="1364" t="n"/>
      <c r="E172" s="1365" t="n"/>
      <c r="F172" s="1370" t="n"/>
      <c r="G172" s="1336">
        <f>'Departmental Expenses'!D46</f>
        <v/>
      </c>
      <c r="H172" s="1336">
        <f>'Departmental Expenses'!E46</f>
        <v/>
      </c>
      <c r="I172" s="1336">
        <f>'Departmental Expenses'!F46</f>
        <v/>
      </c>
      <c r="J172" s="1336">
        <f>'Departmental Expenses'!G46</f>
        <v/>
      </c>
      <c r="K172" s="1336">
        <f>'Departmental Expenses'!H46</f>
        <v/>
      </c>
      <c r="L172" s="1336">
        <f>'Departmental Expenses'!I46</f>
        <v/>
      </c>
      <c r="M172" s="1336">
        <f>'Departmental Expenses'!J46</f>
        <v/>
      </c>
      <c r="N172" s="1336">
        <f>'Departmental Expenses'!K46</f>
        <v/>
      </c>
      <c r="O172" s="1336">
        <f>'Departmental Expenses'!L46</f>
        <v/>
      </c>
      <c r="P172" s="1336">
        <f>'Departmental Expenses'!M46</f>
        <v/>
      </c>
      <c r="Q172" s="1336">
        <f>'Departmental Expenses'!N46</f>
        <v/>
      </c>
      <c r="R172" s="1336">
        <f>'Departmental Expenses'!O46</f>
        <v/>
      </c>
      <c r="S172" s="1403">
        <f>SUM(G172:R172)</f>
        <v/>
      </c>
      <c r="T172" s="248" t="n"/>
      <c r="U172" s="1336">
        <f>'Departmental Expenses'!R46</f>
        <v/>
      </c>
      <c r="V172" s="1336">
        <f>'Departmental Expenses'!S46</f>
        <v/>
      </c>
      <c r="W172" s="1336">
        <f>'Departmental Expenses'!T46</f>
        <v/>
      </c>
      <c r="X172" s="1336">
        <f>'Departmental Expenses'!U46</f>
        <v/>
      </c>
      <c r="Y172" s="1336">
        <f>'Departmental Expenses'!V46</f>
        <v/>
      </c>
      <c r="Z172" s="1336">
        <f>'Departmental Expenses'!W46</f>
        <v/>
      </c>
      <c r="AA172" s="1336">
        <f>'Departmental Expenses'!X46</f>
        <v/>
      </c>
      <c r="AB172" s="1336">
        <f>'Departmental Expenses'!Y46</f>
        <v/>
      </c>
      <c r="AC172" s="1336">
        <f>'Departmental Expenses'!Z46</f>
        <v/>
      </c>
      <c r="AD172" s="1336">
        <f>'Departmental Expenses'!AA46</f>
        <v/>
      </c>
      <c r="AE172" s="1336">
        <f>'Departmental Expenses'!AB46</f>
        <v/>
      </c>
      <c r="AF172" s="1336">
        <f>'Departmental Expenses'!AC46</f>
        <v/>
      </c>
      <c r="AG172" s="1403">
        <f>SUM(U172:AF172)</f>
        <v/>
      </c>
      <c r="AH172" s="248" t="n"/>
      <c r="AI172" s="1336">
        <f>'Departmental Expenses'!AF46</f>
        <v/>
      </c>
      <c r="AJ172" s="1336">
        <f>'Departmental Expenses'!AG46</f>
        <v/>
      </c>
      <c r="AK172" s="1336">
        <f>'Departmental Expenses'!AH46</f>
        <v/>
      </c>
      <c r="AL172" s="1336">
        <f>'Departmental Expenses'!AI46</f>
        <v/>
      </c>
      <c r="AM172" s="1336">
        <f>'Departmental Expenses'!AJ46</f>
        <v/>
      </c>
      <c r="AN172" s="1336">
        <f>'Departmental Expenses'!AK46</f>
        <v/>
      </c>
      <c r="AO172" s="1336">
        <f>'Departmental Expenses'!AL46</f>
        <v/>
      </c>
      <c r="AP172" s="1336">
        <f>'Departmental Expenses'!AM46</f>
        <v/>
      </c>
      <c r="AQ172" s="1336">
        <f>'Departmental Expenses'!AN46</f>
        <v/>
      </c>
      <c r="AR172" s="1336">
        <f>'Departmental Expenses'!AO46</f>
        <v/>
      </c>
      <c r="AS172" s="1336">
        <f>'Departmental Expenses'!AP46</f>
        <v/>
      </c>
      <c r="AT172" s="1336">
        <f>'Departmental Expenses'!AQ46</f>
        <v/>
      </c>
      <c r="AU172" s="1403">
        <f>SUM(AI172:AT172)</f>
        <v/>
      </c>
      <c r="AW172" s="1336">
        <f>'Departmental Expenses'!AT46</f>
        <v/>
      </c>
      <c r="AX172" s="1336">
        <f>'Departmental Expenses'!AU46</f>
        <v/>
      </c>
      <c r="AY172" s="1336">
        <f>'Departmental Expenses'!AV46</f>
        <v/>
      </c>
      <c r="AZ172" s="1336">
        <f>'Departmental Expenses'!AW46</f>
        <v/>
      </c>
      <c r="BA172" s="1336">
        <f>'Departmental Expenses'!AX46</f>
        <v/>
      </c>
      <c r="BB172" s="1336">
        <f>'Departmental Expenses'!AY46</f>
        <v/>
      </c>
      <c r="BC172" s="1336">
        <f>'Departmental Expenses'!AZ46</f>
        <v/>
      </c>
      <c r="BD172" s="1336">
        <f>'Departmental Expenses'!BA46</f>
        <v/>
      </c>
      <c r="BE172" s="1336">
        <f>'Departmental Expenses'!BB46</f>
        <v/>
      </c>
      <c r="BF172" s="1336">
        <f>'Departmental Expenses'!BC46</f>
        <v/>
      </c>
      <c r="BG172" s="1336">
        <f>'Departmental Expenses'!BD46</f>
        <v/>
      </c>
      <c r="BH172" s="1336">
        <f>'Departmental Expenses'!BE46</f>
        <v/>
      </c>
      <c r="BI172" s="1403">
        <f>SUM(AW172:BH172)</f>
        <v/>
      </c>
    </row>
    <row r="173" outlineLevel="1" ht="20" customHeight="1">
      <c r="A173" s="441" t="n"/>
      <c r="B173" s="402">
        <f>'Departmental Expenses'!A47</f>
        <v/>
      </c>
      <c r="C173" s="1368" t="n"/>
      <c r="D173" s="1364" t="n"/>
      <c r="E173" s="1365" t="n"/>
      <c r="F173" s="1370" t="n"/>
      <c r="G173" s="1336">
        <f>'Departmental Expenses'!D47</f>
        <v/>
      </c>
      <c r="H173" s="1336">
        <f>'Departmental Expenses'!E47</f>
        <v/>
      </c>
      <c r="I173" s="1336">
        <f>'Departmental Expenses'!F47</f>
        <v/>
      </c>
      <c r="J173" s="1336">
        <f>'Departmental Expenses'!G47</f>
        <v/>
      </c>
      <c r="K173" s="1336">
        <f>'Departmental Expenses'!H47</f>
        <v/>
      </c>
      <c r="L173" s="1336">
        <f>'Departmental Expenses'!I47</f>
        <v/>
      </c>
      <c r="M173" s="1336">
        <f>'Departmental Expenses'!J47</f>
        <v/>
      </c>
      <c r="N173" s="1336">
        <f>'Departmental Expenses'!K47</f>
        <v/>
      </c>
      <c r="O173" s="1336">
        <f>'Departmental Expenses'!L47</f>
        <v/>
      </c>
      <c r="P173" s="1336">
        <f>'Departmental Expenses'!M47</f>
        <v/>
      </c>
      <c r="Q173" s="1336">
        <f>'Departmental Expenses'!N47</f>
        <v/>
      </c>
      <c r="R173" s="1336">
        <f>'Departmental Expenses'!O47</f>
        <v/>
      </c>
      <c r="S173" s="1403">
        <f>SUM(G173:R173)</f>
        <v/>
      </c>
      <c r="T173" s="248" t="n"/>
      <c r="U173" s="1336">
        <f>'Departmental Expenses'!R47</f>
        <v/>
      </c>
      <c r="V173" s="1336">
        <f>'Departmental Expenses'!S47</f>
        <v/>
      </c>
      <c r="W173" s="1336">
        <f>'Departmental Expenses'!T47</f>
        <v/>
      </c>
      <c r="X173" s="1336">
        <f>'Departmental Expenses'!U47</f>
        <v/>
      </c>
      <c r="Y173" s="1336">
        <f>'Departmental Expenses'!V47</f>
        <v/>
      </c>
      <c r="Z173" s="1336">
        <f>'Departmental Expenses'!W47</f>
        <v/>
      </c>
      <c r="AA173" s="1336">
        <f>'Departmental Expenses'!X47</f>
        <v/>
      </c>
      <c r="AB173" s="1336">
        <f>'Departmental Expenses'!Y47</f>
        <v/>
      </c>
      <c r="AC173" s="1336">
        <f>'Departmental Expenses'!Z47</f>
        <v/>
      </c>
      <c r="AD173" s="1336">
        <f>'Departmental Expenses'!AA47</f>
        <v/>
      </c>
      <c r="AE173" s="1336">
        <f>'Departmental Expenses'!AB47</f>
        <v/>
      </c>
      <c r="AF173" s="1336">
        <f>'Departmental Expenses'!AC47</f>
        <v/>
      </c>
      <c r="AG173" s="1403">
        <f>SUM(U173:AF173)</f>
        <v/>
      </c>
      <c r="AH173" s="248" t="n"/>
      <c r="AI173" s="1336">
        <f>'Departmental Expenses'!AF47</f>
        <v/>
      </c>
      <c r="AJ173" s="1336">
        <f>'Departmental Expenses'!AG47</f>
        <v/>
      </c>
      <c r="AK173" s="1336">
        <f>'Departmental Expenses'!AH47</f>
        <v/>
      </c>
      <c r="AL173" s="1336">
        <f>'Departmental Expenses'!AI47</f>
        <v/>
      </c>
      <c r="AM173" s="1336">
        <f>'Departmental Expenses'!AJ47</f>
        <v/>
      </c>
      <c r="AN173" s="1336">
        <f>'Departmental Expenses'!AK47</f>
        <v/>
      </c>
      <c r="AO173" s="1336">
        <f>'Departmental Expenses'!AL47</f>
        <v/>
      </c>
      <c r="AP173" s="1336">
        <f>'Departmental Expenses'!AM47</f>
        <v/>
      </c>
      <c r="AQ173" s="1336">
        <f>'Departmental Expenses'!AN47</f>
        <v/>
      </c>
      <c r="AR173" s="1336">
        <f>'Departmental Expenses'!AO47</f>
        <v/>
      </c>
      <c r="AS173" s="1336">
        <f>'Departmental Expenses'!AP47</f>
        <v/>
      </c>
      <c r="AT173" s="1336">
        <f>'Departmental Expenses'!AQ47</f>
        <v/>
      </c>
      <c r="AU173" s="1403">
        <f>SUM(AI173:AT173)</f>
        <v/>
      </c>
      <c r="AW173" s="1336">
        <f>'Departmental Expenses'!AT47</f>
        <v/>
      </c>
      <c r="AX173" s="1336">
        <f>'Departmental Expenses'!AU47</f>
        <v/>
      </c>
      <c r="AY173" s="1336">
        <f>'Departmental Expenses'!AV47</f>
        <v/>
      </c>
      <c r="AZ173" s="1336">
        <f>'Departmental Expenses'!AW47</f>
        <v/>
      </c>
      <c r="BA173" s="1336">
        <f>'Departmental Expenses'!AX47</f>
        <v/>
      </c>
      <c r="BB173" s="1336">
        <f>'Departmental Expenses'!AY47</f>
        <v/>
      </c>
      <c r="BC173" s="1336">
        <f>'Departmental Expenses'!AZ47</f>
        <v/>
      </c>
      <c r="BD173" s="1336">
        <f>'Departmental Expenses'!BA47</f>
        <v/>
      </c>
      <c r="BE173" s="1336">
        <f>'Departmental Expenses'!BB47</f>
        <v/>
      </c>
      <c r="BF173" s="1336">
        <f>'Departmental Expenses'!BC47</f>
        <v/>
      </c>
      <c r="BG173" s="1336">
        <f>'Departmental Expenses'!BD47</f>
        <v/>
      </c>
      <c r="BH173" s="1336">
        <f>'Departmental Expenses'!BE47</f>
        <v/>
      </c>
      <c r="BI173" s="1403">
        <f>SUM(AW173:BH173)</f>
        <v/>
      </c>
    </row>
    <row r="174" outlineLevel="1" ht="20" customHeight="1">
      <c r="A174" s="441" t="n"/>
      <c r="B174" s="400">
        <f>'Departmental Expenses'!A48</f>
        <v/>
      </c>
      <c r="C174" s="1368" t="n"/>
      <c r="D174" s="1364" t="n"/>
      <c r="E174" s="1365" t="n"/>
      <c r="F174" s="1370" t="n"/>
      <c r="G174" s="1336">
        <f>'Departmental Expenses'!D48</f>
        <v/>
      </c>
      <c r="H174" s="1336">
        <f>'Departmental Expenses'!E48</f>
        <v/>
      </c>
      <c r="I174" s="1336">
        <f>'Departmental Expenses'!F48</f>
        <v/>
      </c>
      <c r="J174" s="1336">
        <f>'Departmental Expenses'!G48</f>
        <v/>
      </c>
      <c r="K174" s="1336">
        <f>'Departmental Expenses'!H48</f>
        <v/>
      </c>
      <c r="L174" s="1336">
        <f>'Departmental Expenses'!I48</f>
        <v/>
      </c>
      <c r="M174" s="1336">
        <f>'Departmental Expenses'!J48</f>
        <v/>
      </c>
      <c r="N174" s="1336">
        <f>'Departmental Expenses'!K48</f>
        <v/>
      </c>
      <c r="O174" s="1336">
        <f>'Departmental Expenses'!L48</f>
        <v/>
      </c>
      <c r="P174" s="1336">
        <f>'Departmental Expenses'!M48</f>
        <v/>
      </c>
      <c r="Q174" s="1336">
        <f>'Departmental Expenses'!N48</f>
        <v/>
      </c>
      <c r="R174" s="1336">
        <f>'Departmental Expenses'!O48</f>
        <v/>
      </c>
      <c r="S174" s="1403">
        <f>SUM(G174:R174)</f>
        <v/>
      </c>
      <c r="T174" s="248" t="n"/>
      <c r="U174" s="1336">
        <f>'Departmental Expenses'!R48</f>
        <v/>
      </c>
      <c r="V174" s="1336">
        <f>'Departmental Expenses'!S48</f>
        <v/>
      </c>
      <c r="W174" s="1336">
        <f>'Departmental Expenses'!T48</f>
        <v/>
      </c>
      <c r="X174" s="1336">
        <f>'Departmental Expenses'!U48</f>
        <v/>
      </c>
      <c r="Y174" s="1336">
        <f>'Departmental Expenses'!V48</f>
        <v/>
      </c>
      <c r="Z174" s="1336">
        <f>'Departmental Expenses'!W48</f>
        <v/>
      </c>
      <c r="AA174" s="1336">
        <f>'Departmental Expenses'!X48</f>
        <v/>
      </c>
      <c r="AB174" s="1336">
        <f>'Departmental Expenses'!Y48</f>
        <v/>
      </c>
      <c r="AC174" s="1336">
        <f>'Departmental Expenses'!Z48</f>
        <v/>
      </c>
      <c r="AD174" s="1336">
        <f>'Departmental Expenses'!AA48</f>
        <v/>
      </c>
      <c r="AE174" s="1336">
        <f>'Departmental Expenses'!AB48</f>
        <v/>
      </c>
      <c r="AF174" s="1336">
        <f>'Departmental Expenses'!AC48</f>
        <v/>
      </c>
      <c r="AG174" s="1403">
        <f>SUM(U174:AF174)</f>
        <v/>
      </c>
      <c r="AH174" s="248" t="n"/>
      <c r="AI174" s="1336">
        <f>'Departmental Expenses'!AF48</f>
        <v/>
      </c>
      <c r="AJ174" s="1336">
        <f>'Departmental Expenses'!AG48</f>
        <v/>
      </c>
      <c r="AK174" s="1336">
        <f>'Departmental Expenses'!AH48</f>
        <v/>
      </c>
      <c r="AL174" s="1336">
        <f>'Departmental Expenses'!AI48</f>
        <v/>
      </c>
      <c r="AM174" s="1336">
        <f>'Departmental Expenses'!AJ48</f>
        <v/>
      </c>
      <c r="AN174" s="1336">
        <f>'Departmental Expenses'!AK48</f>
        <v/>
      </c>
      <c r="AO174" s="1336">
        <f>'Departmental Expenses'!AL48</f>
        <v/>
      </c>
      <c r="AP174" s="1336">
        <f>'Departmental Expenses'!AM48</f>
        <v/>
      </c>
      <c r="AQ174" s="1336">
        <f>'Departmental Expenses'!AN48</f>
        <v/>
      </c>
      <c r="AR174" s="1336">
        <f>'Departmental Expenses'!AO48</f>
        <v/>
      </c>
      <c r="AS174" s="1336">
        <f>'Departmental Expenses'!AP48</f>
        <v/>
      </c>
      <c r="AT174" s="1336">
        <f>'Departmental Expenses'!AQ48</f>
        <v/>
      </c>
      <c r="AU174" s="1403">
        <f>SUM(AI174:AT174)</f>
        <v/>
      </c>
      <c r="AW174" s="1336">
        <f>'Departmental Expenses'!AT48</f>
        <v/>
      </c>
      <c r="AX174" s="1336">
        <f>'Departmental Expenses'!AU48</f>
        <v/>
      </c>
      <c r="AY174" s="1336">
        <f>'Departmental Expenses'!AV48</f>
        <v/>
      </c>
      <c r="AZ174" s="1336">
        <f>'Departmental Expenses'!AW48</f>
        <v/>
      </c>
      <c r="BA174" s="1336">
        <f>'Departmental Expenses'!AX48</f>
        <v/>
      </c>
      <c r="BB174" s="1336">
        <f>'Departmental Expenses'!AY48</f>
        <v/>
      </c>
      <c r="BC174" s="1336">
        <f>'Departmental Expenses'!AZ48</f>
        <v/>
      </c>
      <c r="BD174" s="1336">
        <f>'Departmental Expenses'!BA48</f>
        <v/>
      </c>
      <c r="BE174" s="1336">
        <f>'Departmental Expenses'!BB48</f>
        <v/>
      </c>
      <c r="BF174" s="1336">
        <f>'Departmental Expenses'!BC48</f>
        <v/>
      </c>
      <c r="BG174" s="1336">
        <f>'Departmental Expenses'!BD48</f>
        <v/>
      </c>
      <c r="BH174" s="1336">
        <f>'Departmental Expenses'!BE48</f>
        <v/>
      </c>
      <c r="BI174" s="1403">
        <f>SUM(AW174:BH174)</f>
        <v/>
      </c>
    </row>
    <row r="175" outlineLevel="1" ht="20" customHeight="1">
      <c r="A175" s="441" t="n"/>
      <c r="B175" s="400">
        <f>'Departmental Expenses'!A49</f>
        <v/>
      </c>
      <c r="C175" s="1368" t="n"/>
      <c r="D175" s="1364" t="n"/>
      <c r="E175" s="1365" t="n"/>
      <c r="F175" s="1370" t="n"/>
      <c r="G175" s="1336">
        <f>'Departmental Expenses'!D49</f>
        <v/>
      </c>
      <c r="H175" s="1336">
        <f>'Departmental Expenses'!E49</f>
        <v/>
      </c>
      <c r="I175" s="1336">
        <f>'Departmental Expenses'!F49</f>
        <v/>
      </c>
      <c r="J175" s="1336">
        <f>'Departmental Expenses'!G49</f>
        <v/>
      </c>
      <c r="K175" s="1336">
        <f>'Departmental Expenses'!H49</f>
        <v/>
      </c>
      <c r="L175" s="1336">
        <f>'Departmental Expenses'!I49</f>
        <v/>
      </c>
      <c r="M175" s="1336">
        <f>'Departmental Expenses'!J49</f>
        <v/>
      </c>
      <c r="N175" s="1336">
        <f>'Departmental Expenses'!K49</f>
        <v/>
      </c>
      <c r="O175" s="1336">
        <f>'Departmental Expenses'!L49</f>
        <v/>
      </c>
      <c r="P175" s="1336">
        <f>'Departmental Expenses'!M49</f>
        <v/>
      </c>
      <c r="Q175" s="1336">
        <f>'Departmental Expenses'!N49</f>
        <v/>
      </c>
      <c r="R175" s="1336">
        <f>'Departmental Expenses'!O49</f>
        <v/>
      </c>
      <c r="S175" s="1403">
        <f>SUM(G175:R175)</f>
        <v/>
      </c>
      <c r="T175" s="248" t="n"/>
      <c r="U175" s="1336">
        <f>'Departmental Expenses'!R49</f>
        <v/>
      </c>
      <c r="V175" s="1336">
        <f>'Departmental Expenses'!S49</f>
        <v/>
      </c>
      <c r="W175" s="1336">
        <f>'Departmental Expenses'!T49</f>
        <v/>
      </c>
      <c r="X175" s="1336">
        <f>'Departmental Expenses'!U49</f>
        <v/>
      </c>
      <c r="Y175" s="1336">
        <f>'Departmental Expenses'!V49</f>
        <v/>
      </c>
      <c r="Z175" s="1336">
        <f>'Departmental Expenses'!W49</f>
        <v/>
      </c>
      <c r="AA175" s="1336">
        <f>'Departmental Expenses'!X49</f>
        <v/>
      </c>
      <c r="AB175" s="1336">
        <f>'Departmental Expenses'!Y49</f>
        <v/>
      </c>
      <c r="AC175" s="1336">
        <f>'Departmental Expenses'!Z49</f>
        <v/>
      </c>
      <c r="AD175" s="1336">
        <f>'Departmental Expenses'!AA49</f>
        <v/>
      </c>
      <c r="AE175" s="1336">
        <f>'Departmental Expenses'!AB49</f>
        <v/>
      </c>
      <c r="AF175" s="1336">
        <f>'Departmental Expenses'!AC49</f>
        <v/>
      </c>
      <c r="AG175" s="1403">
        <f>SUM(U175:AF175)</f>
        <v/>
      </c>
      <c r="AH175" s="248" t="n"/>
      <c r="AI175" s="1336">
        <f>'Departmental Expenses'!AF49</f>
        <v/>
      </c>
      <c r="AJ175" s="1336">
        <f>'Departmental Expenses'!AG49</f>
        <v/>
      </c>
      <c r="AK175" s="1336">
        <f>'Departmental Expenses'!AH49</f>
        <v/>
      </c>
      <c r="AL175" s="1336">
        <f>'Departmental Expenses'!AI49</f>
        <v/>
      </c>
      <c r="AM175" s="1336">
        <f>'Departmental Expenses'!AJ49</f>
        <v/>
      </c>
      <c r="AN175" s="1336">
        <f>'Departmental Expenses'!AK49</f>
        <v/>
      </c>
      <c r="AO175" s="1336">
        <f>'Departmental Expenses'!AL49</f>
        <v/>
      </c>
      <c r="AP175" s="1336">
        <f>'Departmental Expenses'!AM49</f>
        <v/>
      </c>
      <c r="AQ175" s="1336">
        <f>'Departmental Expenses'!AN49</f>
        <v/>
      </c>
      <c r="AR175" s="1336">
        <f>'Departmental Expenses'!AO49</f>
        <v/>
      </c>
      <c r="AS175" s="1336">
        <f>'Departmental Expenses'!AP49</f>
        <v/>
      </c>
      <c r="AT175" s="1336">
        <f>'Departmental Expenses'!AQ49</f>
        <v/>
      </c>
      <c r="AU175" s="1403">
        <f>SUM(AI175:AT175)</f>
        <v/>
      </c>
      <c r="AW175" s="1336">
        <f>'Departmental Expenses'!AT49</f>
        <v/>
      </c>
      <c r="AX175" s="1336">
        <f>'Departmental Expenses'!AU49</f>
        <v/>
      </c>
      <c r="AY175" s="1336">
        <f>'Departmental Expenses'!AV49</f>
        <v/>
      </c>
      <c r="AZ175" s="1336">
        <f>'Departmental Expenses'!AW49</f>
        <v/>
      </c>
      <c r="BA175" s="1336">
        <f>'Departmental Expenses'!AX49</f>
        <v/>
      </c>
      <c r="BB175" s="1336">
        <f>'Departmental Expenses'!AY49</f>
        <v/>
      </c>
      <c r="BC175" s="1336">
        <f>'Departmental Expenses'!AZ49</f>
        <v/>
      </c>
      <c r="BD175" s="1336">
        <f>'Departmental Expenses'!BA49</f>
        <v/>
      </c>
      <c r="BE175" s="1336">
        <f>'Departmental Expenses'!BB49</f>
        <v/>
      </c>
      <c r="BF175" s="1336">
        <f>'Departmental Expenses'!BC49</f>
        <v/>
      </c>
      <c r="BG175" s="1336">
        <f>'Departmental Expenses'!BD49</f>
        <v/>
      </c>
      <c r="BH175" s="1336">
        <f>'Departmental Expenses'!BE49</f>
        <v/>
      </c>
      <c r="BI175" s="1403">
        <f>SUM(AW175:BH175)</f>
        <v/>
      </c>
    </row>
    <row r="176" outlineLevel="1" ht="20" customHeight="1">
      <c r="A176" s="441" t="n"/>
      <c r="B176" s="375">
        <f>'Departmental Expenses'!A50</f>
        <v/>
      </c>
      <c r="C176" s="1368" t="n"/>
      <c r="D176" s="1364" t="n"/>
      <c r="E176" s="1365" t="n"/>
      <c r="F176" s="1370" t="n"/>
      <c r="G176" s="1336">
        <f>'Departmental Expenses'!D50</f>
        <v/>
      </c>
      <c r="H176" s="1336">
        <f>'Departmental Expenses'!E50</f>
        <v/>
      </c>
      <c r="I176" s="1336">
        <f>'Departmental Expenses'!F50</f>
        <v/>
      </c>
      <c r="J176" s="1336">
        <f>'Departmental Expenses'!G50</f>
        <v/>
      </c>
      <c r="K176" s="1336">
        <f>'Departmental Expenses'!H50</f>
        <v/>
      </c>
      <c r="L176" s="1336">
        <f>'Departmental Expenses'!I50</f>
        <v/>
      </c>
      <c r="M176" s="1336">
        <f>'Departmental Expenses'!J50</f>
        <v/>
      </c>
      <c r="N176" s="1336">
        <f>'Departmental Expenses'!K50</f>
        <v/>
      </c>
      <c r="O176" s="1336">
        <f>'Departmental Expenses'!L50</f>
        <v/>
      </c>
      <c r="P176" s="1336">
        <f>'Departmental Expenses'!M50</f>
        <v/>
      </c>
      <c r="Q176" s="1336">
        <f>'Departmental Expenses'!N50</f>
        <v/>
      </c>
      <c r="R176" s="1336">
        <f>'Departmental Expenses'!O50</f>
        <v/>
      </c>
      <c r="S176" s="1403">
        <f>SUM(G176:R176)</f>
        <v/>
      </c>
      <c r="T176" s="248" t="n"/>
      <c r="U176" s="1336">
        <f>'Departmental Expenses'!R50</f>
        <v/>
      </c>
      <c r="V176" s="1336">
        <f>'Departmental Expenses'!S50</f>
        <v/>
      </c>
      <c r="W176" s="1336">
        <f>'Departmental Expenses'!T50</f>
        <v/>
      </c>
      <c r="X176" s="1336">
        <f>'Departmental Expenses'!U50</f>
        <v/>
      </c>
      <c r="Y176" s="1336">
        <f>'Departmental Expenses'!V50</f>
        <v/>
      </c>
      <c r="Z176" s="1336">
        <f>'Departmental Expenses'!W50</f>
        <v/>
      </c>
      <c r="AA176" s="1336">
        <f>'Departmental Expenses'!X50</f>
        <v/>
      </c>
      <c r="AB176" s="1336">
        <f>'Departmental Expenses'!Y50</f>
        <v/>
      </c>
      <c r="AC176" s="1336">
        <f>'Departmental Expenses'!Z50</f>
        <v/>
      </c>
      <c r="AD176" s="1336">
        <f>'Departmental Expenses'!AA50</f>
        <v/>
      </c>
      <c r="AE176" s="1336">
        <f>'Departmental Expenses'!AB50</f>
        <v/>
      </c>
      <c r="AF176" s="1336">
        <f>'Departmental Expenses'!AC50</f>
        <v/>
      </c>
      <c r="AG176" s="1403">
        <f>SUM(U176:AF176)</f>
        <v/>
      </c>
      <c r="AH176" s="248" t="n"/>
      <c r="AI176" s="1336">
        <f>'Departmental Expenses'!AF50</f>
        <v/>
      </c>
      <c r="AJ176" s="1336">
        <f>'Departmental Expenses'!AG50</f>
        <v/>
      </c>
      <c r="AK176" s="1336">
        <f>'Departmental Expenses'!AH50</f>
        <v/>
      </c>
      <c r="AL176" s="1336">
        <f>'Departmental Expenses'!AI50</f>
        <v/>
      </c>
      <c r="AM176" s="1336">
        <f>'Departmental Expenses'!AJ50</f>
        <v/>
      </c>
      <c r="AN176" s="1336">
        <f>'Departmental Expenses'!AK50</f>
        <v/>
      </c>
      <c r="AO176" s="1336">
        <f>'Departmental Expenses'!AL50</f>
        <v/>
      </c>
      <c r="AP176" s="1336">
        <f>'Departmental Expenses'!AM50</f>
        <v/>
      </c>
      <c r="AQ176" s="1336">
        <f>'Departmental Expenses'!AN50</f>
        <v/>
      </c>
      <c r="AR176" s="1336">
        <f>'Departmental Expenses'!AO50</f>
        <v/>
      </c>
      <c r="AS176" s="1336">
        <f>'Departmental Expenses'!AP50</f>
        <v/>
      </c>
      <c r="AT176" s="1336">
        <f>'Departmental Expenses'!AQ50</f>
        <v/>
      </c>
      <c r="AU176" s="1403">
        <f>SUM(AI176:AT176)</f>
        <v/>
      </c>
      <c r="AW176" s="1336">
        <f>'Departmental Expenses'!AT50</f>
        <v/>
      </c>
      <c r="AX176" s="1336">
        <f>'Departmental Expenses'!AU50</f>
        <v/>
      </c>
      <c r="AY176" s="1336">
        <f>'Departmental Expenses'!AV50</f>
        <v/>
      </c>
      <c r="AZ176" s="1336">
        <f>'Departmental Expenses'!AW50</f>
        <v/>
      </c>
      <c r="BA176" s="1336">
        <f>'Departmental Expenses'!AX50</f>
        <v/>
      </c>
      <c r="BB176" s="1336">
        <f>'Departmental Expenses'!AY50</f>
        <v/>
      </c>
      <c r="BC176" s="1336">
        <f>'Departmental Expenses'!AZ50</f>
        <v/>
      </c>
      <c r="BD176" s="1336">
        <f>'Departmental Expenses'!BA50</f>
        <v/>
      </c>
      <c r="BE176" s="1336">
        <f>'Departmental Expenses'!BB50</f>
        <v/>
      </c>
      <c r="BF176" s="1336">
        <f>'Departmental Expenses'!BC50</f>
        <v/>
      </c>
      <c r="BG176" s="1336">
        <f>'Departmental Expenses'!BD50</f>
        <v/>
      </c>
      <c r="BH176" s="1336">
        <f>'Departmental Expenses'!BE50</f>
        <v/>
      </c>
      <c r="BI176" s="1403">
        <f>SUM(AW176:BH176)</f>
        <v/>
      </c>
    </row>
    <row r="177" outlineLevel="1" ht="20" customHeight="1">
      <c r="A177" s="441" t="n"/>
      <c r="B177" s="375">
        <f>'Departmental Expenses'!A51</f>
        <v/>
      </c>
      <c r="C177" s="1368" t="n"/>
      <c r="D177" s="1364" t="n"/>
      <c r="E177" s="1365" t="n"/>
      <c r="F177" s="1370" t="n"/>
      <c r="G177" s="1336" t="n"/>
      <c r="H177" s="1336" t="n"/>
      <c r="I177" s="1336" t="n"/>
      <c r="J177" s="1336" t="n"/>
      <c r="K177" s="1336" t="n"/>
      <c r="L177" s="1336" t="n"/>
      <c r="M177" s="1336" t="n"/>
      <c r="N177" s="1336" t="n"/>
      <c r="O177" s="1336" t="n"/>
      <c r="P177" s="1336" t="n"/>
      <c r="Q177" s="1336" t="n"/>
      <c r="R177" s="1336" t="n"/>
      <c r="S177" s="1403" t="n"/>
      <c r="T177" s="248" t="n"/>
      <c r="U177" s="1336" t="n"/>
      <c r="V177" s="1336" t="n"/>
      <c r="W177" s="1336" t="n"/>
      <c r="X177" s="1336" t="n"/>
      <c r="Y177" s="1336" t="n"/>
      <c r="Z177" s="1336" t="n"/>
      <c r="AA177" s="1336" t="n"/>
      <c r="AB177" s="1336" t="n"/>
      <c r="AC177" s="1336" t="n"/>
      <c r="AD177" s="1336" t="n"/>
      <c r="AE177" s="1336" t="n"/>
      <c r="AF177" s="1336" t="n"/>
      <c r="AG177" s="1403" t="n"/>
      <c r="AH177" s="248" t="n"/>
      <c r="AI177" s="1336" t="n"/>
      <c r="AJ177" s="1336" t="n"/>
      <c r="AK177" s="1336" t="n"/>
      <c r="AL177" s="1336" t="n"/>
      <c r="AM177" s="1336" t="n"/>
      <c r="AN177" s="1336" t="n"/>
      <c r="AO177" s="1336" t="n"/>
      <c r="AP177" s="1336" t="n"/>
      <c r="AQ177" s="1336" t="n"/>
      <c r="AR177" s="1336" t="n"/>
      <c r="AS177" s="1336" t="n"/>
      <c r="AT177" s="1336" t="n"/>
      <c r="AU177" s="1403" t="n"/>
      <c r="AW177" s="1336" t="n"/>
      <c r="AX177" s="1336" t="n"/>
      <c r="AY177" s="1336" t="n"/>
      <c r="AZ177" s="1336" t="n"/>
      <c r="BA177" s="1336" t="n"/>
      <c r="BB177" s="1336" t="n"/>
      <c r="BC177" s="1336" t="n"/>
      <c r="BD177" s="1336" t="n"/>
      <c r="BE177" s="1336" t="n"/>
      <c r="BF177" s="1336" t="n"/>
      <c r="BG177" s="1336" t="n"/>
      <c r="BH177" s="1336" t="n"/>
      <c r="BI177" s="1403" t="n"/>
    </row>
    <row r="178" outlineLevel="1" ht="20" customHeight="1">
      <c r="A178" s="441" t="n"/>
      <c r="B178" s="402">
        <f>'Departmental Expenses'!A52</f>
        <v/>
      </c>
      <c r="C178" s="1368" t="n"/>
      <c r="D178" s="1364" t="n"/>
      <c r="E178" s="1365" t="n"/>
      <c r="F178" s="1370" t="n"/>
      <c r="G178" s="1336">
        <f>'Departmental Expenses'!D52</f>
        <v/>
      </c>
      <c r="H178" s="1336">
        <f>'Departmental Expenses'!E52</f>
        <v/>
      </c>
      <c r="I178" s="1336">
        <f>'Departmental Expenses'!F52</f>
        <v/>
      </c>
      <c r="J178" s="1336">
        <f>'Departmental Expenses'!G52</f>
        <v/>
      </c>
      <c r="K178" s="1336">
        <f>'Departmental Expenses'!H52</f>
        <v/>
      </c>
      <c r="L178" s="1336">
        <f>'Departmental Expenses'!I52</f>
        <v/>
      </c>
      <c r="M178" s="1336">
        <f>'Departmental Expenses'!J52</f>
        <v/>
      </c>
      <c r="N178" s="1336">
        <f>'Departmental Expenses'!K52</f>
        <v/>
      </c>
      <c r="O178" s="1336">
        <f>'Departmental Expenses'!L52</f>
        <v/>
      </c>
      <c r="P178" s="1336">
        <f>'Departmental Expenses'!M52</f>
        <v/>
      </c>
      <c r="Q178" s="1336">
        <f>'Departmental Expenses'!N52</f>
        <v/>
      </c>
      <c r="R178" s="1336">
        <f>'Departmental Expenses'!O52</f>
        <v/>
      </c>
      <c r="S178" s="1403">
        <f>SUM(G178:R178)</f>
        <v/>
      </c>
      <c r="T178" s="248" t="n"/>
      <c r="U178" s="1336">
        <f>'Departmental Expenses'!R52</f>
        <v/>
      </c>
      <c r="V178" s="1336">
        <f>'Departmental Expenses'!S52</f>
        <v/>
      </c>
      <c r="W178" s="1336">
        <f>'Departmental Expenses'!T52</f>
        <v/>
      </c>
      <c r="X178" s="1336">
        <f>'Departmental Expenses'!U52</f>
        <v/>
      </c>
      <c r="Y178" s="1336">
        <f>'Departmental Expenses'!V52</f>
        <v/>
      </c>
      <c r="Z178" s="1336">
        <f>'Departmental Expenses'!W52</f>
        <v/>
      </c>
      <c r="AA178" s="1336">
        <f>'Departmental Expenses'!X52</f>
        <v/>
      </c>
      <c r="AB178" s="1336">
        <f>'Departmental Expenses'!Y52</f>
        <v/>
      </c>
      <c r="AC178" s="1336">
        <f>'Departmental Expenses'!Z52</f>
        <v/>
      </c>
      <c r="AD178" s="1336">
        <f>'Departmental Expenses'!AA52</f>
        <v/>
      </c>
      <c r="AE178" s="1336">
        <f>'Departmental Expenses'!AB52</f>
        <v/>
      </c>
      <c r="AF178" s="1336">
        <f>'Departmental Expenses'!AC52</f>
        <v/>
      </c>
      <c r="AG178" s="1403">
        <f>SUM(U178:AF178)</f>
        <v/>
      </c>
      <c r="AH178" s="248" t="n"/>
      <c r="AI178" s="1336">
        <f>'Departmental Expenses'!AF52</f>
        <v/>
      </c>
      <c r="AJ178" s="1336">
        <f>'Departmental Expenses'!AG52</f>
        <v/>
      </c>
      <c r="AK178" s="1336">
        <f>'Departmental Expenses'!AH52</f>
        <v/>
      </c>
      <c r="AL178" s="1336">
        <f>'Departmental Expenses'!AI52</f>
        <v/>
      </c>
      <c r="AM178" s="1336">
        <f>'Departmental Expenses'!AJ52</f>
        <v/>
      </c>
      <c r="AN178" s="1336">
        <f>'Departmental Expenses'!AK52</f>
        <v/>
      </c>
      <c r="AO178" s="1336">
        <f>'Departmental Expenses'!AL52</f>
        <v/>
      </c>
      <c r="AP178" s="1336">
        <f>'Departmental Expenses'!AM52</f>
        <v/>
      </c>
      <c r="AQ178" s="1336">
        <f>'Departmental Expenses'!AN52</f>
        <v/>
      </c>
      <c r="AR178" s="1336">
        <f>'Departmental Expenses'!AO52</f>
        <v/>
      </c>
      <c r="AS178" s="1336">
        <f>'Departmental Expenses'!AP52</f>
        <v/>
      </c>
      <c r="AT178" s="1336">
        <f>'Departmental Expenses'!AQ52</f>
        <v/>
      </c>
      <c r="AU178" s="1403">
        <f>SUM(AI178:AT178)</f>
        <v/>
      </c>
      <c r="AW178" s="1336">
        <f>'Departmental Expenses'!AT52</f>
        <v/>
      </c>
      <c r="AX178" s="1336">
        <f>'Departmental Expenses'!AU52</f>
        <v/>
      </c>
      <c r="AY178" s="1336">
        <f>'Departmental Expenses'!AV52</f>
        <v/>
      </c>
      <c r="AZ178" s="1336">
        <f>'Departmental Expenses'!AW52</f>
        <v/>
      </c>
      <c r="BA178" s="1336">
        <f>'Departmental Expenses'!AX52</f>
        <v/>
      </c>
      <c r="BB178" s="1336">
        <f>'Departmental Expenses'!AY52</f>
        <v/>
      </c>
      <c r="BC178" s="1336">
        <f>'Departmental Expenses'!AZ52</f>
        <v/>
      </c>
      <c r="BD178" s="1336">
        <f>'Departmental Expenses'!BA52</f>
        <v/>
      </c>
      <c r="BE178" s="1336">
        <f>'Departmental Expenses'!BB52</f>
        <v/>
      </c>
      <c r="BF178" s="1336">
        <f>'Departmental Expenses'!BC52</f>
        <v/>
      </c>
      <c r="BG178" s="1336">
        <f>'Departmental Expenses'!BD52</f>
        <v/>
      </c>
      <c r="BH178" s="1336">
        <f>'Departmental Expenses'!BE52</f>
        <v/>
      </c>
      <c r="BI178" s="1403">
        <f>SUM(AW178:BH178)</f>
        <v/>
      </c>
    </row>
    <row r="179" outlineLevel="1" ht="20" customHeight="1">
      <c r="A179" s="441" t="n"/>
      <c r="B179" s="402">
        <f>'Departmental Expenses'!A53</f>
        <v/>
      </c>
      <c r="C179" s="1368" t="n"/>
      <c r="D179" s="1364" t="n"/>
      <c r="E179" s="1365" t="n"/>
      <c r="F179" s="1370" t="n"/>
      <c r="G179" s="1336">
        <f>'Departmental Expenses'!D53</f>
        <v/>
      </c>
      <c r="H179" s="1336">
        <f>'Departmental Expenses'!E53</f>
        <v/>
      </c>
      <c r="I179" s="1336">
        <f>'Departmental Expenses'!F53</f>
        <v/>
      </c>
      <c r="J179" s="1336">
        <f>'Departmental Expenses'!G53</f>
        <v/>
      </c>
      <c r="K179" s="1336">
        <f>'Departmental Expenses'!H53</f>
        <v/>
      </c>
      <c r="L179" s="1336">
        <f>'Departmental Expenses'!I53</f>
        <v/>
      </c>
      <c r="M179" s="1336">
        <f>'Departmental Expenses'!J53</f>
        <v/>
      </c>
      <c r="N179" s="1336">
        <f>'Departmental Expenses'!K53</f>
        <v/>
      </c>
      <c r="O179" s="1336">
        <f>'Departmental Expenses'!L53</f>
        <v/>
      </c>
      <c r="P179" s="1336">
        <f>'Departmental Expenses'!M53</f>
        <v/>
      </c>
      <c r="Q179" s="1336">
        <f>'Departmental Expenses'!N53</f>
        <v/>
      </c>
      <c r="R179" s="1336">
        <f>'Departmental Expenses'!O53</f>
        <v/>
      </c>
      <c r="S179" s="1403">
        <f>SUM(G179:R179)</f>
        <v/>
      </c>
      <c r="T179" s="248" t="n"/>
      <c r="U179" s="1336">
        <f>'Departmental Expenses'!R53</f>
        <v/>
      </c>
      <c r="V179" s="1336">
        <f>'Departmental Expenses'!S53</f>
        <v/>
      </c>
      <c r="W179" s="1336">
        <f>'Departmental Expenses'!T53</f>
        <v/>
      </c>
      <c r="X179" s="1336">
        <f>'Departmental Expenses'!U53</f>
        <v/>
      </c>
      <c r="Y179" s="1336">
        <f>'Departmental Expenses'!V53</f>
        <v/>
      </c>
      <c r="Z179" s="1336">
        <f>'Departmental Expenses'!W53</f>
        <v/>
      </c>
      <c r="AA179" s="1336">
        <f>'Departmental Expenses'!X53</f>
        <v/>
      </c>
      <c r="AB179" s="1336">
        <f>'Departmental Expenses'!Y53</f>
        <v/>
      </c>
      <c r="AC179" s="1336">
        <f>'Departmental Expenses'!Z53</f>
        <v/>
      </c>
      <c r="AD179" s="1336">
        <f>'Departmental Expenses'!AA53</f>
        <v/>
      </c>
      <c r="AE179" s="1336">
        <f>'Departmental Expenses'!AB53</f>
        <v/>
      </c>
      <c r="AF179" s="1336">
        <f>'Departmental Expenses'!AC53</f>
        <v/>
      </c>
      <c r="AG179" s="1403">
        <f>SUM(U179:AF179)</f>
        <v/>
      </c>
      <c r="AH179" s="248" t="n"/>
      <c r="AI179" s="1336">
        <f>'Departmental Expenses'!AF53</f>
        <v/>
      </c>
      <c r="AJ179" s="1336">
        <f>'Departmental Expenses'!AG53</f>
        <v/>
      </c>
      <c r="AK179" s="1336">
        <f>'Departmental Expenses'!AH53</f>
        <v/>
      </c>
      <c r="AL179" s="1336">
        <f>'Departmental Expenses'!AI53</f>
        <v/>
      </c>
      <c r="AM179" s="1336">
        <f>'Departmental Expenses'!AJ53</f>
        <v/>
      </c>
      <c r="AN179" s="1336">
        <f>'Departmental Expenses'!AK53</f>
        <v/>
      </c>
      <c r="AO179" s="1336">
        <f>'Departmental Expenses'!AL53</f>
        <v/>
      </c>
      <c r="AP179" s="1336">
        <f>'Departmental Expenses'!AM53</f>
        <v/>
      </c>
      <c r="AQ179" s="1336">
        <f>'Departmental Expenses'!AN53</f>
        <v/>
      </c>
      <c r="AR179" s="1336">
        <f>'Departmental Expenses'!AO53</f>
        <v/>
      </c>
      <c r="AS179" s="1336">
        <f>'Departmental Expenses'!AP53</f>
        <v/>
      </c>
      <c r="AT179" s="1336">
        <f>'Departmental Expenses'!AQ53</f>
        <v/>
      </c>
      <c r="AU179" s="1403">
        <f>SUM(AI179:AT179)</f>
        <v/>
      </c>
      <c r="AW179" s="1336">
        <f>'Departmental Expenses'!AT53</f>
        <v/>
      </c>
      <c r="AX179" s="1336">
        <f>'Departmental Expenses'!AU53</f>
        <v/>
      </c>
      <c r="AY179" s="1336">
        <f>'Departmental Expenses'!AV53</f>
        <v/>
      </c>
      <c r="AZ179" s="1336">
        <f>'Departmental Expenses'!AW53</f>
        <v/>
      </c>
      <c r="BA179" s="1336">
        <f>'Departmental Expenses'!AX53</f>
        <v/>
      </c>
      <c r="BB179" s="1336">
        <f>'Departmental Expenses'!AY53</f>
        <v/>
      </c>
      <c r="BC179" s="1336">
        <f>'Departmental Expenses'!AZ53</f>
        <v/>
      </c>
      <c r="BD179" s="1336">
        <f>'Departmental Expenses'!BA53</f>
        <v/>
      </c>
      <c r="BE179" s="1336">
        <f>'Departmental Expenses'!BB53</f>
        <v/>
      </c>
      <c r="BF179" s="1336">
        <f>'Departmental Expenses'!BC53</f>
        <v/>
      </c>
      <c r="BG179" s="1336">
        <f>'Departmental Expenses'!BD53</f>
        <v/>
      </c>
      <c r="BH179" s="1336">
        <f>'Departmental Expenses'!BE53</f>
        <v/>
      </c>
      <c r="BI179" s="1403">
        <f>SUM(AW179:BH179)</f>
        <v/>
      </c>
    </row>
    <row r="180" outlineLevel="1" ht="20" customHeight="1">
      <c r="A180" s="441" t="n"/>
      <c r="B180" s="402">
        <f>'Departmental Expenses'!A54</f>
        <v/>
      </c>
      <c r="C180" s="1368" t="n"/>
      <c r="D180" s="1364" t="n"/>
      <c r="E180" s="1365" t="n"/>
      <c r="F180" s="1370" t="n"/>
      <c r="G180" s="1336">
        <f>'Departmental Expenses'!D54</f>
        <v/>
      </c>
      <c r="H180" s="1336">
        <f>'Departmental Expenses'!E54</f>
        <v/>
      </c>
      <c r="I180" s="1336">
        <f>'Departmental Expenses'!F54</f>
        <v/>
      </c>
      <c r="J180" s="1336">
        <f>'Departmental Expenses'!G54</f>
        <v/>
      </c>
      <c r="K180" s="1336">
        <f>'Departmental Expenses'!H54</f>
        <v/>
      </c>
      <c r="L180" s="1336">
        <f>'Departmental Expenses'!I54</f>
        <v/>
      </c>
      <c r="M180" s="1336">
        <f>'Departmental Expenses'!J54</f>
        <v/>
      </c>
      <c r="N180" s="1336">
        <f>'Departmental Expenses'!K54</f>
        <v/>
      </c>
      <c r="O180" s="1336">
        <f>'Departmental Expenses'!L54</f>
        <v/>
      </c>
      <c r="P180" s="1336">
        <f>'Departmental Expenses'!M54</f>
        <v/>
      </c>
      <c r="Q180" s="1336">
        <f>'Departmental Expenses'!N54</f>
        <v/>
      </c>
      <c r="R180" s="1336">
        <f>'Departmental Expenses'!O54</f>
        <v/>
      </c>
      <c r="S180" s="1403">
        <f>SUM(G180:R180)</f>
        <v/>
      </c>
      <c r="T180" s="248" t="n"/>
      <c r="U180" s="1336">
        <f>'Departmental Expenses'!R54</f>
        <v/>
      </c>
      <c r="V180" s="1336">
        <f>'Departmental Expenses'!S54</f>
        <v/>
      </c>
      <c r="W180" s="1336">
        <f>'Departmental Expenses'!T54</f>
        <v/>
      </c>
      <c r="X180" s="1336">
        <f>'Departmental Expenses'!U54</f>
        <v/>
      </c>
      <c r="Y180" s="1336">
        <f>'Departmental Expenses'!V54</f>
        <v/>
      </c>
      <c r="Z180" s="1336">
        <f>'Departmental Expenses'!W54</f>
        <v/>
      </c>
      <c r="AA180" s="1336">
        <f>'Departmental Expenses'!X54</f>
        <v/>
      </c>
      <c r="AB180" s="1336">
        <f>'Departmental Expenses'!Y54</f>
        <v/>
      </c>
      <c r="AC180" s="1336">
        <f>'Departmental Expenses'!Z54</f>
        <v/>
      </c>
      <c r="AD180" s="1336">
        <f>'Departmental Expenses'!AA54</f>
        <v/>
      </c>
      <c r="AE180" s="1336">
        <f>'Departmental Expenses'!AB54</f>
        <v/>
      </c>
      <c r="AF180" s="1336">
        <f>'Departmental Expenses'!AC54</f>
        <v/>
      </c>
      <c r="AG180" s="1403">
        <f>SUM(U180:AF180)</f>
        <v/>
      </c>
      <c r="AH180" s="248" t="n"/>
      <c r="AI180" s="1336">
        <f>'Departmental Expenses'!AF54</f>
        <v/>
      </c>
      <c r="AJ180" s="1336">
        <f>'Departmental Expenses'!AG54</f>
        <v/>
      </c>
      <c r="AK180" s="1336">
        <f>'Departmental Expenses'!AH54</f>
        <v/>
      </c>
      <c r="AL180" s="1336">
        <f>'Departmental Expenses'!AI54</f>
        <v/>
      </c>
      <c r="AM180" s="1336">
        <f>'Departmental Expenses'!AJ54</f>
        <v/>
      </c>
      <c r="AN180" s="1336">
        <f>'Departmental Expenses'!AK54</f>
        <v/>
      </c>
      <c r="AO180" s="1336">
        <f>'Departmental Expenses'!AL54</f>
        <v/>
      </c>
      <c r="AP180" s="1336">
        <f>'Departmental Expenses'!AM54</f>
        <v/>
      </c>
      <c r="AQ180" s="1336">
        <f>'Departmental Expenses'!AN54</f>
        <v/>
      </c>
      <c r="AR180" s="1336">
        <f>'Departmental Expenses'!AO54</f>
        <v/>
      </c>
      <c r="AS180" s="1336">
        <f>'Departmental Expenses'!AP54</f>
        <v/>
      </c>
      <c r="AT180" s="1336">
        <f>'Departmental Expenses'!AQ54</f>
        <v/>
      </c>
      <c r="AU180" s="1403">
        <f>SUM(AI180:AT180)</f>
        <v/>
      </c>
      <c r="AW180" s="1336">
        <f>'Departmental Expenses'!AT54</f>
        <v/>
      </c>
      <c r="AX180" s="1336">
        <f>'Departmental Expenses'!AU54</f>
        <v/>
      </c>
      <c r="AY180" s="1336">
        <f>'Departmental Expenses'!AV54</f>
        <v/>
      </c>
      <c r="AZ180" s="1336">
        <f>'Departmental Expenses'!AW54</f>
        <v/>
      </c>
      <c r="BA180" s="1336">
        <f>'Departmental Expenses'!AX54</f>
        <v/>
      </c>
      <c r="BB180" s="1336">
        <f>'Departmental Expenses'!AY54</f>
        <v/>
      </c>
      <c r="BC180" s="1336">
        <f>'Departmental Expenses'!AZ54</f>
        <v/>
      </c>
      <c r="BD180" s="1336">
        <f>'Departmental Expenses'!BA54</f>
        <v/>
      </c>
      <c r="BE180" s="1336">
        <f>'Departmental Expenses'!BB54</f>
        <v/>
      </c>
      <c r="BF180" s="1336">
        <f>'Departmental Expenses'!BC54</f>
        <v/>
      </c>
      <c r="BG180" s="1336">
        <f>'Departmental Expenses'!BD54</f>
        <v/>
      </c>
      <c r="BH180" s="1336">
        <f>'Departmental Expenses'!BE54</f>
        <v/>
      </c>
      <c r="BI180" s="1403">
        <f>SUM(AW180:BH180)</f>
        <v/>
      </c>
    </row>
    <row r="181" outlineLevel="1" ht="20" customHeight="1">
      <c r="A181" s="441" t="n"/>
      <c r="B181" s="402">
        <f>'Departmental Expenses'!A55</f>
        <v/>
      </c>
      <c r="C181" s="1368" t="n"/>
      <c r="D181" s="1364" t="n"/>
      <c r="E181" s="1365" t="n"/>
      <c r="F181" s="1370" t="n"/>
      <c r="G181" s="1336">
        <f>'Departmental Expenses'!D55</f>
        <v/>
      </c>
      <c r="H181" s="1336">
        <f>'Departmental Expenses'!E55</f>
        <v/>
      </c>
      <c r="I181" s="1336">
        <f>'Departmental Expenses'!F55</f>
        <v/>
      </c>
      <c r="J181" s="1336">
        <f>'Departmental Expenses'!G55</f>
        <v/>
      </c>
      <c r="K181" s="1336">
        <f>'Departmental Expenses'!H55</f>
        <v/>
      </c>
      <c r="L181" s="1336">
        <f>'Departmental Expenses'!I55</f>
        <v/>
      </c>
      <c r="M181" s="1336">
        <f>'Departmental Expenses'!J55</f>
        <v/>
      </c>
      <c r="N181" s="1336">
        <f>'Departmental Expenses'!K55</f>
        <v/>
      </c>
      <c r="O181" s="1336">
        <f>'Departmental Expenses'!L55</f>
        <v/>
      </c>
      <c r="P181" s="1336">
        <f>'Departmental Expenses'!M55</f>
        <v/>
      </c>
      <c r="Q181" s="1336">
        <f>'Departmental Expenses'!N55</f>
        <v/>
      </c>
      <c r="R181" s="1336">
        <f>'Departmental Expenses'!O55</f>
        <v/>
      </c>
      <c r="S181" s="1403">
        <f>SUM(G181:R181)</f>
        <v/>
      </c>
      <c r="T181" s="248" t="n"/>
      <c r="U181" s="1336">
        <f>'Departmental Expenses'!R55</f>
        <v/>
      </c>
      <c r="V181" s="1336">
        <f>'Departmental Expenses'!S55</f>
        <v/>
      </c>
      <c r="W181" s="1336">
        <f>'Departmental Expenses'!T55</f>
        <v/>
      </c>
      <c r="X181" s="1336">
        <f>'Departmental Expenses'!U55</f>
        <v/>
      </c>
      <c r="Y181" s="1336">
        <f>'Departmental Expenses'!V55</f>
        <v/>
      </c>
      <c r="Z181" s="1336">
        <f>'Departmental Expenses'!W55</f>
        <v/>
      </c>
      <c r="AA181" s="1336">
        <f>'Departmental Expenses'!X55</f>
        <v/>
      </c>
      <c r="AB181" s="1336">
        <f>'Departmental Expenses'!Y55</f>
        <v/>
      </c>
      <c r="AC181" s="1336">
        <f>'Departmental Expenses'!Z55</f>
        <v/>
      </c>
      <c r="AD181" s="1336">
        <f>'Departmental Expenses'!AA55</f>
        <v/>
      </c>
      <c r="AE181" s="1336">
        <f>'Departmental Expenses'!AB55</f>
        <v/>
      </c>
      <c r="AF181" s="1336">
        <f>'Departmental Expenses'!AC55</f>
        <v/>
      </c>
      <c r="AG181" s="1403">
        <f>SUM(U181:AF181)</f>
        <v/>
      </c>
      <c r="AH181" s="248" t="n"/>
      <c r="AI181" s="1336">
        <f>'Departmental Expenses'!AF55</f>
        <v/>
      </c>
      <c r="AJ181" s="1336">
        <f>'Departmental Expenses'!AG55</f>
        <v/>
      </c>
      <c r="AK181" s="1336">
        <f>'Departmental Expenses'!AH55</f>
        <v/>
      </c>
      <c r="AL181" s="1336">
        <f>'Departmental Expenses'!AI55</f>
        <v/>
      </c>
      <c r="AM181" s="1336">
        <f>'Departmental Expenses'!AJ55</f>
        <v/>
      </c>
      <c r="AN181" s="1336">
        <f>'Departmental Expenses'!AK55</f>
        <v/>
      </c>
      <c r="AO181" s="1336">
        <f>'Departmental Expenses'!AL55</f>
        <v/>
      </c>
      <c r="AP181" s="1336">
        <f>'Departmental Expenses'!AM55</f>
        <v/>
      </c>
      <c r="AQ181" s="1336">
        <f>'Departmental Expenses'!AN55</f>
        <v/>
      </c>
      <c r="AR181" s="1336">
        <f>'Departmental Expenses'!AO55</f>
        <v/>
      </c>
      <c r="AS181" s="1336">
        <f>'Departmental Expenses'!AP55</f>
        <v/>
      </c>
      <c r="AT181" s="1336">
        <f>'Departmental Expenses'!AQ55</f>
        <v/>
      </c>
      <c r="AU181" s="1403">
        <f>SUM(AI181:AT181)</f>
        <v/>
      </c>
      <c r="AW181" s="1336">
        <f>'Departmental Expenses'!AT55</f>
        <v/>
      </c>
      <c r="AX181" s="1336">
        <f>'Departmental Expenses'!AU55</f>
        <v/>
      </c>
      <c r="AY181" s="1336">
        <f>'Departmental Expenses'!AV55</f>
        <v/>
      </c>
      <c r="AZ181" s="1336">
        <f>'Departmental Expenses'!AW55</f>
        <v/>
      </c>
      <c r="BA181" s="1336">
        <f>'Departmental Expenses'!AX55</f>
        <v/>
      </c>
      <c r="BB181" s="1336">
        <f>'Departmental Expenses'!AY55</f>
        <v/>
      </c>
      <c r="BC181" s="1336">
        <f>'Departmental Expenses'!AZ55</f>
        <v/>
      </c>
      <c r="BD181" s="1336">
        <f>'Departmental Expenses'!BA55</f>
        <v/>
      </c>
      <c r="BE181" s="1336">
        <f>'Departmental Expenses'!BB55</f>
        <v/>
      </c>
      <c r="BF181" s="1336">
        <f>'Departmental Expenses'!BC55</f>
        <v/>
      </c>
      <c r="BG181" s="1336">
        <f>'Departmental Expenses'!BD55</f>
        <v/>
      </c>
      <c r="BH181" s="1336">
        <f>'Departmental Expenses'!BE55</f>
        <v/>
      </c>
      <c r="BI181" s="1403">
        <f>SUM(AW181:BH181)</f>
        <v/>
      </c>
    </row>
    <row r="182" outlineLevel="1" ht="20" customHeight="1">
      <c r="A182" s="441" t="n"/>
      <c r="B182" s="402">
        <f>'Departmental Expenses'!A56</f>
        <v/>
      </c>
      <c r="C182" s="1368" t="n"/>
      <c r="D182" s="1364" t="n"/>
      <c r="E182" s="1365" t="n"/>
      <c r="F182" s="1370" t="n"/>
      <c r="G182" s="1336">
        <f>'Departmental Expenses'!D56</f>
        <v/>
      </c>
      <c r="H182" s="1336">
        <f>'Departmental Expenses'!E56</f>
        <v/>
      </c>
      <c r="I182" s="1336">
        <f>'Departmental Expenses'!F56</f>
        <v/>
      </c>
      <c r="J182" s="1336">
        <f>'Departmental Expenses'!G56</f>
        <v/>
      </c>
      <c r="K182" s="1336">
        <f>'Departmental Expenses'!H56</f>
        <v/>
      </c>
      <c r="L182" s="1336">
        <f>'Departmental Expenses'!I56</f>
        <v/>
      </c>
      <c r="M182" s="1336">
        <f>'Departmental Expenses'!J56</f>
        <v/>
      </c>
      <c r="N182" s="1336">
        <f>'Departmental Expenses'!K56</f>
        <v/>
      </c>
      <c r="O182" s="1336">
        <f>'Departmental Expenses'!L56</f>
        <v/>
      </c>
      <c r="P182" s="1336">
        <f>'Departmental Expenses'!M56</f>
        <v/>
      </c>
      <c r="Q182" s="1336">
        <f>'Departmental Expenses'!N56</f>
        <v/>
      </c>
      <c r="R182" s="1336">
        <f>'Departmental Expenses'!O56</f>
        <v/>
      </c>
      <c r="S182" s="1403">
        <f>SUM(G182:R182)</f>
        <v/>
      </c>
      <c r="T182" s="248" t="n"/>
      <c r="U182" s="1336">
        <f>'Departmental Expenses'!R56</f>
        <v/>
      </c>
      <c r="V182" s="1336">
        <f>'Departmental Expenses'!S56</f>
        <v/>
      </c>
      <c r="W182" s="1336">
        <f>'Departmental Expenses'!T56</f>
        <v/>
      </c>
      <c r="X182" s="1336">
        <f>'Departmental Expenses'!U56</f>
        <v/>
      </c>
      <c r="Y182" s="1336">
        <f>'Departmental Expenses'!V56</f>
        <v/>
      </c>
      <c r="Z182" s="1336">
        <f>'Departmental Expenses'!W56</f>
        <v/>
      </c>
      <c r="AA182" s="1336">
        <f>'Departmental Expenses'!X56</f>
        <v/>
      </c>
      <c r="AB182" s="1336">
        <f>'Departmental Expenses'!Y56</f>
        <v/>
      </c>
      <c r="AC182" s="1336">
        <f>'Departmental Expenses'!Z56</f>
        <v/>
      </c>
      <c r="AD182" s="1336">
        <f>'Departmental Expenses'!AA56</f>
        <v/>
      </c>
      <c r="AE182" s="1336">
        <f>'Departmental Expenses'!AB56</f>
        <v/>
      </c>
      <c r="AF182" s="1336">
        <f>'Departmental Expenses'!AC56</f>
        <v/>
      </c>
      <c r="AG182" s="1403">
        <f>SUM(U182:AF182)</f>
        <v/>
      </c>
      <c r="AH182" s="248" t="n"/>
      <c r="AI182" s="1336">
        <f>'Departmental Expenses'!AF56</f>
        <v/>
      </c>
      <c r="AJ182" s="1336">
        <f>'Departmental Expenses'!AG56</f>
        <v/>
      </c>
      <c r="AK182" s="1336">
        <f>'Departmental Expenses'!AH56</f>
        <v/>
      </c>
      <c r="AL182" s="1336">
        <f>'Departmental Expenses'!AI56</f>
        <v/>
      </c>
      <c r="AM182" s="1336">
        <f>'Departmental Expenses'!AJ56</f>
        <v/>
      </c>
      <c r="AN182" s="1336">
        <f>'Departmental Expenses'!AK56</f>
        <v/>
      </c>
      <c r="AO182" s="1336">
        <f>'Departmental Expenses'!AL56</f>
        <v/>
      </c>
      <c r="AP182" s="1336">
        <f>'Departmental Expenses'!AM56</f>
        <v/>
      </c>
      <c r="AQ182" s="1336">
        <f>'Departmental Expenses'!AN56</f>
        <v/>
      </c>
      <c r="AR182" s="1336">
        <f>'Departmental Expenses'!AO56</f>
        <v/>
      </c>
      <c r="AS182" s="1336">
        <f>'Departmental Expenses'!AP56</f>
        <v/>
      </c>
      <c r="AT182" s="1336">
        <f>'Departmental Expenses'!AQ56</f>
        <v/>
      </c>
      <c r="AU182" s="1403">
        <f>SUM(AI182:AT182)</f>
        <v/>
      </c>
      <c r="AW182" s="1336">
        <f>'Departmental Expenses'!AT56</f>
        <v/>
      </c>
      <c r="AX182" s="1336">
        <f>'Departmental Expenses'!AU56</f>
        <v/>
      </c>
      <c r="AY182" s="1336">
        <f>'Departmental Expenses'!AV56</f>
        <v/>
      </c>
      <c r="AZ182" s="1336">
        <f>'Departmental Expenses'!AW56</f>
        <v/>
      </c>
      <c r="BA182" s="1336">
        <f>'Departmental Expenses'!AX56</f>
        <v/>
      </c>
      <c r="BB182" s="1336">
        <f>'Departmental Expenses'!AY56</f>
        <v/>
      </c>
      <c r="BC182" s="1336">
        <f>'Departmental Expenses'!AZ56</f>
        <v/>
      </c>
      <c r="BD182" s="1336">
        <f>'Departmental Expenses'!BA56</f>
        <v/>
      </c>
      <c r="BE182" s="1336">
        <f>'Departmental Expenses'!BB56</f>
        <v/>
      </c>
      <c r="BF182" s="1336">
        <f>'Departmental Expenses'!BC56</f>
        <v/>
      </c>
      <c r="BG182" s="1336">
        <f>'Departmental Expenses'!BD56</f>
        <v/>
      </c>
      <c r="BH182" s="1336">
        <f>'Departmental Expenses'!BE56</f>
        <v/>
      </c>
      <c r="BI182" s="1403">
        <f>SUM(AW182:BH182)</f>
        <v/>
      </c>
    </row>
    <row r="183" outlineLevel="1" ht="20" customHeight="1">
      <c r="A183" s="441" t="n"/>
      <c r="B183" s="402">
        <f>'Departmental Expenses'!A57</f>
        <v/>
      </c>
      <c r="C183" s="1368" t="n"/>
      <c r="D183" s="1364" t="n"/>
      <c r="E183" s="1365" t="n"/>
      <c r="F183" s="1370" t="n"/>
      <c r="G183" s="1336">
        <f>'Departmental Expenses'!D57</f>
        <v/>
      </c>
      <c r="H183" s="1336">
        <f>'Departmental Expenses'!E57</f>
        <v/>
      </c>
      <c r="I183" s="1336">
        <f>'Departmental Expenses'!F57</f>
        <v/>
      </c>
      <c r="J183" s="1336">
        <f>'Departmental Expenses'!G57</f>
        <v/>
      </c>
      <c r="K183" s="1336">
        <f>'Departmental Expenses'!H57</f>
        <v/>
      </c>
      <c r="L183" s="1336">
        <f>'Departmental Expenses'!I57</f>
        <v/>
      </c>
      <c r="M183" s="1336">
        <f>'Departmental Expenses'!J57</f>
        <v/>
      </c>
      <c r="N183" s="1336">
        <f>'Departmental Expenses'!K57</f>
        <v/>
      </c>
      <c r="O183" s="1336">
        <f>'Departmental Expenses'!L57</f>
        <v/>
      </c>
      <c r="P183" s="1336">
        <f>'Departmental Expenses'!M57</f>
        <v/>
      </c>
      <c r="Q183" s="1336">
        <f>'Departmental Expenses'!N57</f>
        <v/>
      </c>
      <c r="R183" s="1336">
        <f>'Departmental Expenses'!O57</f>
        <v/>
      </c>
      <c r="S183" s="1367">
        <f>'Departmental Expenses'!P57</f>
        <v/>
      </c>
      <c r="T183" s="1337">
        <f>'Departmental Expenses'!Q57</f>
        <v/>
      </c>
      <c r="U183" s="1336">
        <f>'Departmental Expenses'!R57</f>
        <v/>
      </c>
      <c r="V183" s="1336">
        <f>'Departmental Expenses'!S57</f>
        <v/>
      </c>
      <c r="W183" s="1336">
        <f>'Departmental Expenses'!T57</f>
        <v/>
      </c>
      <c r="X183" s="1336">
        <f>'Departmental Expenses'!U57</f>
        <v/>
      </c>
      <c r="Y183" s="1336">
        <f>'Departmental Expenses'!V57</f>
        <v/>
      </c>
      <c r="Z183" s="1336">
        <f>'Departmental Expenses'!W57</f>
        <v/>
      </c>
      <c r="AA183" s="1336">
        <f>'Departmental Expenses'!X57</f>
        <v/>
      </c>
      <c r="AB183" s="1336">
        <f>'Departmental Expenses'!Y57</f>
        <v/>
      </c>
      <c r="AC183" s="1336">
        <f>'Departmental Expenses'!Z57</f>
        <v/>
      </c>
      <c r="AD183" s="1336">
        <f>'Departmental Expenses'!AA57</f>
        <v/>
      </c>
      <c r="AE183" s="1336">
        <f>'Departmental Expenses'!AB57</f>
        <v/>
      </c>
      <c r="AF183" s="1336">
        <f>'Departmental Expenses'!AC57</f>
        <v/>
      </c>
      <c r="AG183" s="1367">
        <f>'Departmental Expenses'!AD57</f>
        <v/>
      </c>
      <c r="AH183" s="1337">
        <f>'Departmental Expenses'!AE57</f>
        <v/>
      </c>
      <c r="AI183" s="1336">
        <f>'Departmental Expenses'!AF57</f>
        <v/>
      </c>
      <c r="AJ183" s="1336">
        <f>'Departmental Expenses'!AG57</f>
        <v/>
      </c>
      <c r="AK183" s="1336">
        <f>'Departmental Expenses'!AH57</f>
        <v/>
      </c>
      <c r="AL183" s="1336">
        <f>'Departmental Expenses'!AI57</f>
        <v/>
      </c>
      <c r="AM183" s="1336">
        <f>'Departmental Expenses'!AJ57</f>
        <v/>
      </c>
      <c r="AN183" s="1336">
        <f>'Departmental Expenses'!AK57</f>
        <v/>
      </c>
      <c r="AO183" s="1336">
        <f>'Departmental Expenses'!AL57</f>
        <v/>
      </c>
      <c r="AP183" s="1336">
        <f>'Departmental Expenses'!AM57</f>
        <v/>
      </c>
      <c r="AQ183" s="1336">
        <f>'Departmental Expenses'!AN57</f>
        <v/>
      </c>
      <c r="AR183" s="1336">
        <f>'Departmental Expenses'!AO57</f>
        <v/>
      </c>
      <c r="AS183" s="1336">
        <f>'Departmental Expenses'!AP57</f>
        <v/>
      </c>
      <c r="AT183" s="1336">
        <f>'Departmental Expenses'!AQ57</f>
        <v/>
      </c>
      <c r="AU183" s="1367">
        <f>'Departmental Expenses'!AR57</f>
        <v/>
      </c>
      <c r="AV183" s="1337">
        <f>'Departmental Expenses'!AS57</f>
        <v/>
      </c>
      <c r="AW183" s="1336">
        <f>'Departmental Expenses'!AT57</f>
        <v/>
      </c>
      <c r="AX183" s="1336">
        <f>'Departmental Expenses'!AU57</f>
        <v/>
      </c>
      <c r="AY183" s="1336">
        <f>'Departmental Expenses'!AV57</f>
        <v/>
      </c>
      <c r="AZ183" s="1336">
        <f>'Departmental Expenses'!AW57</f>
        <v/>
      </c>
      <c r="BA183" s="1336">
        <f>'Departmental Expenses'!AX57</f>
        <v/>
      </c>
      <c r="BB183" s="1336">
        <f>'Departmental Expenses'!AY57</f>
        <v/>
      </c>
      <c r="BC183" s="1336">
        <f>'Departmental Expenses'!AZ57</f>
        <v/>
      </c>
      <c r="BD183" s="1336">
        <f>'Departmental Expenses'!BA57</f>
        <v/>
      </c>
      <c r="BE183" s="1336">
        <f>'Departmental Expenses'!BB57</f>
        <v/>
      </c>
      <c r="BF183" s="1336">
        <f>'Departmental Expenses'!BC57</f>
        <v/>
      </c>
      <c r="BG183" s="1336">
        <f>'Departmental Expenses'!BD57</f>
        <v/>
      </c>
      <c r="BH183" s="1336">
        <f>'Departmental Expenses'!BE57</f>
        <v/>
      </c>
      <c r="BI183" s="1367">
        <f>'Departmental Expenses'!BF57</f>
        <v/>
      </c>
    </row>
    <row r="184" outlineLevel="1" ht="20" customHeight="1">
      <c r="A184" s="441" t="n"/>
      <c r="B184" s="402">
        <f>'Departmental Expenses'!A58</f>
        <v/>
      </c>
      <c r="C184" s="1368" t="n"/>
      <c r="D184" s="1364" t="n"/>
      <c r="E184" s="1365" t="n"/>
      <c r="F184" s="1370" t="n"/>
      <c r="G184" s="1336">
        <f>'Departmental Expenses'!D58</f>
        <v/>
      </c>
      <c r="H184" s="1336">
        <f>'Departmental Expenses'!E58</f>
        <v/>
      </c>
      <c r="I184" s="1336">
        <f>'Departmental Expenses'!F58</f>
        <v/>
      </c>
      <c r="J184" s="1336">
        <f>'Departmental Expenses'!G58</f>
        <v/>
      </c>
      <c r="K184" s="1336">
        <f>'Departmental Expenses'!H58</f>
        <v/>
      </c>
      <c r="L184" s="1336">
        <f>'Departmental Expenses'!I58</f>
        <v/>
      </c>
      <c r="M184" s="1336">
        <f>'Departmental Expenses'!J58</f>
        <v/>
      </c>
      <c r="N184" s="1336">
        <f>'Departmental Expenses'!K58</f>
        <v/>
      </c>
      <c r="O184" s="1336">
        <f>'Departmental Expenses'!L58</f>
        <v/>
      </c>
      <c r="P184" s="1336">
        <f>'Departmental Expenses'!M58</f>
        <v/>
      </c>
      <c r="Q184" s="1336">
        <f>'Departmental Expenses'!N58</f>
        <v/>
      </c>
      <c r="R184" s="1336">
        <f>'Departmental Expenses'!O58</f>
        <v/>
      </c>
      <c r="S184" s="1367">
        <f>'Departmental Expenses'!P58</f>
        <v/>
      </c>
      <c r="T184" s="1337">
        <f>'Departmental Expenses'!Q58</f>
        <v/>
      </c>
      <c r="U184" s="1336">
        <f>'Departmental Expenses'!R58</f>
        <v/>
      </c>
      <c r="V184" s="1336">
        <f>'Departmental Expenses'!S58</f>
        <v/>
      </c>
      <c r="W184" s="1336">
        <f>'Departmental Expenses'!T58</f>
        <v/>
      </c>
      <c r="X184" s="1336">
        <f>'Departmental Expenses'!U58</f>
        <v/>
      </c>
      <c r="Y184" s="1336">
        <f>'Departmental Expenses'!V58</f>
        <v/>
      </c>
      <c r="Z184" s="1336">
        <f>'Departmental Expenses'!W58</f>
        <v/>
      </c>
      <c r="AA184" s="1336">
        <f>'Departmental Expenses'!X58</f>
        <v/>
      </c>
      <c r="AB184" s="1336">
        <f>'Departmental Expenses'!Y58</f>
        <v/>
      </c>
      <c r="AC184" s="1336">
        <f>'Departmental Expenses'!Z58</f>
        <v/>
      </c>
      <c r="AD184" s="1336">
        <f>'Departmental Expenses'!AA58</f>
        <v/>
      </c>
      <c r="AE184" s="1336">
        <f>'Departmental Expenses'!AB58</f>
        <v/>
      </c>
      <c r="AF184" s="1336">
        <f>'Departmental Expenses'!AC58</f>
        <v/>
      </c>
      <c r="AG184" s="1367">
        <f>'Departmental Expenses'!AD58</f>
        <v/>
      </c>
      <c r="AH184" s="1337">
        <f>'Departmental Expenses'!AE58</f>
        <v/>
      </c>
      <c r="AI184" s="1336">
        <f>'Departmental Expenses'!AF58</f>
        <v/>
      </c>
      <c r="AJ184" s="1336">
        <f>'Departmental Expenses'!AG58</f>
        <v/>
      </c>
      <c r="AK184" s="1336">
        <f>'Departmental Expenses'!AH58</f>
        <v/>
      </c>
      <c r="AL184" s="1336">
        <f>'Departmental Expenses'!AI58</f>
        <v/>
      </c>
      <c r="AM184" s="1336">
        <f>'Departmental Expenses'!AJ58</f>
        <v/>
      </c>
      <c r="AN184" s="1336">
        <f>'Departmental Expenses'!AK58</f>
        <v/>
      </c>
      <c r="AO184" s="1336">
        <f>'Departmental Expenses'!AL58</f>
        <v/>
      </c>
      <c r="AP184" s="1336">
        <f>'Departmental Expenses'!AM58</f>
        <v/>
      </c>
      <c r="AQ184" s="1336">
        <f>'Departmental Expenses'!AN58</f>
        <v/>
      </c>
      <c r="AR184" s="1336">
        <f>'Departmental Expenses'!AO58</f>
        <v/>
      </c>
      <c r="AS184" s="1336">
        <f>'Departmental Expenses'!AP58</f>
        <v/>
      </c>
      <c r="AT184" s="1336">
        <f>'Departmental Expenses'!AQ58</f>
        <v/>
      </c>
      <c r="AU184" s="1367">
        <f>'Departmental Expenses'!AR58</f>
        <v/>
      </c>
      <c r="AV184" s="1337">
        <f>'Departmental Expenses'!AS58</f>
        <v/>
      </c>
      <c r="AW184" s="1336">
        <f>'Departmental Expenses'!AT58</f>
        <v/>
      </c>
      <c r="AX184" s="1336">
        <f>'Departmental Expenses'!AU58</f>
        <v/>
      </c>
      <c r="AY184" s="1336">
        <f>'Departmental Expenses'!AV58</f>
        <v/>
      </c>
      <c r="AZ184" s="1336">
        <f>'Departmental Expenses'!AW58</f>
        <v/>
      </c>
      <c r="BA184" s="1336">
        <f>'Departmental Expenses'!AX58</f>
        <v/>
      </c>
      <c r="BB184" s="1336">
        <f>'Departmental Expenses'!AY58</f>
        <v/>
      </c>
      <c r="BC184" s="1336">
        <f>'Departmental Expenses'!AZ58</f>
        <v/>
      </c>
      <c r="BD184" s="1336">
        <f>'Departmental Expenses'!BA58</f>
        <v/>
      </c>
      <c r="BE184" s="1336">
        <f>'Departmental Expenses'!BB58</f>
        <v/>
      </c>
      <c r="BF184" s="1336">
        <f>'Departmental Expenses'!BC58</f>
        <v/>
      </c>
      <c r="BG184" s="1336">
        <f>'Departmental Expenses'!BD58</f>
        <v/>
      </c>
      <c r="BH184" s="1336">
        <f>'Departmental Expenses'!BE58</f>
        <v/>
      </c>
      <c r="BI184" s="1367">
        <f>'Departmental Expenses'!BF58</f>
        <v/>
      </c>
    </row>
    <row r="185" outlineLevel="1" ht="20" customHeight="1">
      <c r="A185" s="441" t="n"/>
      <c r="B185" s="375">
        <f>'Departmental Expenses'!A59</f>
        <v/>
      </c>
      <c r="C185" s="1368" t="n"/>
      <c r="D185" s="1364" t="n"/>
      <c r="E185" s="1365" t="n"/>
      <c r="F185" s="1370" t="n"/>
      <c r="G185" s="1336">
        <f>'Departmental Expenses'!D59</f>
        <v/>
      </c>
      <c r="H185" s="1336">
        <f>'Departmental Expenses'!E59</f>
        <v/>
      </c>
      <c r="I185" s="1336">
        <f>'Departmental Expenses'!F59</f>
        <v/>
      </c>
      <c r="J185" s="1336">
        <f>'Departmental Expenses'!G59</f>
        <v/>
      </c>
      <c r="K185" s="1336">
        <f>'Departmental Expenses'!H59</f>
        <v/>
      </c>
      <c r="L185" s="1336">
        <f>'Departmental Expenses'!I59</f>
        <v/>
      </c>
      <c r="M185" s="1336">
        <f>'Departmental Expenses'!J59</f>
        <v/>
      </c>
      <c r="N185" s="1336">
        <f>'Departmental Expenses'!K59</f>
        <v/>
      </c>
      <c r="O185" s="1336">
        <f>'Departmental Expenses'!L59</f>
        <v/>
      </c>
      <c r="P185" s="1336">
        <f>'Departmental Expenses'!M59</f>
        <v/>
      </c>
      <c r="Q185" s="1336">
        <f>'Departmental Expenses'!N59</f>
        <v/>
      </c>
      <c r="R185" s="1336">
        <f>'Departmental Expenses'!O59</f>
        <v/>
      </c>
      <c r="S185" s="1367">
        <f>SUM(G185:R185)</f>
        <v/>
      </c>
      <c r="T185" s="1337" t="n"/>
      <c r="U185" s="1336">
        <f>'Departmental Expenses'!R59</f>
        <v/>
      </c>
      <c r="V185" s="1336">
        <f>'Departmental Expenses'!S59</f>
        <v/>
      </c>
      <c r="W185" s="1336">
        <f>'Departmental Expenses'!T59</f>
        <v/>
      </c>
      <c r="X185" s="1336">
        <f>'Departmental Expenses'!U59</f>
        <v/>
      </c>
      <c r="Y185" s="1336">
        <f>'Departmental Expenses'!V59</f>
        <v/>
      </c>
      <c r="Z185" s="1336">
        <f>'Departmental Expenses'!W59</f>
        <v/>
      </c>
      <c r="AA185" s="1336">
        <f>'Departmental Expenses'!X59</f>
        <v/>
      </c>
      <c r="AB185" s="1336">
        <f>'Departmental Expenses'!Y59</f>
        <v/>
      </c>
      <c r="AC185" s="1336">
        <f>'Departmental Expenses'!Z59</f>
        <v/>
      </c>
      <c r="AD185" s="1336">
        <f>'Departmental Expenses'!AA59</f>
        <v/>
      </c>
      <c r="AE185" s="1336">
        <f>'Departmental Expenses'!AB59</f>
        <v/>
      </c>
      <c r="AF185" s="1336">
        <f>'Departmental Expenses'!AC59</f>
        <v/>
      </c>
      <c r="AG185" s="1367">
        <f>SUM(T185:AF185)</f>
        <v/>
      </c>
      <c r="AH185" s="1337" t="n"/>
      <c r="AI185" s="1336">
        <f>'Departmental Expenses'!AF59</f>
        <v/>
      </c>
      <c r="AJ185" s="1336">
        <f>'Departmental Expenses'!AG59</f>
        <v/>
      </c>
      <c r="AK185" s="1336">
        <f>'Departmental Expenses'!AH59</f>
        <v/>
      </c>
      <c r="AL185" s="1336">
        <f>'Departmental Expenses'!AI59</f>
        <v/>
      </c>
      <c r="AM185" s="1336">
        <f>'Departmental Expenses'!AJ59</f>
        <v/>
      </c>
      <c r="AN185" s="1336">
        <f>'Departmental Expenses'!AK59</f>
        <v/>
      </c>
      <c r="AO185" s="1336">
        <f>'Departmental Expenses'!AL59</f>
        <v/>
      </c>
      <c r="AP185" s="1336">
        <f>'Departmental Expenses'!AM59</f>
        <v/>
      </c>
      <c r="AQ185" s="1336">
        <f>'Departmental Expenses'!AN59</f>
        <v/>
      </c>
      <c r="AR185" s="1336">
        <f>'Departmental Expenses'!AO59</f>
        <v/>
      </c>
      <c r="AS185" s="1336">
        <f>'Departmental Expenses'!AP59</f>
        <v/>
      </c>
      <c r="AT185" s="1336">
        <f>'Departmental Expenses'!AQ59</f>
        <v/>
      </c>
      <c r="AU185" s="1367">
        <f>SUM(AH185:AT185)</f>
        <v/>
      </c>
      <c r="AV185" s="1337" t="n"/>
      <c r="AW185" s="1336">
        <f>'Departmental Expenses'!AT59</f>
        <v/>
      </c>
      <c r="AX185" s="1336">
        <f>'Departmental Expenses'!AU59</f>
        <v/>
      </c>
      <c r="AY185" s="1336">
        <f>'Departmental Expenses'!AV59</f>
        <v/>
      </c>
      <c r="AZ185" s="1336">
        <f>'Departmental Expenses'!AW59</f>
        <v/>
      </c>
      <c r="BA185" s="1336">
        <f>'Departmental Expenses'!AX59</f>
        <v/>
      </c>
      <c r="BB185" s="1336">
        <f>'Departmental Expenses'!AY59</f>
        <v/>
      </c>
      <c r="BC185" s="1336">
        <f>'Departmental Expenses'!AZ59</f>
        <v/>
      </c>
      <c r="BD185" s="1336">
        <f>'Departmental Expenses'!BA59</f>
        <v/>
      </c>
      <c r="BE185" s="1336">
        <f>'Departmental Expenses'!BB59</f>
        <v/>
      </c>
      <c r="BF185" s="1336">
        <f>'Departmental Expenses'!BC59</f>
        <v/>
      </c>
      <c r="BG185" s="1336">
        <f>'Departmental Expenses'!BD59</f>
        <v/>
      </c>
      <c r="BH185" s="1336">
        <f>'Departmental Expenses'!BE59</f>
        <v/>
      </c>
      <c r="BI185" s="1367">
        <f>SUM(AV185:BH185)</f>
        <v/>
      </c>
    </row>
    <row r="186" outlineLevel="1" ht="20" customHeight="1">
      <c r="A186" s="441" t="n"/>
      <c r="B186" s="400">
        <f>'Departmental Expenses'!A60</f>
        <v/>
      </c>
      <c r="C186" s="1368" t="n"/>
      <c r="D186" s="1364" t="n"/>
      <c r="E186" s="1365" t="n"/>
      <c r="F186" s="1370" t="n"/>
      <c r="G186" s="1336">
        <f>'Departmental Expenses'!D60</f>
        <v/>
      </c>
      <c r="H186" s="1336">
        <f>'Departmental Expenses'!E60</f>
        <v/>
      </c>
      <c r="I186" s="1336">
        <f>'Departmental Expenses'!F60</f>
        <v/>
      </c>
      <c r="J186" s="1336">
        <f>'Departmental Expenses'!G60</f>
        <v/>
      </c>
      <c r="K186" s="1336">
        <f>'Departmental Expenses'!H60</f>
        <v/>
      </c>
      <c r="L186" s="1336">
        <f>'Departmental Expenses'!I60</f>
        <v/>
      </c>
      <c r="M186" s="1336">
        <f>'Departmental Expenses'!J60</f>
        <v/>
      </c>
      <c r="N186" s="1336">
        <f>'Departmental Expenses'!K60</f>
        <v/>
      </c>
      <c r="O186" s="1336">
        <f>'Departmental Expenses'!L60</f>
        <v/>
      </c>
      <c r="P186" s="1336">
        <f>'Departmental Expenses'!M60</f>
        <v/>
      </c>
      <c r="Q186" s="1336">
        <f>'Departmental Expenses'!N60</f>
        <v/>
      </c>
      <c r="R186" s="1336">
        <f>'Departmental Expenses'!O60</f>
        <v/>
      </c>
      <c r="S186" s="1367">
        <f>SUM(G186:R186)</f>
        <v/>
      </c>
      <c r="T186" s="1337" t="n"/>
      <c r="U186" s="1336">
        <f>'Departmental Expenses'!R60</f>
        <v/>
      </c>
      <c r="V186" s="1336">
        <f>'Departmental Expenses'!S60</f>
        <v/>
      </c>
      <c r="W186" s="1336">
        <f>'Departmental Expenses'!T60</f>
        <v/>
      </c>
      <c r="X186" s="1336">
        <f>'Departmental Expenses'!U60</f>
        <v/>
      </c>
      <c r="Y186" s="1336">
        <f>'Departmental Expenses'!V60</f>
        <v/>
      </c>
      <c r="Z186" s="1336">
        <f>'Departmental Expenses'!W60</f>
        <v/>
      </c>
      <c r="AA186" s="1336">
        <f>'Departmental Expenses'!X60</f>
        <v/>
      </c>
      <c r="AB186" s="1336">
        <f>'Departmental Expenses'!Y60</f>
        <v/>
      </c>
      <c r="AC186" s="1336">
        <f>'Departmental Expenses'!Z60</f>
        <v/>
      </c>
      <c r="AD186" s="1336">
        <f>'Departmental Expenses'!AA60</f>
        <v/>
      </c>
      <c r="AE186" s="1336">
        <f>'Departmental Expenses'!AB60</f>
        <v/>
      </c>
      <c r="AF186" s="1336">
        <f>'Departmental Expenses'!AC60</f>
        <v/>
      </c>
      <c r="AG186" s="1367">
        <f>SUM(T186:AF186)</f>
        <v/>
      </c>
      <c r="AH186" s="1337" t="n"/>
      <c r="AI186" s="1336">
        <f>'Departmental Expenses'!AF60</f>
        <v/>
      </c>
      <c r="AJ186" s="1336">
        <f>'Departmental Expenses'!AG60</f>
        <v/>
      </c>
      <c r="AK186" s="1336">
        <f>'Departmental Expenses'!AH60</f>
        <v/>
      </c>
      <c r="AL186" s="1336">
        <f>'Departmental Expenses'!AI60</f>
        <v/>
      </c>
      <c r="AM186" s="1336">
        <f>'Departmental Expenses'!AJ60</f>
        <v/>
      </c>
      <c r="AN186" s="1336">
        <f>'Departmental Expenses'!AK60</f>
        <v/>
      </c>
      <c r="AO186" s="1336">
        <f>'Departmental Expenses'!AL60</f>
        <v/>
      </c>
      <c r="AP186" s="1336">
        <f>'Departmental Expenses'!AM60</f>
        <v/>
      </c>
      <c r="AQ186" s="1336">
        <f>'Departmental Expenses'!AN60</f>
        <v/>
      </c>
      <c r="AR186" s="1336">
        <f>'Departmental Expenses'!AO60</f>
        <v/>
      </c>
      <c r="AS186" s="1336">
        <f>'Departmental Expenses'!AP60</f>
        <v/>
      </c>
      <c r="AT186" s="1336">
        <f>'Departmental Expenses'!AQ60</f>
        <v/>
      </c>
      <c r="AU186" s="1367">
        <f>SUM(AH186:AT186)</f>
        <v/>
      </c>
      <c r="AV186" s="1337" t="n"/>
      <c r="AW186" s="1336">
        <f>'Departmental Expenses'!AT60</f>
        <v/>
      </c>
      <c r="AX186" s="1336">
        <f>'Departmental Expenses'!AU60</f>
        <v/>
      </c>
      <c r="AY186" s="1336">
        <f>'Departmental Expenses'!AV60</f>
        <v/>
      </c>
      <c r="AZ186" s="1336">
        <f>'Departmental Expenses'!AW60</f>
        <v/>
      </c>
      <c r="BA186" s="1336">
        <f>'Departmental Expenses'!AX60</f>
        <v/>
      </c>
      <c r="BB186" s="1336">
        <f>'Departmental Expenses'!AY60</f>
        <v/>
      </c>
      <c r="BC186" s="1336">
        <f>'Departmental Expenses'!AZ60</f>
        <v/>
      </c>
      <c r="BD186" s="1336">
        <f>'Departmental Expenses'!BA60</f>
        <v/>
      </c>
      <c r="BE186" s="1336">
        <f>'Departmental Expenses'!BB60</f>
        <v/>
      </c>
      <c r="BF186" s="1336">
        <f>'Departmental Expenses'!BC60</f>
        <v/>
      </c>
      <c r="BG186" s="1336">
        <f>'Departmental Expenses'!BD60</f>
        <v/>
      </c>
      <c r="BH186" s="1336">
        <f>'Departmental Expenses'!BE60</f>
        <v/>
      </c>
      <c r="BI186" s="1367">
        <f>SUM(AV186:BH186)</f>
        <v/>
      </c>
    </row>
    <row r="187" outlineLevel="1" ht="20" customHeight="1">
      <c r="A187" s="441" t="n"/>
      <c r="B187" s="400">
        <f>'Departmental Expenses'!A61</f>
        <v/>
      </c>
      <c r="C187" s="1368" t="n"/>
      <c r="D187" s="1364" t="n"/>
      <c r="E187" s="1365" t="n"/>
      <c r="F187" s="1370" t="n"/>
      <c r="G187" s="1336">
        <f>'Departmental Expenses'!D61</f>
        <v/>
      </c>
      <c r="H187" s="1336">
        <f>'Departmental Expenses'!E61</f>
        <v/>
      </c>
      <c r="I187" s="1336">
        <f>'Departmental Expenses'!F61</f>
        <v/>
      </c>
      <c r="J187" s="1336">
        <f>'Departmental Expenses'!G61</f>
        <v/>
      </c>
      <c r="K187" s="1336">
        <f>'Departmental Expenses'!H61</f>
        <v/>
      </c>
      <c r="L187" s="1336">
        <f>'Departmental Expenses'!I61</f>
        <v/>
      </c>
      <c r="M187" s="1336">
        <f>'Departmental Expenses'!J61</f>
        <v/>
      </c>
      <c r="N187" s="1336">
        <f>'Departmental Expenses'!K61</f>
        <v/>
      </c>
      <c r="O187" s="1336">
        <f>'Departmental Expenses'!L61</f>
        <v/>
      </c>
      <c r="P187" s="1336">
        <f>'Departmental Expenses'!M61</f>
        <v/>
      </c>
      <c r="Q187" s="1336">
        <f>'Departmental Expenses'!N61</f>
        <v/>
      </c>
      <c r="R187" s="1336">
        <f>'Departmental Expenses'!O61</f>
        <v/>
      </c>
      <c r="S187" s="1367">
        <f>SUM(G187:R187)</f>
        <v/>
      </c>
      <c r="T187" s="1337" t="n"/>
      <c r="U187" s="1336">
        <f>'Departmental Expenses'!R61</f>
        <v/>
      </c>
      <c r="V187" s="1336">
        <f>'Departmental Expenses'!S61</f>
        <v/>
      </c>
      <c r="W187" s="1336">
        <f>'Departmental Expenses'!T61</f>
        <v/>
      </c>
      <c r="X187" s="1336">
        <f>'Departmental Expenses'!U61</f>
        <v/>
      </c>
      <c r="Y187" s="1336">
        <f>'Departmental Expenses'!V61</f>
        <v/>
      </c>
      <c r="Z187" s="1336">
        <f>'Departmental Expenses'!W61</f>
        <v/>
      </c>
      <c r="AA187" s="1336">
        <f>'Departmental Expenses'!X61</f>
        <v/>
      </c>
      <c r="AB187" s="1336">
        <f>'Departmental Expenses'!Y61</f>
        <v/>
      </c>
      <c r="AC187" s="1336">
        <f>'Departmental Expenses'!Z61</f>
        <v/>
      </c>
      <c r="AD187" s="1336">
        <f>'Departmental Expenses'!AA61</f>
        <v/>
      </c>
      <c r="AE187" s="1336">
        <f>'Departmental Expenses'!AB61</f>
        <v/>
      </c>
      <c r="AF187" s="1336">
        <f>'Departmental Expenses'!AC61</f>
        <v/>
      </c>
      <c r="AG187" s="1367">
        <f>SUM(T187:AF187)</f>
        <v/>
      </c>
      <c r="AH187" s="1337" t="n"/>
      <c r="AI187" s="1336">
        <f>'Departmental Expenses'!AF61</f>
        <v/>
      </c>
      <c r="AJ187" s="1336">
        <f>'Departmental Expenses'!AG61</f>
        <v/>
      </c>
      <c r="AK187" s="1336">
        <f>'Departmental Expenses'!AH61</f>
        <v/>
      </c>
      <c r="AL187" s="1336">
        <f>'Departmental Expenses'!AI61</f>
        <v/>
      </c>
      <c r="AM187" s="1336">
        <f>'Departmental Expenses'!AJ61</f>
        <v/>
      </c>
      <c r="AN187" s="1336">
        <f>'Departmental Expenses'!AK61</f>
        <v/>
      </c>
      <c r="AO187" s="1336">
        <f>'Departmental Expenses'!AL61</f>
        <v/>
      </c>
      <c r="AP187" s="1336">
        <f>'Departmental Expenses'!AM61</f>
        <v/>
      </c>
      <c r="AQ187" s="1336">
        <f>'Departmental Expenses'!AN61</f>
        <v/>
      </c>
      <c r="AR187" s="1336">
        <f>'Departmental Expenses'!AO61</f>
        <v/>
      </c>
      <c r="AS187" s="1336">
        <f>'Departmental Expenses'!AP61</f>
        <v/>
      </c>
      <c r="AT187" s="1336">
        <f>'Departmental Expenses'!AQ61</f>
        <v/>
      </c>
      <c r="AU187" s="1367">
        <f>SUM(AH187:AT187)</f>
        <v/>
      </c>
      <c r="AV187" s="1337" t="n"/>
      <c r="AW187" s="1336">
        <f>'Departmental Expenses'!AT61</f>
        <v/>
      </c>
      <c r="AX187" s="1336">
        <f>'Departmental Expenses'!AU61</f>
        <v/>
      </c>
      <c r="AY187" s="1336">
        <f>'Departmental Expenses'!AV61</f>
        <v/>
      </c>
      <c r="AZ187" s="1336">
        <f>'Departmental Expenses'!AW61</f>
        <v/>
      </c>
      <c r="BA187" s="1336">
        <f>'Departmental Expenses'!AX61</f>
        <v/>
      </c>
      <c r="BB187" s="1336">
        <f>'Departmental Expenses'!AY61</f>
        <v/>
      </c>
      <c r="BC187" s="1336">
        <f>'Departmental Expenses'!AZ61</f>
        <v/>
      </c>
      <c r="BD187" s="1336">
        <f>'Departmental Expenses'!BA61</f>
        <v/>
      </c>
      <c r="BE187" s="1336">
        <f>'Departmental Expenses'!BB61</f>
        <v/>
      </c>
      <c r="BF187" s="1336">
        <f>'Departmental Expenses'!BC61</f>
        <v/>
      </c>
      <c r="BG187" s="1336">
        <f>'Departmental Expenses'!BD61</f>
        <v/>
      </c>
      <c r="BH187" s="1336">
        <f>'Departmental Expenses'!BE61</f>
        <v/>
      </c>
      <c r="BI187" s="1367">
        <f>SUM(AV187:BH187)</f>
        <v/>
      </c>
    </row>
    <row r="188" outlineLevel="1" ht="20" customHeight="1">
      <c r="A188" s="441" t="n"/>
      <c r="B188" s="375">
        <f>'Departmental Expenses'!A62</f>
        <v/>
      </c>
      <c r="C188" s="1368" t="n"/>
      <c r="D188" s="1364" t="n"/>
      <c r="E188" s="1365" t="n"/>
      <c r="F188" s="1370" t="n"/>
      <c r="G188" s="1336">
        <f>'Departmental Expenses'!D62</f>
        <v/>
      </c>
      <c r="H188" s="1336">
        <f>'Departmental Expenses'!E62</f>
        <v/>
      </c>
      <c r="I188" s="1336">
        <f>'Departmental Expenses'!F62</f>
        <v/>
      </c>
      <c r="J188" s="1336">
        <f>'Departmental Expenses'!G62</f>
        <v/>
      </c>
      <c r="K188" s="1336">
        <f>'Departmental Expenses'!H62</f>
        <v/>
      </c>
      <c r="L188" s="1336">
        <f>'Departmental Expenses'!I62</f>
        <v/>
      </c>
      <c r="M188" s="1336">
        <f>'Departmental Expenses'!J62</f>
        <v/>
      </c>
      <c r="N188" s="1336">
        <f>'Departmental Expenses'!K62</f>
        <v/>
      </c>
      <c r="O188" s="1336">
        <f>'Departmental Expenses'!L62</f>
        <v/>
      </c>
      <c r="P188" s="1336">
        <f>'Departmental Expenses'!M62</f>
        <v/>
      </c>
      <c r="Q188" s="1336">
        <f>'Departmental Expenses'!N62</f>
        <v/>
      </c>
      <c r="R188" s="1336">
        <f>'Departmental Expenses'!O62</f>
        <v/>
      </c>
      <c r="S188" s="1367">
        <f>SUM(G188:R188)</f>
        <v/>
      </c>
      <c r="T188" s="1337" t="n"/>
      <c r="U188" s="1336">
        <f>'Departmental Expenses'!R62</f>
        <v/>
      </c>
      <c r="V188" s="1336">
        <f>'Departmental Expenses'!S62</f>
        <v/>
      </c>
      <c r="W188" s="1336">
        <f>'Departmental Expenses'!T62</f>
        <v/>
      </c>
      <c r="X188" s="1336">
        <f>'Departmental Expenses'!U62</f>
        <v/>
      </c>
      <c r="Y188" s="1336">
        <f>'Departmental Expenses'!V62</f>
        <v/>
      </c>
      <c r="Z188" s="1336">
        <f>'Departmental Expenses'!W62</f>
        <v/>
      </c>
      <c r="AA188" s="1336">
        <f>'Departmental Expenses'!X62</f>
        <v/>
      </c>
      <c r="AB188" s="1336">
        <f>'Departmental Expenses'!Y62</f>
        <v/>
      </c>
      <c r="AC188" s="1336">
        <f>'Departmental Expenses'!Z62</f>
        <v/>
      </c>
      <c r="AD188" s="1336">
        <f>'Departmental Expenses'!AA62</f>
        <v/>
      </c>
      <c r="AE188" s="1336">
        <f>'Departmental Expenses'!AB62</f>
        <v/>
      </c>
      <c r="AF188" s="1336">
        <f>'Departmental Expenses'!AC62</f>
        <v/>
      </c>
      <c r="AG188" s="1367">
        <f>SUM(T188:AF188)</f>
        <v/>
      </c>
      <c r="AH188" s="1337" t="n"/>
      <c r="AI188" s="1336">
        <f>'Departmental Expenses'!AF62</f>
        <v/>
      </c>
      <c r="AJ188" s="1336">
        <f>'Departmental Expenses'!AG62</f>
        <v/>
      </c>
      <c r="AK188" s="1336">
        <f>'Departmental Expenses'!AH62</f>
        <v/>
      </c>
      <c r="AL188" s="1336">
        <f>'Departmental Expenses'!AI62</f>
        <v/>
      </c>
      <c r="AM188" s="1336">
        <f>'Departmental Expenses'!AJ62</f>
        <v/>
      </c>
      <c r="AN188" s="1336">
        <f>'Departmental Expenses'!AK62</f>
        <v/>
      </c>
      <c r="AO188" s="1336">
        <f>'Departmental Expenses'!AL62</f>
        <v/>
      </c>
      <c r="AP188" s="1336">
        <f>'Departmental Expenses'!AM62</f>
        <v/>
      </c>
      <c r="AQ188" s="1336">
        <f>'Departmental Expenses'!AN62</f>
        <v/>
      </c>
      <c r="AR188" s="1336">
        <f>'Departmental Expenses'!AO62</f>
        <v/>
      </c>
      <c r="AS188" s="1336">
        <f>'Departmental Expenses'!AP62</f>
        <v/>
      </c>
      <c r="AT188" s="1336">
        <f>'Departmental Expenses'!AQ62</f>
        <v/>
      </c>
      <c r="AU188" s="1367">
        <f>SUM(AH188:AT188)</f>
        <v/>
      </c>
      <c r="AV188" s="1337" t="n"/>
      <c r="AW188" s="1336">
        <f>'Departmental Expenses'!AT62</f>
        <v/>
      </c>
      <c r="AX188" s="1336">
        <f>'Departmental Expenses'!AU62</f>
        <v/>
      </c>
      <c r="AY188" s="1336">
        <f>'Departmental Expenses'!AV62</f>
        <v/>
      </c>
      <c r="AZ188" s="1336">
        <f>'Departmental Expenses'!AW62</f>
        <v/>
      </c>
      <c r="BA188" s="1336">
        <f>'Departmental Expenses'!AX62</f>
        <v/>
      </c>
      <c r="BB188" s="1336">
        <f>'Departmental Expenses'!AY62</f>
        <v/>
      </c>
      <c r="BC188" s="1336">
        <f>'Departmental Expenses'!AZ62</f>
        <v/>
      </c>
      <c r="BD188" s="1336">
        <f>'Departmental Expenses'!BA62</f>
        <v/>
      </c>
      <c r="BE188" s="1336">
        <f>'Departmental Expenses'!BB62</f>
        <v/>
      </c>
      <c r="BF188" s="1336">
        <f>'Departmental Expenses'!BC62</f>
        <v/>
      </c>
      <c r="BG188" s="1336">
        <f>'Departmental Expenses'!BD62</f>
        <v/>
      </c>
      <c r="BH188" s="1336">
        <f>'Departmental Expenses'!BE62</f>
        <v/>
      </c>
      <c r="BI188" s="1367">
        <f>SUM(AV188:BH188)</f>
        <v/>
      </c>
    </row>
    <row r="189" outlineLevel="1" ht="20" customHeight="1">
      <c r="A189" s="441" t="n"/>
      <c r="B189" s="400">
        <f>'Departmental Expenses'!A63</f>
        <v/>
      </c>
      <c r="C189" s="1368" t="n"/>
      <c r="D189" s="1364" t="n"/>
      <c r="E189" s="1365" t="n"/>
      <c r="F189" s="1370" t="n"/>
      <c r="G189" s="1336">
        <f>'Departmental Expenses'!D63</f>
        <v/>
      </c>
      <c r="H189" s="1336">
        <f>'Departmental Expenses'!E63</f>
        <v/>
      </c>
      <c r="I189" s="1336">
        <f>'Departmental Expenses'!F63</f>
        <v/>
      </c>
      <c r="J189" s="1336">
        <f>'Departmental Expenses'!G63</f>
        <v/>
      </c>
      <c r="K189" s="1336">
        <f>'Departmental Expenses'!H63</f>
        <v/>
      </c>
      <c r="L189" s="1336">
        <f>'Departmental Expenses'!I63</f>
        <v/>
      </c>
      <c r="M189" s="1336">
        <f>'Departmental Expenses'!J63</f>
        <v/>
      </c>
      <c r="N189" s="1336">
        <f>'Departmental Expenses'!K63</f>
        <v/>
      </c>
      <c r="O189" s="1336">
        <f>'Departmental Expenses'!L63</f>
        <v/>
      </c>
      <c r="P189" s="1336">
        <f>'Departmental Expenses'!M63</f>
        <v/>
      </c>
      <c r="Q189" s="1336">
        <f>'Departmental Expenses'!N63</f>
        <v/>
      </c>
      <c r="R189" s="1336">
        <f>'Departmental Expenses'!O63</f>
        <v/>
      </c>
      <c r="S189" s="1367">
        <f>SUM(G189:R189)</f>
        <v/>
      </c>
      <c r="T189" s="1337" t="n"/>
      <c r="U189" s="1336">
        <f>'Departmental Expenses'!R63</f>
        <v/>
      </c>
      <c r="V189" s="1336">
        <f>'Departmental Expenses'!S63</f>
        <v/>
      </c>
      <c r="W189" s="1336">
        <f>'Departmental Expenses'!T63</f>
        <v/>
      </c>
      <c r="X189" s="1336">
        <f>'Departmental Expenses'!U63</f>
        <v/>
      </c>
      <c r="Y189" s="1336">
        <f>'Departmental Expenses'!V63</f>
        <v/>
      </c>
      <c r="Z189" s="1336">
        <f>'Departmental Expenses'!W63</f>
        <v/>
      </c>
      <c r="AA189" s="1336">
        <f>'Departmental Expenses'!X63</f>
        <v/>
      </c>
      <c r="AB189" s="1336">
        <f>'Departmental Expenses'!Y63</f>
        <v/>
      </c>
      <c r="AC189" s="1336">
        <f>'Departmental Expenses'!Z63</f>
        <v/>
      </c>
      <c r="AD189" s="1336">
        <f>'Departmental Expenses'!AA63</f>
        <v/>
      </c>
      <c r="AE189" s="1336">
        <f>'Departmental Expenses'!AB63</f>
        <v/>
      </c>
      <c r="AF189" s="1336">
        <f>'Departmental Expenses'!AC63</f>
        <v/>
      </c>
      <c r="AG189" s="1367">
        <f>SUM(T189:AF189)</f>
        <v/>
      </c>
      <c r="AH189" s="1337" t="n"/>
      <c r="AI189" s="1336">
        <f>'Departmental Expenses'!AF63</f>
        <v/>
      </c>
      <c r="AJ189" s="1336">
        <f>'Departmental Expenses'!AG63</f>
        <v/>
      </c>
      <c r="AK189" s="1336">
        <f>'Departmental Expenses'!AH63</f>
        <v/>
      </c>
      <c r="AL189" s="1336">
        <f>'Departmental Expenses'!AI63</f>
        <v/>
      </c>
      <c r="AM189" s="1336">
        <f>'Departmental Expenses'!AJ63</f>
        <v/>
      </c>
      <c r="AN189" s="1336">
        <f>'Departmental Expenses'!AK63</f>
        <v/>
      </c>
      <c r="AO189" s="1336">
        <f>'Departmental Expenses'!AL63</f>
        <v/>
      </c>
      <c r="AP189" s="1336">
        <f>'Departmental Expenses'!AM63</f>
        <v/>
      </c>
      <c r="AQ189" s="1336">
        <f>'Departmental Expenses'!AN63</f>
        <v/>
      </c>
      <c r="AR189" s="1336">
        <f>'Departmental Expenses'!AO63</f>
        <v/>
      </c>
      <c r="AS189" s="1336">
        <f>'Departmental Expenses'!AP63</f>
        <v/>
      </c>
      <c r="AT189" s="1336">
        <f>'Departmental Expenses'!AQ63</f>
        <v/>
      </c>
      <c r="AU189" s="1367">
        <f>SUM(AH189:AT189)</f>
        <v/>
      </c>
      <c r="AV189" s="1337" t="n"/>
      <c r="AW189" s="1336">
        <f>'Departmental Expenses'!AT63</f>
        <v/>
      </c>
      <c r="AX189" s="1336">
        <f>'Departmental Expenses'!AU63</f>
        <v/>
      </c>
      <c r="AY189" s="1336">
        <f>'Departmental Expenses'!AV63</f>
        <v/>
      </c>
      <c r="AZ189" s="1336">
        <f>'Departmental Expenses'!AW63</f>
        <v/>
      </c>
      <c r="BA189" s="1336">
        <f>'Departmental Expenses'!AX63</f>
        <v/>
      </c>
      <c r="BB189" s="1336">
        <f>'Departmental Expenses'!AY63</f>
        <v/>
      </c>
      <c r="BC189" s="1336">
        <f>'Departmental Expenses'!AZ63</f>
        <v/>
      </c>
      <c r="BD189" s="1336">
        <f>'Departmental Expenses'!BA63</f>
        <v/>
      </c>
      <c r="BE189" s="1336">
        <f>'Departmental Expenses'!BB63</f>
        <v/>
      </c>
      <c r="BF189" s="1336">
        <f>'Departmental Expenses'!BC63</f>
        <v/>
      </c>
      <c r="BG189" s="1336">
        <f>'Departmental Expenses'!BD63</f>
        <v/>
      </c>
      <c r="BH189" s="1336">
        <f>'Departmental Expenses'!BE63</f>
        <v/>
      </c>
      <c r="BI189" s="1367">
        <f>SUM(AV189:BH189)</f>
        <v/>
      </c>
    </row>
    <row r="190" outlineLevel="1" ht="20" customHeight="1">
      <c r="A190" s="441" t="n"/>
      <c r="B190" s="400">
        <f>'Departmental Expenses'!A64</f>
        <v/>
      </c>
      <c r="C190" s="1368" t="n"/>
      <c r="D190" s="1364" t="n"/>
      <c r="E190" s="1365" t="n"/>
      <c r="F190" s="1370" t="n"/>
      <c r="G190" s="1336">
        <f>'Departmental Expenses'!D64</f>
        <v/>
      </c>
      <c r="H190" s="1336">
        <f>'Departmental Expenses'!E64</f>
        <v/>
      </c>
      <c r="I190" s="1336">
        <f>'Departmental Expenses'!F64</f>
        <v/>
      </c>
      <c r="J190" s="1336">
        <f>'Departmental Expenses'!G64</f>
        <v/>
      </c>
      <c r="K190" s="1336">
        <f>'Departmental Expenses'!H64</f>
        <v/>
      </c>
      <c r="L190" s="1336">
        <f>'Departmental Expenses'!I64</f>
        <v/>
      </c>
      <c r="M190" s="1336">
        <f>'Departmental Expenses'!J64</f>
        <v/>
      </c>
      <c r="N190" s="1336">
        <f>'Departmental Expenses'!K64</f>
        <v/>
      </c>
      <c r="O190" s="1336">
        <f>'Departmental Expenses'!L64</f>
        <v/>
      </c>
      <c r="P190" s="1336">
        <f>'Departmental Expenses'!M64</f>
        <v/>
      </c>
      <c r="Q190" s="1336">
        <f>'Departmental Expenses'!N64</f>
        <v/>
      </c>
      <c r="R190" s="1336">
        <f>'Departmental Expenses'!O64</f>
        <v/>
      </c>
      <c r="S190" s="1367">
        <f>SUM(G190:R190)</f>
        <v/>
      </c>
      <c r="T190" s="1337" t="n"/>
      <c r="U190" s="1336">
        <f>'Departmental Expenses'!R64</f>
        <v/>
      </c>
      <c r="V190" s="1336">
        <f>'Departmental Expenses'!S64</f>
        <v/>
      </c>
      <c r="W190" s="1336">
        <f>'Departmental Expenses'!T64</f>
        <v/>
      </c>
      <c r="X190" s="1336">
        <f>'Departmental Expenses'!U64</f>
        <v/>
      </c>
      <c r="Y190" s="1336">
        <f>'Departmental Expenses'!V64</f>
        <v/>
      </c>
      <c r="Z190" s="1336">
        <f>'Departmental Expenses'!W64</f>
        <v/>
      </c>
      <c r="AA190" s="1336">
        <f>'Departmental Expenses'!X64</f>
        <v/>
      </c>
      <c r="AB190" s="1336">
        <f>'Departmental Expenses'!Y64</f>
        <v/>
      </c>
      <c r="AC190" s="1336">
        <f>'Departmental Expenses'!Z64</f>
        <v/>
      </c>
      <c r="AD190" s="1336">
        <f>'Departmental Expenses'!AA64</f>
        <v/>
      </c>
      <c r="AE190" s="1336">
        <f>'Departmental Expenses'!AB64</f>
        <v/>
      </c>
      <c r="AF190" s="1336">
        <f>'Departmental Expenses'!AC64</f>
        <v/>
      </c>
      <c r="AG190" s="1367">
        <f>SUM(T190:AF190)</f>
        <v/>
      </c>
      <c r="AH190" s="1337" t="n"/>
      <c r="AI190" s="1336">
        <f>'Departmental Expenses'!AF64</f>
        <v/>
      </c>
      <c r="AJ190" s="1336">
        <f>'Departmental Expenses'!AG64</f>
        <v/>
      </c>
      <c r="AK190" s="1336">
        <f>'Departmental Expenses'!AH64</f>
        <v/>
      </c>
      <c r="AL190" s="1336">
        <f>'Departmental Expenses'!AI64</f>
        <v/>
      </c>
      <c r="AM190" s="1336">
        <f>'Departmental Expenses'!AJ64</f>
        <v/>
      </c>
      <c r="AN190" s="1336">
        <f>'Departmental Expenses'!AK64</f>
        <v/>
      </c>
      <c r="AO190" s="1336">
        <f>'Departmental Expenses'!AL64</f>
        <v/>
      </c>
      <c r="AP190" s="1336">
        <f>'Departmental Expenses'!AM64</f>
        <v/>
      </c>
      <c r="AQ190" s="1336">
        <f>'Departmental Expenses'!AN64</f>
        <v/>
      </c>
      <c r="AR190" s="1336">
        <f>'Departmental Expenses'!AO64</f>
        <v/>
      </c>
      <c r="AS190" s="1336">
        <f>'Departmental Expenses'!AP64</f>
        <v/>
      </c>
      <c r="AT190" s="1336">
        <f>'Departmental Expenses'!AQ64</f>
        <v/>
      </c>
      <c r="AU190" s="1367">
        <f>SUM(AH190:AT190)</f>
        <v/>
      </c>
      <c r="AV190" s="1337" t="n"/>
      <c r="AW190" s="1336">
        <f>'Departmental Expenses'!AT64</f>
        <v/>
      </c>
      <c r="AX190" s="1336">
        <f>'Departmental Expenses'!AU64</f>
        <v/>
      </c>
      <c r="AY190" s="1336">
        <f>'Departmental Expenses'!AV64</f>
        <v/>
      </c>
      <c r="AZ190" s="1336">
        <f>'Departmental Expenses'!AW64</f>
        <v/>
      </c>
      <c r="BA190" s="1336">
        <f>'Departmental Expenses'!AX64</f>
        <v/>
      </c>
      <c r="BB190" s="1336">
        <f>'Departmental Expenses'!AY64</f>
        <v/>
      </c>
      <c r="BC190" s="1336">
        <f>'Departmental Expenses'!AZ64</f>
        <v/>
      </c>
      <c r="BD190" s="1336">
        <f>'Departmental Expenses'!BA64</f>
        <v/>
      </c>
      <c r="BE190" s="1336">
        <f>'Departmental Expenses'!BB64</f>
        <v/>
      </c>
      <c r="BF190" s="1336">
        <f>'Departmental Expenses'!BC64</f>
        <v/>
      </c>
      <c r="BG190" s="1336">
        <f>'Departmental Expenses'!BD64</f>
        <v/>
      </c>
      <c r="BH190" s="1336">
        <f>'Departmental Expenses'!BE64</f>
        <v/>
      </c>
      <c r="BI190" s="1367">
        <f>SUM(AV190:BH190)</f>
        <v/>
      </c>
    </row>
    <row r="191" outlineLevel="1" ht="20" customHeight="1">
      <c r="A191" s="441" t="n"/>
      <c r="B191" s="402" t="n"/>
      <c r="C191" s="1368" t="n"/>
      <c r="D191" s="1364" t="n"/>
      <c r="E191" s="1365" t="n"/>
      <c r="F191" s="1370" t="n"/>
      <c r="G191" s="1336" t="n"/>
      <c r="H191" s="1336" t="n"/>
      <c r="I191" s="1336" t="n"/>
      <c r="J191" s="1336" t="n"/>
      <c r="K191" s="1336" t="n"/>
      <c r="L191" s="1336" t="n"/>
      <c r="M191" s="1336" t="n"/>
      <c r="N191" s="1336" t="n"/>
      <c r="O191" s="1336" t="n"/>
      <c r="P191" s="1336" t="n"/>
      <c r="Q191" s="1336" t="n"/>
      <c r="R191" s="1336" t="n"/>
      <c r="S191" s="1367" t="n"/>
      <c r="T191" s="1337" t="n"/>
      <c r="U191" s="1336" t="n"/>
      <c r="V191" s="1336" t="n"/>
      <c r="W191" s="1336" t="n"/>
      <c r="X191" s="1336" t="n"/>
      <c r="Y191" s="1336" t="n"/>
      <c r="Z191" s="1336" t="n"/>
      <c r="AA191" s="1336" t="n"/>
      <c r="AB191" s="1336" t="n"/>
      <c r="AC191" s="1336" t="n"/>
      <c r="AD191" s="1336" t="n"/>
      <c r="AE191" s="1336" t="n"/>
      <c r="AF191" s="1336" t="n"/>
      <c r="AG191" s="1367" t="n"/>
      <c r="AH191" s="1337" t="n"/>
      <c r="AI191" s="1336" t="n"/>
      <c r="AJ191" s="1336" t="n"/>
      <c r="AK191" s="1336" t="n"/>
      <c r="AL191" s="1336" t="n"/>
      <c r="AM191" s="1336" t="n"/>
      <c r="AN191" s="1336" t="n"/>
      <c r="AO191" s="1336" t="n"/>
      <c r="AP191" s="1336" t="n"/>
      <c r="AQ191" s="1336" t="n"/>
      <c r="AR191" s="1336" t="n"/>
      <c r="AS191" s="1336" t="n"/>
      <c r="AT191" s="1336" t="n"/>
      <c r="AU191" s="1367" t="n"/>
      <c r="AV191" s="1337" t="n"/>
      <c r="AW191" s="1336" t="n"/>
      <c r="AX191" s="1336" t="n"/>
      <c r="AY191" s="1336" t="n"/>
      <c r="AZ191" s="1336" t="n"/>
      <c r="BA191" s="1336" t="n"/>
      <c r="BB191" s="1336" t="n"/>
      <c r="BC191" s="1336" t="n"/>
      <c r="BD191" s="1336" t="n"/>
      <c r="BE191" s="1336" t="n"/>
      <c r="BF191" s="1336" t="n"/>
      <c r="BG191" s="1336" t="n"/>
      <c r="BH191" s="1336" t="n"/>
      <c r="BI191" s="1367" t="n"/>
    </row>
    <row r="192" outlineLevel="1" ht="20" customHeight="1">
      <c r="A192" s="441" t="n"/>
      <c r="B192" s="402" t="n"/>
      <c r="C192" s="1368" t="n"/>
      <c r="D192" s="1364" t="n"/>
      <c r="E192" s="1365" t="n"/>
      <c r="F192" s="1370" t="n"/>
      <c r="G192" s="1336" t="n"/>
      <c r="H192" s="1336" t="n"/>
      <c r="I192" s="1336" t="n"/>
      <c r="J192" s="1336" t="n"/>
      <c r="K192" s="1336" t="n"/>
      <c r="L192" s="1336" t="n"/>
      <c r="M192" s="1336" t="n"/>
      <c r="N192" s="1336" t="n"/>
      <c r="O192" s="1336" t="n"/>
      <c r="P192" s="1336" t="n"/>
      <c r="Q192" s="1336" t="n"/>
      <c r="R192" s="1336" t="n"/>
      <c r="S192" s="1367" t="n"/>
      <c r="T192" s="1337" t="n"/>
      <c r="U192" s="1336" t="n"/>
      <c r="V192" s="1336" t="n"/>
      <c r="W192" s="1336" t="n"/>
      <c r="X192" s="1336" t="n"/>
      <c r="Y192" s="1336" t="n"/>
      <c r="Z192" s="1336" t="n"/>
      <c r="AA192" s="1336" t="n"/>
      <c r="AB192" s="1336" t="n"/>
      <c r="AC192" s="1336" t="n"/>
      <c r="AD192" s="1336" t="n"/>
      <c r="AE192" s="1336" t="n"/>
      <c r="AF192" s="1336" t="n"/>
      <c r="AG192" s="1367" t="n"/>
      <c r="AH192" s="1337" t="n"/>
      <c r="AI192" s="1336" t="n"/>
      <c r="AJ192" s="1336" t="n"/>
      <c r="AK192" s="1336" t="n"/>
      <c r="AL192" s="1336" t="n"/>
      <c r="AM192" s="1336" t="n"/>
      <c r="AN192" s="1336" t="n"/>
      <c r="AO192" s="1336" t="n"/>
      <c r="AP192" s="1336" t="n"/>
      <c r="AQ192" s="1336" t="n"/>
      <c r="AR192" s="1336" t="n"/>
      <c r="AS192" s="1336" t="n"/>
      <c r="AT192" s="1336" t="n"/>
      <c r="AU192" s="1367" t="n"/>
      <c r="AV192" s="1337" t="n"/>
      <c r="AW192" s="1336" t="n"/>
      <c r="AX192" s="1336" t="n"/>
      <c r="AY192" s="1336" t="n"/>
      <c r="AZ192" s="1336" t="n"/>
      <c r="BA192" s="1336" t="n"/>
      <c r="BB192" s="1336" t="n"/>
      <c r="BC192" s="1336" t="n"/>
      <c r="BD192" s="1336" t="n"/>
      <c r="BE192" s="1336" t="n"/>
      <c r="BF192" s="1336" t="n"/>
      <c r="BG192" s="1336" t="n"/>
      <c r="BH192" s="1336" t="n"/>
      <c r="BI192" s="1367" t="n"/>
    </row>
    <row r="193" outlineLevel="1" ht="20" customHeight="1">
      <c r="A193" s="441" t="n"/>
      <c r="B193" s="375">
        <f>'Departmental Expenses'!A65</f>
        <v/>
      </c>
      <c r="C193" s="1368" t="n"/>
      <c r="D193" s="1364" t="n"/>
      <c r="E193" s="1365" t="n"/>
      <c r="F193" s="1370" t="n"/>
      <c r="G193" s="1336">
        <f>'Departmental Expenses'!D65</f>
        <v/>
      </c>
      <c r="H193" s="1336">
        <f>'Departmental Expenses'!E65</f>
        <v/>
      </c>
      <c r="I193" s="1336">
        <f>'Departmental Expenses'!F65</f>
        <v/>
      </c>
      <c r="J193" s="1336">
        <f>'Departmental Expenses'!G65</f>
        <v/>
      </c>
      <c r="K193" s="1336">
        <f>'Departmental Expenses'!H65</f>
        <v/>
      </c>
      <c r="L193" s="1336">
        <f>'Departmental Expenses'!I65</f>
        <v/>
      </c>
      <c r="M193" s="1336">
        <f>'Departmental Expenses'!J65</f>
        <v/>
      </c>
      <c r="N193" s="1336">
        <f>'Departmental Expenses'!K65</f>
        <v/>
      </c>
      <c r="O193" s="1336">
        <f>'Departmental Expenses'!L65</f>
        <v/>
      </c>
      <c r="P193" s="1336">
        <f>'Departmental Expenses'!M65</f>
        <v/>
      </c>
      <c r="Q193" s="1336">
        <f>'Departmental Expenses'!N65</f>
        <v/>
      </c>
      <c r="R193" s="1336">
        <f>'Departmental Expenses'!O65</f>
        <v/>
      </c>
      <c r="S193" s="1403">
        <f>SUM(G193:R193)</f>
        <v/>
      </c>
      <c r="T193" s="248" t="n"/>
      <c r="U193" s="1336">
        <f>'Departmental Expenses'!R65</f>
        <v/>
      </c>
      <c r="V193" s="1336">
        <f>'Departmental Expenses'!S65</f>
        <v/>
      </c>
      <c r="W193" s="1336">
        <f>'Departmental Expenses'!T65</f>
        <v/>
      </c>
      <c r="X193" s="1336">
        <f>'Departmental Expenses'!U65</f>
        <v/>
      </c>
      <c r="Y193" s="1336">
        <f>'Departmental Expenses'!V65</f>
        <v/>
      </c>
      <c r="Z193" s="1336">
        <f>'Departmental Expenses'!W65</f>
        <v/>
      </c>
      <c r="AA193" s="1336">
        <f>'Departmental Expenses'!X65</f>
        <v/>
      </c>
      <c r="AB193" s="1336">
        <f>'Departmental Expenses'!Y65</f>
        <v/>
      </c>
      <c r="AC193" s="1336">
        <f>'Departmental Expenses'!Z65</f>
        <v/>
      </c>
      <c r="AD193" s="1336">
        <f>'Departmental Expenses'!AA65</f>
        <v/>
      </c>
      <c r="AE193" s="1336">
        <f>'Departmental Expenses'!AB65</f>
        <v/>
      </c>
      <c r="AF193" s="1336">
        <f>'Departmental Expenses'!AC65</f>
        <v/>
      </c>
      <c r="AG193" s="1403">
        <f>SUM(U193:AF193)</f>
        <v/>
      </c>
      <c r="AH193" s="248" t="n"/>
      <c r="AI193" s="1336">
        <f>'Departmental Expenses'!AF65</f>
        <v/>
      </c>
      <c r="AJ193" s="1336">
        <f>'Departmental Expenses'!AG65</f>
        <v/>
      </c>
      <c r="AK193" s="1336">
        <f>'Departmental Expenses'!AH65</f>
        <v/>
      </c>
      <c r="AL193" s="1336">
        <f>'Departmental Expenses'!AI65</f>
        <v/>
      </c>
      <c r="AM193" s="1336">
        <f>'Departmental Expenses'!AJ65</f>
        <v/>
      </c>
      <c r="AN193" s="1336">
        <f>'Departmental Expenses'!AK65</f>
        <v/>
      </c>
      <c r="AO193" s="1336">
        <f>'Departmental Expenses'!AL65</f>
        <v/>
      </c>
      <c r="AP193" s="1336">
        <f>'Departmental Expenses'!AM65</f>
        <v/>
      </c>
      <c r="AQ193" s="1336">
        <f>'Departmental Expenses'!AN65</f>
        <v/>
      </c>
      <c r="AR193" s="1336">
        <f>'Departmental Expenses'!AO65</f>
        <v/>
      </c>
      <c r="AS193" s="1336">
        <f>'Departmental Expenses'!AP65</f>
        <v/>
      </c>
      <c r="AT193" s="1336">
        <f>'Departmental Expenses'!AQ65</f>
        <v/>
      </c>
      <c r="AU193" s="1403">
        <f>SUM(AI193:AT193)</f>
        <v/>
      </c>
      <c r="AW193" s="1336">
        <f>'Departmental Expenses'!AT65</f>
        <v/>
      </c>
      <c r="AX193" s="1336">
        <f>'Departmental Expenses'!AU65</f>
        <v/>
      </c>
      <c r="AY193" s="1336">
        <f>'Departmental Expenses'!AV65</f>
        <v/>
      </c>
      <c r="AZ193" s="1336">
        <f>'Departmental Expenses'!AW65</f>
        <v/>
      </c>
      <c r="BA193" s="1336">
        <f>'Departmental Expenses'!AX65</f>
        <v/>
      </c>
      <c r="BB193" s="1336">
        <f>'Departmental Expenses'!AY65</f>
        <v/>
      </c>
      <c r="BC193" s="1336">
        <f>'Departmental Expenses'!AZ65</f>
        <v/>
      </c>
      <c r="BD193" s="1336">
        <f>'Departmental Expenses'!BA65</f>
        <v/>
      </c>
      <c r="BE193" s="1336">
        <f>'Departmental Expenses'!BB65</f>
        <v/>
      </c>
      <c r="BF193" s="1336">
        <f>'Departmental Expenses'!BC65</f>
        <v/>
      </c>
      <c r="BG193" s="1336">
        <f>'Departmental Expenses'!BD65</f>
        <v/>
      </c>
      <c r="BH193" s="1336">
        <f>'Departmental Expenses'!BE65</f>
        <v/>
      </c>
      <c r="BI193" s="1403">
        <f>SUM(AW193:BH193)</f>
        <v/>
      </c>
    </row>
    <row r="194" outlineLevel="1" ht="20" customHeight="1">
      <c r="A194" s="441" t="n"/>
      <c r="B194" s="402">
        <f>'Departmental Expenses'!A66</f>
        <v/>
      </c>
      <c r="C194" s="1368" t="inlineStr">
        <is>
          <t xml:space="preserve"> </t>
        </is>
      </c>
      <c r="D194" s="1364" t="n"/>
      <c r="E194" s="1365" t="n"/>
      <c r="F194" s="1370" t="n"/>
      <c r="G194" s="1336">
        <f>'Departmental Expenses'!D66</f>
        <v/>
      </c>
      <c r="H194" s="1336">
        <f>'Departmental Expenses'!E66</f>
        <v/>
      </c>
      <c r="I194" s="1336">
        <f>'Departmental Expenses'!F66</f>
        <v/>
      </c>
      <c r="J194" s="1336">
        <f>'Departmental Expenses'!G66</f>
        <v/>
      </c>
      <c r="K194" s="1336">
        <f>'Departmental Expenses'!H66</f>
        <v/>
      </c>
      <c r="L194" s="1336">
        <f>'Departmental Expenses'!I66</f>
        <v/>
      </c>
      <c r="M194" s="1336">
        <f>'Departmental Expenses'!J66</f>
        <v/>
      </c>
      <c r="N194" s="1336">
        <f>'Departmental Expenses'!K66</f>
        <v/>
      </c>
      <c r="O194" s="1336">
        <f>'Departmental Expenses'!L66</f>
        <v/>
      </c>
      <c r="P194" s="1336">
        <f>'Departmental Expenses'!M66</f>
        <v/>
      </c>
      <c r="Q194" s="1336">
        <f>'Departmental Expenses'!N66</f>
        <v/>
      </c>
      <c r="R194" s="1336">
        <f>'Departmental Expenses'!O66</f>
        <v/>
      </c>
      <c r="S194" s="1403">
        <f>SUM(G194:R194)</f>
        <v/>
      </c>
      <c r="T194" s="248" t="n"/>
      <c r="U194" s="1336">
        <f>'Departmental Expenses'!R66</f>
        <v/>
      </c>
      <c r="V194" s="1336">
        <f>'Departmental Expenses'!S66</f>
        <v/>
      </c>
      <c r="W194" s="1336">
        <f>'Departmental Expenses'!T66</f>
        <v/>
      </c>
      <c r="X194" s="1336">
        <f>'Departmental Expenses'!U66</f>
        <v/>
      </c>
      <c r="Y194" s="1336">
        <f>'Departmental Expenses'!V66</f>
        <v/>
      </c>
      <c r="Z194" s="1336">
        <f>'Departmental Expenses'!W66</f>
        <v/>
      </c>
      <c r="AA194" s="1336">
        <f>'Departmental Expenses'!X66</f>
        <v/>
      </c>
      <c r="AB194" s="1336">
        <f>'Departmental Expenses'!Y66</f>
        <v/>
      </c>
      <c r="AC194" s="1336">
        <f>'Departmental Expenses'!Z66</f>
        <v/>
      </c>
      <c r="AD194" s="1336">
        <f>'Departmental Expenses'!AA66</f>
        <v/>
      </c>
      <c r="AE194" s="1336">
        <f>'Departmental Expenses'!AB66</f>
        <v/>
      </c>
      <c r="AF194" s="1336">
        <f>'Departmental Expenses'!AC66</f>
        <v/>
      </c>
      <c r="AG194" s="1403">
        <f>SUM(U194:AF194)</f>
        <v/>
      </c>
      <c r="AH194" s="248" t="n"/>
      <c r="AI194" s="1336">
        <f>'Departmental Expenses'!AF66</f>
        <v/>
      </c>
      <c r="AJ194" s="1336">
        <f>'Departmental Expenses'!AG66</f>
        <v/>
      </c>
      <c r="AK194" s="1336">
        <f>'Departmental Expenses'!AH66</f>
        <v/>
      </c>
      <c r="AL194" s="1336">
        <f>'Departmental Expenses'!AI66</f>
        <v/>
      </c>
      <c r="AM194" s="1336">
        <f>'Departmental Expenses'!AJ66</f>
        <v/>
      </c>
      <c r="AN194" s="1336">
        <f>'Departmental Expenses'!AK66</f>
        <v/>
      </c>
      <c r="AO194" s="1336">
        <f>'Departmental Expenses'!AL66</f>
        <v/>
      </c>
      <c r="AP194" s="1336">
        <f>'Departmental Expenses'!AM66</f>
        <v/>
      </c>
      <c r="AQ194" s="1336">
        <f>'Departmental Expenses'!AN66</f>
        <v/>
      </c>
      <c r="AR194" s="1336">
        <f>'Departmental Expenses'!AO66</f>
        <v/>
      </c>
      <c r="AS194" s="1336">
        <f>'Departmental Expenses'!AP66</f>
        <v/>
      </c>
      <c r="AT194" s="1336">
        <f>'Departmental Expenses'!AQ66</f>
        <v/>
      </c>
      <c r="AU194" s="1403">
        <f>SUM(AI194:AT194)</f>
        <v/>
      </c>
      <c r="AW194" s="1336">
        <f>'Departmental Expenses'!AT66</f>
        <v/>
      </c>
      <c r="AX194" s="1336">
        <f>'Departmental Expenses'!AU66</f>
        <v/>
      </c>
      <c r="AY194" s="1336">
        <f>'Departmental Expenses'!AV66</f>
        <v/>
      </c>
      <c r="AZ194" s="1336">
        <f>'Departmental Expenses'!AW66</f>
        <v/>
      </c>
      <c r="BA194" s="1336">
        <f>'Departmental Expenses'!AX66</f>
        <v/>
      </c>
      <c r="BB194" s="1336">
        <f>'Departmental Expenses'!AY66</f>
        <v/>
      </c>
      <c r="BC194" s="1336">
        <f>'Departmental Expenses'!AZ66</f>
        <v/>
      </c>
      <c r="BD194" s="1336">
        <f>'Departmental Expenses'!BA66</f>
        <v/>
      </c>
      <c r="BE194" s="1336">
        <f>'Departmental Expenses'!BB66</f>
        <v/>
      </c>
      <c r="BF194" s="1336">
        <f>'Departmental Expenses'!BC66</f>
        <v/>
      </c>
      <c r="BG194" s="1336">
        <f>'Departmental Expenses'!BD66</f>
        <v/>
      </c>
      <c r="BH194" s="1336">
        <f>'Departmental Expenses'!BE66</f>
        <v/>
      </c>
      <c r="BI194" s="1403">
        <f>SUM(AW194:BH194)</f>
        <v/>
      </c>
    </row>
    <row r="195" outlineLevel="1" ht="20" customHeight="1">
      <c r="A195" s="441" t="n"/>
      <c r="B195" s="402">
        <f>'Departmental Expenses'!A67</f>
        <v/>
      </c>
      <c r="C195" s="1363" t="inlineStr">
        <is>
          <t xml:space="preserve"> </t>
        </is>
      </c>
      <c r="D195" s="1364" t="n"/>
      <c r="E195" s="1365" t="n"/>
      <c r="F195" s="1370" t="n"/>
      <c r="G195" s="1336">
        <f>'Departmental Expenses'!D67</f>
        <v/>
      </c>
      <c r="H195" s="1336">
        <f>'Departmental Expenses'!E67</f>
        <v/>
      </c>
      <c r="I195" s="1336">
        <f>'Departmental Expenses'!F67</f>
        <v/>
      </c>
      <c r="J195" s="1336">
        <f>'Departmental Expenses'!G67</f>
        <v/>
      </c>
      <c r="K195" s="1336">
        <f>'Departmental Expenses'!H67</f>
        <v/>
      </c>
      <c r="L195" s="1336">
        <f>'Departmental Expenses'!I67</f>
        <v/>
      </c>
      <c r="M195" s="1336">
        <f>'Departmental Expenses'!J67</f>
        <v/>
      </c>
      <c r="N195" s="1336">
        <f>'Departmental Expenses'!K67</f>
        <v/>
      </c>
      <c r="O195" s="1336">
        <f>'Departmental Expenses'!L67</f>
        <v/>
      </c>
      <c r="P195" s="1336">
        <f>'Departmental Expenses'!M67</f>
        <v/>
      </c>
      <c r="Q195" s="1336">
        <f>'Departmental Expenses'!N67</f>
        <v/>
      </c>
      <c r="R195" s="1336">
        <f>'Departmental Expenses'!O67</f>
        <v/>
      </c>
      <c r="S195" s="1403">
        <f>SUM(G195:R195)</f>
        <v/>
      </c>
      <c r="T195" s="248" t="n"/>
      <c r="U195" s="1336">
        <f>'Departmental Expenses'!R67</f>
        <v/>
      </c>
      <c r="V195" s="1336">
        <f>'Departmental Expenses'!S67</f>
        <v/>
      </c>
      <c r="W195" s="1336">
        <f>'Departmental Expenses'!T67</f>
        <v/>
      </c>
      <c r="X195" s="1336">
        <f>'Departmental Expenses'!U67</f>
        <v/>
      </c>
      <c r="Y195" s="1336">
        <f>'Departmental Expenses'!V67</f>
        <v/>
      </c>
      <c r="Z195" s="1336">
        <f>'Departmental Expenses'!W67</f>
        <v/>
      </c>
      <c r="AA195" s="1336">
        <f>'Departmental Expenses'!X67</f>
        <v/>
      </c>
      <c r="AB195" s="1336">
        <f>'Departmental Expenses'!Y67</f>
        <v/>
      </c>
      <c r="AC195" s="1336">
        <f>'Departmental Expenses'!Z67</f>
        <v/>
      </c>
      <c r="AD195" s="1336">
        <f>'Departmental Expenses'!AA67</f>
        <v/>
      </c>
      <c r="AE195" s="1336">
        <f>'Departmental Expenses'!AB67</f>
        <v/>
      </c>
      <c r="AF195" s="1336">
        <f>'Departmental Expenses'!AC67</f>
        <v/>
      </c>
      <c r="AG195" s="1403">
        <f>SUM(U195:AF195)</f>
        <v/>
      </c>
      <c r="AH195" s="248" t="n"/>
      <c r="AI195" s="1336">
        <f>'Departmental Expenses'!AF67</f>
        <v/>
      </c>
      <c r="AJ195" s="1336">
        <f>'Departmental Expenses'!AG67</f>
        <v/>
      </c>
      <c r="AK195" s="1336">
        <f>'Departmental Expenses'!AH67</f>
        <v/>
      </c>
      <c r="AL195" s="1336">
        <f>'Departmental Expenses'!AI67</f>
        <v/>
      </c>
      <c r="AM195" s="1336">
        <f>'Departmental Expenses'!AJ67</f>
        <v/>
      </c>
      <c r="AN195" s="1336">
        <f>'Departmental Expenses'!AK67</f>
        <v/>
      </c>
      <c r="AO195" s="1336">
        <f>'Departmental Expenses'!AL67</f>
        <v/>
      </c>
      <c r="AP195" s="1336">
        <f>'Departmental Expenses'!AM67</f>
        <v/>
      </c>
      <c r="AQ195" s="1336">
        <f>'Departmental Expenses'!AN67</f>
        <v/>
      </c>
      <c r="AR195" s="1336">
        <f>'Departmental Expenses'!AO67</f>
        <v/>
      </c>
      <c r="AS195" s="1336">
        <f>'Departmental Expenses'!AP67</f>
        <v/>
      </c>
      <c r="AT195" s="1336">
        <f>'Departmental Expenses'!AQ67</f>
        <v/>
      </c>
      <c r="AU195" s="1403">
        <f>SUM(AI195:AT195)</f>
        <v/>
      </c>
      <c r="AW195" s="1336">
        <f>'Departmental Expenses'!AT67</f>
        <v/>
      </c>
      <c r="AX195" s="1336">
        <f>'Departmental Expenses'!AU67</f>
        <v/>
      </c>
      <c r="AY195" s="1336">
        <f>'Departmental Expenses'!AV67</f>
        <v/>
      </c>
      <c r="AZ195" s="1336">
        <f>'Departmental Expenses'!AW67</f>
        <v/>
      </c>
      <c r="BA195" s="1336">
        <f>'Departmental Expenses'!AX67</f>
        <v/>
      </c>
      <c r="BB195" s="1336">
        <f>'Departmental Expenses'!AY67</f>
        <v/>
      </c>
      <c r="BC195" s="1336">
        <f>'Departmental Expenses'!AZ67</f>
        <v/>
      </c>
      <c r="BD195" s="1336">
        <f>'Departmental Expenses'!BA67</f>
        <v/>
      </c>
      <c r="BE195" s="1336">
        <f>'Departmental Expenses'!BB67</f>
        <v/>
      </c>
      <c r="BF195" s="1336">
        <f>'Departmental Expenses'!BC67</f>
        <v/>
      </c>
      <c r="BG195" s="1336">
        <f>'Departmental Expenses'!BD67</f>
        <v/>
      </c>
      <c r="BH195" s="1336">
        <f>'Departmental Expenses'!BE67</f>
        <v/>
      </c>
      <c r="BI195" s="1403">
        <f>SUM(AW195:BH195)</f>
        <v/>
      </c>
    </row>
    <row r="196" outlineLevel="1" ht="20" customHeight="1">
      <c r="A196" s="441" t="n"/>
      <c r="B196" s="402">
        <f>'Departmental Expenses'!A68</f>
        <v/>
      </c>
      <c r="C196" s="1368" t="n"/>
      <c r="D196" s="1364" t="n"/>
      <c r="E196" s="1365" t="n"/>
      <c r="F196" s="1370" t="n"/>
      <c r="G196" s="1336">
        <f>'Departmental Expenses'!D68</f>
        <v/>
      </c>
      <c r="H196" s="1336">
        <f>'Departmental Expenses'!E68</f>
        <v/>
      </c>
      <c r="I196" s="1336">
        <f>'Departmental Expenses'!F68</f>
        <v/>
      </c>
      <c r="J196" s="1336">
        <f>'Departmental Expenses'!G68</f>
        <v/>
      </c>
      <c r="K196" s="1336">
        <f>'Departmental Expenses'!H68</f>
        <v/>
      </c>
      <c r="L196" s="1336">
        <f>'Departmental Expenses'!I68</f>
        <v/>
      </c>
      <c r="M196" s="1336">
        <f>'Departmental Expenses'!J68</f>
        <v/>
      </c>
      <c r="N196" s="1336">
        <f>'Departmental Expenses'!K68</f>
        <v/>
      </c>
      <c r="O196" s="1336">
        <f>'Departmental Expenses'!L68</f>
        <v/>
      </c>
      <c r="P196" s="1336">
        <f>'Departmental Expenses'!M68</f>
        <v/>
      </c>
      <c r="Q196" s="1336">
        <f>'Departmental Expenses'!N68</f>
        <v/>
      </c>
      <c r="R196" s="1336">
        <f>'Departmental Expenses'!O68</f>
        <v/>
      </c>
      <c r="S196" s="1403">
        <f>SUM(G196:R196)</f>
        <v/>
      </c>
      <c r="T196" s="248" t="n"/>
      <c r="U196" s="1336">
        <f>'Departmental Expenses'!R68</f>
        <v/>
      </c>
      <c r="V196" s="1336">
        <f>'Departmental Expenses'!S68</f>
        <v/>
      </c>
      <c r="W196" s="1336">
        <f>'Departmental Expenses'!T68</f>
        <v/>
      </c>
      <c r="X196" s="1336">
        <f>'Departmental Expenses'!U68</f>
        <v/>
      </c>
      <c r="Y196" s="1336">
        <f>'Departmental Expenses'!V68</f>
        <v/>
      </c>
      <c r="Z196" s="1336">
        <f>'Departmental Expenses'!W68</f>
        <v/>
      </c>
      <c r="AA196" s="1336">
        <f>'Departmental Expenses'!X68</f>
        <v/>
      </c>
      <c r="AB196" s="1336">
        <f>'Departmental Expenses'!Y68</f>
        <v/>
      </c>
      <c r="AC196" s="1336">
        <f>'Departmental Expenses'!Z68</f>
        <v/>
      </c>
      <c r="AD196" s="1336">
        <f>'Departmental Expenses'!AA68</f>
        <v/>
      </c>
      <c r="AE196" s="1336">
        <f>'Departmental Expenses'!AB68</f>
        <v/>
      </c>
      <c r="AF196" s="1336">
        <f>'Departmental Expenses'!AC68</f>
        <v/>
      </c>
      <c r="AG196" s="1403">
        <f>SUM(U196:AF196)</f>
        <v/>
      </c>
      <c r="AH196" s="248" t="n"/>
      <c r="AI196" s="1336">
        <f>'Departmental Expenses'!AF68</f>
        <v/>
      </c>
      <c r="AJ196" s="1336">
        <f>'Departmental Expenses'!AG68</f>
        <v/>
      </c>
      <c r="AK196" s="1336">
        <f>'Departmental Expenses'!AH68</f>
        <v/>
      </c>
      <c r="AL196" s="1336">
        <f>'Departmental Expenses'!AI68</f>
        <v/>
      </c>
      <c r="AM196" s="1336">
        <f>'Departmental Expenses'!AJ68</f>
        <v/>
      </c>
      <c r="AN196" s="1336">
        <f>'Departmental Expenses'!AK68</f>
        <v/>
      </c>
      <c r="AO196" s="1336">
        <f>'Departmental Expenses'!AL68</f>
        <v/>
      </c>
      <c r="AP196" s="1336">
        <f>'Departmental Expenses'!AM68</f>
        <v/>
      </c>
      <c r="AQ196" s="1336">
        <f>'Departmental Expenses'!AN68</f>
        <v/>
      </c>
      <c r="AR196" s="1336">
        <f>'Departmental Expenses'!AO68</f>
        <v/>
      </c>
      <c r="AS196" s="1336">
        <f>'Departmental Expenses'!AP68</f>
        <v/>
      </c>
      <c r="AT196" s="1336">
        <f>'Departmental Expenses'!AQ68</f>
        <v/>
      </c>
      <c r="AU196" s="1403">
        <f>SUM(AI196:AT196)</f>
        <v/>
      </c>
      <c r="AW196" s="1336">
        <f>'Departmental Expenses'!AT68</f>
        <v/>
      </c>
      <c r="AX196" s="1336">
        <f>'Departmental Expenses'!AU68</f>
        <v/>
      </c>
      <c r="AY196" s="1336">
        <f>'Departmental Expenses'!AV68</f>
        <v/>
      </c>
      <c r="AZ196" s="1336">
        <f>'Departmental Expenses'!AW68</f>
        <v/>
      </c>
      <c r="BA196" s="1336">
        <f>'Departmental Expenses'!AX68</f>
        <v/>
      </c>
      <c r="BB196" s="1336">
        <f>'Departmental Expenses'!AY68</f>
        <v/>
      </c>
      <c r="BC196" s="1336">
        <f>'Departmental Expenses'!AZ68</f>
        <v/>
      </c>
      <c r="BD196" s="1336">
        <f>'Departmental Expenses'!BA68</f>
        <v/>
      </c>
      <c r="BE196" s="1336">
        <f>'Departmental Expenses'!BB68</f>
        <v/>
      </c>
      <c r="BF196" s="1336">
        <f>'Departmental Expenses'!BC68</f>
        <v/>
      </c>
      <c r="BG196" s="1336">
        <f>'Departmental Expenses'!BD68</f>
        <v/>
      </c>
      <c r="BH196" s="1336">
        <f>'Departmental Expenses'!BE68</f>
        <v/>
      </c>
      <c r="BI196" s="1403">
        <f>SUM(AW196:BH196)</f>
        <v/>
      </c>
    </row>
    <row r="197" outlineLevel="1" ht="20" customHeight="1">
      <c r="A197" s="441" t="n"/>
      <c r="B197" s="402">
        <f>'Departmental Expenses'!A69</f>
        <v/>
      </c>
      <c r="C197" s="1368" t="inlineStr">
        <is>
          <t xml:space="preserve"> </t>
        </is>
      </c>
      <c r="D197" s="1364" t="n"/>
      <c r="E197" s="1365" t="n"/>
      <c r="F197" s="1370" t="n"/>
      <c r="G197" s="1336">
        <f>'Departmental Expenses'!D69</f>
        <v/>
      </c>
      <c r="H197" s="1336">
        <f>'Departmental Expenses'!E69</f>
        <v/>
      </c>
      <c r="I197" s="1336">
        <f>'Departmental Expenses'!F69</f>
        <v/>
      </c>
      <c r="J197" s="1336">
        <f>'Departmental Expenses'!G69</f>
        <v/>
      </c>
      <c r="K197" s="1336">
        <f>'Departmental Expenses'!H69</f>
        <v/>
      </c>
      <c r="L197" s="1336">
        <f>'Departmental Expenses'!I69</f>
        <v/>
      </c>
      <c r="M197" s="1336">
        <f>'Departmental Expenses'!J69</f>
        <v/>
      </c>
      <c r="N197" s="1336">
        <f>'Departmental Expenses'!K69</f>
        <v/>
      </c>
      <c r="O197" s="1336">
        <f>'Departmental Expenses'!L69</f>
        <v/>
      </c>
      <c r="P197" s="1336">
        <f>'Departmental Expenses'!M69</f>
        <v/>
      </c>
      <c r="Q197" s="1336">
        <f>'Departmental Expenses'!N69</f>
        <v/>
      </c>
      <c r="R197" s="1336">
        <f>'Departmental Expenses'!O69</f>
        <v/>
      </c>
      <c r="S197" s="1403">
        <f>SUM(G197:R197)</f>
        <v/>
      </c>
      <c r="T197" s="248" t="n"/>
      <c r="U197" s="1336">
        <f>'Departmental Expenses'!R69</f>
        <v/>
      </c>
      <c r="V197" s="1336">
        <f>'Departmental Expenses'!S69</f>
        <v/>
      </c>
      <c r="W197" s="1336">
        <f>'Departmental Expenses'!T69</f>
        <v/>
      </c>
      <c r="X197" s="1336">
        <f>'Departmental Expenses'!U69</f>
        <v/>
      </c>
      <c r="Y197" s="1336">
        <f>'Departmental Expenses'!V69</f>
        <v/>
      </c>
      <c r="Z197" s="1336">
        <f>'Departmental Expenses'!W69</f>
        <v/>
      </c>
      <c r="AA197" s="1336">
        <f>'Departmental Expenses'!X69</f>
        <v/>
      </c>
      <c r="AB197" s="1336">
        <f>'Departmental Expenses'!Y69</f>
        <v/>
      </c>
      <c r="AC197" s="1336">
        <f>'Departmental Expenses'!Z69</f>
        <v/>
      </c>
      <c r="AD197" s="1336">
        <f>'Departmental Expenses'!AA69</f>
        <v/>
      </c>
      <c r="AE197" s="1336">
        <f>'Departmental Expenses'!AB69</f>
        <v/>
      </c>
      <c r="AF197" s="1336">
        <f>'Departmental Expenses'!AC69</f>
        <v/>
      </c>
      <c r="AG197" s="1403">
        <f>SUM(U197:AF197)</f>
        <v/>
      </c>
      <c r="AH197" s="248" t="n"/>
      <c r="AI197" s="1336">
        <f>'Departmental Expenses'!AF69</f>
        <v/>
      </c>
      <c r="AJ197" s="1336">
        <f>'Departmental Expenses'!AG69</f>
        <v/>
      </c>
      <c r="AK197" s="1336">
        <f>'Departmental Expenses'!AH69</f>
        <v/>
      </c>
      <c r="AL197" s="1336">
        <f>'Departmental Expenses'!AI69</f>
        <v/>
      </c>
      <c r="AM197" s="1336">
        <f>'Departmental Expenses'!AJ69</f>
        <v/>
      </c>
      <c r="AN197" s="1336">
        <f>'Departmental Expenses'!AK69</f>
        <v/>
      </c>
      <c r="AO197" s="1336">
        <f>'Departmental Expenses'!AL69</f>
        <v/>
      </c>
      <c r="AP197" s="1336">
        <f>'Departmental Expenses'!AM69</f>
        <v/>
      </c>
      <c r="AQ197" s="1336">
        <f>'Departmental Expenses'!AN69</f>
        <v/>
      </c>
      <c r="AR197" s="1336">
        <f>'Departmental Expenses'!AO69</f>
        <v/>
      </c>
      <c r="AS197" s="1336">
        <f>'Departmental Expenses'!AP69</f>
        <v/>
      </c>
      <c r="AT197" s="1336">
        <f>'Departmental Expenses'!AQ69</f>
        <v/>
      </c>
      <c r="AU197" s="1403">
        <f>SUM(AI197:AT197)</f>
        <v/>
      </c>
      <c r="AW197" s="1336">
        <f>'Departmental Expenses'!AT69</f>
        <v/>
      </c>
      <c r="AX197" s="1336">
        <f>'Departmental Expenses'!AU69</f>
        <v/>
      </c>
      <c r="AY197" s="1336">
        <f>'Departmental Expenses'!AV69</f>
        <v/>
      </c>
      <c r="AZ197" s="1336">
        <f>'Departmental Expenses'!AW69</f>
        <v/>
      </c>
      <c r="BA197" s="1336">
        <f>'Departmental Expenses'!AX69</f>
        <v/>
      </c>
      <c r="BB197" s="1336">
        <f>'Departmental Expenses'!AY69</f>
        <v/>
      </c>
      <c r="BC197" s="1336">
        <f>'Departmental Expenses'!AZ69</f>
        <v/>
      </c>
      <c r="BD197" s="1336">
        <f>'Departmental Expenses'!BA69</f>
        <v/>
      </c>
      <c r="BE197" s="1336">
        <f>'Departmental Expenses'!BB69</f>
        <v/>
      </c>
      <c r="BF197" s="1336">
        <f>'Departmental Expenses'!BC69</f>
        <v/>
      </c>
      <c r="BG197" s="1336">
        <f>'Departmental Expenses'!BD69</f>
        <v/>
      </c>
      <c r="BH197" s="1336">
        <f>'Departmental Expenses'!BE69</f>
        <v/>
      </c>
      <c r="BI197" s="1403">
        <f>SUM(AW197:BH197)</f>
        <v/>
      </c>
    </row>
    <row r="198" outlineLevel="1" ht="20" customHeight="1">
      <c r="A198" s="441" t="n"/>
      <c r="B198" s="402">
        <f>'Departmental Expenses'!A70</f>
        <v/>
      </c>
      <c r="C198" s="1363" t="inlineStr">
        <is>
          <t xml:space="preserve"> </t>
        </is>
      </c>
      <c r="D198" s="1364" t="n"/>
      <c r="E198" s="1365" t="n"/>
      <c r="F198" s="1370" t="n"/>
      <c r="G198" s="1336">
        <f>'Departmental Expenses'!D70</f>
        <v/>
      </c>
      <c r="H198" s="1336">
        <f>'Departmental Expenses'!E70</f>
        <v/>
      </c>
      <c r="I198" s="1336">
        <f>'Departmental Expenses'!F70</f>
        <v/>
      </c>
      <c r="J198" s="1336">
        <f>'Departmental Expenses'!G70</f>
        <v/>
      </c>
      <c r="K198" s="1336">
        <f>'Departmental Expenses'!H70</f>
        <v/>
      </c>
      <c r="L198" s="1336">
        <f>'Departmental Expenses'!I70</f>
        <v/>
      </c>
      <c r="M198" s="1336">
        <f>'Departmental Expenses'!J70</f>
        <v/>
      </c>
      <c r="N198" s="1336">
        <f>'Departmental Expenses'!K70</f>
        <v/>
      </c>
      <c r="O198" s="1336">
        <f>'Departmental Expenses'!L70</f>
        <v/>
      </c>
      <c r="P198" s="1336">
        <f>'Departmental Expenses'!M70</f>
        <v/>
      </c>
      <c r="Q198" s="1336">
        <f>'Departmental Expenses'!N70</f>
        <v/>
      </c>
      <c r="R198" s="1336">
        <f>'Departmental Expenses'!O70</f>
        <v/>
      </c>
      <c r="S198" s="1403">
        <f>SUM(G198:R198)</f>
        <v/>
      </c>
      <c r="T198" s="248" t="n"/>
      <c r="U198" s="1336">
        <f>'Departmental Expenses'!R70</f>
        <v/>
      </c>
      <c r="V198" s="1336">
        <f>'Departmental Expenses'!S70</f>
        <v/>
      </c>
      <c r="W198" s="1336">
        <f>'Departmental Expenses'!T70</f>
        <v/>
      </c>
      <c r="X198" s="1336">
        <f>'Departmental Expenses'!U70</f>
        <v/>
      </c>
      <c r="Y198" s="1336">
        <f>'Departmental Expenses'!V70</f>
        <v/>
      </c>
      <c r="Z198" s="1336">
        <f>'Departmental Expenses'!W70</f>
        <v/>
      </c>
      <c r="AA198" s="1336">
        <f>'Departmental Expenses'!X70</f>
        <v/>
      </c>
      <c r="AB198" s="1336">
        <f>'Departmental Expenses'!Y70</f>
        <v/>
      </c>
      <c r="AC198" s="1336">
        <f>'Departmental Expenses'!Z70</f>
        <v/>
      </c>
      <c r="AD198" s="1336">
        <f>'Departmental Expenses'!AA70</f>
        <v/>
      </c>
      <c r="AE198" s="1336">
        <f>'Departmental Expenses'!AB70</f>
        <v/>
      </c>
      <c r="AF198" s="1336">
        <f>'Departmental Expenses'!AC70</f>
        <v/>
      </c>
      <c r="AG198" s="1403">
        <f>SUM(U198:AF198)</f>
        <v/>
      </c>
      <c r="AH198" s="248" t="n"/>
      <c r="AI198" s="1336">
        <f>'Departmental Expenses'!AF70</f>
        <v/>
      </c>
      <c r="AJ198" s="1336">
        <f>'Departmental Expenses'!AG70</f>
        <v/>
      </c>
      <c r="AK198" s="1336">
        <f>'Departmental Expenses'!AH70</f>
        <v/>
      </c>
      <c r="AL198" s="1336">
        <f>'Departmental Expenses'!AI70</f>
        <v/>
      </c>
      <c r="AM198" s="1336">
        <f>'Departmental Expenses'!AJ70</f>
        <v/>
      </c>
      <c r="AN198" s="1336">
        <f>'Departmental Expenses'!AK70</f>
        <v/>
      </c>
      <c r="AO198" s="1336">
        <f>'Departmental Expenses'!AL70</f>
        <v/>
      </c>
      <c r="AP198" s="1336">
        <f>'Departmental Expenses'!AM70</f>
        <v/>
      </c>
      <c r="AQ198" s="1336">
        <f>'Departmental Expenses'!AN70</f>
        <v/>
      </c>
      <c r="AR198" s="1336">
        <f>'Departmental Expenses'!AO70</f>
        <v/>
      </c>
      <c r="AS198" s="1336">
        <f>'Departmental Expenses'!AP70</f>
        <v/>
      </c>
      <c r="AT198" s="1336">
        <f>'Departmental Expenses'!AQ70</f>
        <v/>
      </c>
      <c r="AU198" s="1403">
        <f>SUM(AI198:AT198)</f>
        <v/>
      </c>
      <c r="AW198" s="1336">
        <f>'Departmental Expenses'!AT70</f>
        <v/>
      </c>
      <c r="AX198" s="1336">
        <f>'Departmental Expenses'!AU70</f>
        <v/>
      </c>
      <c r="AY198" s="1336">
        <f>'Departmental Expenses'!AV70</f>
        <v/>
      </c>
      <c r="AZ198" s="1336">
        <f>'Departmental Expenses'!AW70</f>
        <v/>
      </c>
      <c r="BA198" s="1336">
        <f>'Departmental Expenses'!AX70</f>
        <v/>
      </c>
      <c r="BB198" s="1336">
        <f>'Departmental Expenses'!AY70</f>
        <v/>
      </c>
      <c r="BC198" s="1336">
        <f>'Departmental Expenses'!AZ70</f>
        <v/>
      </c>
      <c r="BD198" s="1336">
        <f>'Departmental Expenses'!BA70</f>
        <v/>
      </c>
      <c r="BE198" s="1336">
        <f>'Departmental Expenses'!BB70</f>
        <v/>
      </c>
      <c r="BF198" s="1336">
        <f>'Departmental Expenses'!BC70</f>
        <v/>
      </c>
      <c r="BG198" s="1336">
        <f>'Departmental Expenses'!BD70</f>
        <v/>
      </c>
      <c r="BH198" s="1336">
        <f>'Departmental Expenses'!BE70</f>
        <v/>
      </c>
      <c r="BI198" s="1403">
        <f>SUM(AW198:BH198)</f>
        <v/>
      </c>
    </row>
    <row r="199" outlineLevel="1" ht="20" customHeight="1">
      <c r="A199" s="441" t="n"/>
      <c r="B199" s="400">
        <f>'Departmental Expenses'!A71</f>
        <v/>
      </c>
      <c r="C199" s="1363" t="inlineStr">
        <is>
          <t xml:space="preserve"> </t>
        </is>
      </c>
      <c r="D199" s="1364" t="n"/>
      <c r="E199" s="1365" t="n"/>
      <c r="F199" s="1370" t="n"/>
      <c r="G199" s="1336">
        <f>'Departmental Expenses'!D71</f>
        <v/>
      </c>
      <c r="H199" s="1336">
        <f>'Departmental Expenses'!E71</f>
        <v/>
      </c>
      <c r="I199" s="1336">
        <f>'Departmental Expenses'!F71</f>
        <v/>
      </c>
      <c r="J199" s="1336">
        <f>'Departmental Expenses'!G71</f>
        <v/>
      </c>
      <c r="K199" s="1336">
        <f>'Departmental Expenses'!H71</f>
        <v/>
      </c>
      <c r="L199" s="1336">
        <f>'Departmental Expenses'!I71</f>
        <v/>
      </c>
      <c r="M199" s="1336">
        <f>'Departmental Expenses'!J71</f>
        <v/>
      </c>
      <c r="N199" s="1336">
        <f>'Departmental Expenses'!K71</f>
        <v/>
      </c>
      <c r="O199" s="1336">
        <f>'Departmental Expenses'!L71</f>
        <v/>
      </c>
      <c r="P199" s="1336">
        <f>'Departmental Expenses'!M71</f>
        <v/>
      </c>
      <c r="Q199" s="1336">
        <f>'Departmental Expenses'!N71</f>
        <v/>
      </c>
      <c r="R199" s="1336">
        <f>'Departmental Expenses'!O71</f>
        <v/>
      </c>
      <c r="S199" s="1403">
        <f>SUM(G199:R199)</f>
        <v/>
      </c>
      <c r="T199" s="248" t="n"/>
      <c r="U199" s="1336">
        <f>'Departmental Expenses'!R71</f>
        <v/>
      </c>
      <c r="V199" s="1336">
        <f>'Departmental Expenses'!S71</f>
        <v/>
      </c>
      <c r="W199" s="1336">
        <f>'Departmental Expenses'!T71</f>
        <v/>
      </c>
      <c r="X199" s="1336">
        <f>'Departmental Expenses'!U71</f>
        <v/>
      </c>
      <c r="Y199" s="1336">
        <f>'Departmental Expenses'!V71</f>
        <v/>
      </c>
      <c r="Z199" s="1336">
        <f>'Departmental Expenses'!W71</f>
        <v/>
      </c>
      <c r="AA199" s="1336">
        <f>'Departmental Expenses'!X71</f>
        <v/>
      </c>
      <c r="AB199" s="1336">
        <f>'Departmental Expenses'!Y71</f>
        <v/>
      </c>
      <c r="AC199" s="1336">
        <f>'Departmental Expenses'!Z71</f>
        <v/>
      </c>
      <c r="AD199" s="1336">
        <f>'Departmental Expenses'!AA71</f>
        <v/>
      </c>
      <c r="AE199" s="1336">
        <f>'Departmental Expenses'!AB71</f>
        <v/>
      </c>
      <c r="AF199" s="1336">
        <f>'Departmental Expenses'!AC71</f>
        <v/>
      </c>
      <c r="AG199" s="1403">
        <f>SUM(U199:AF199)</f>
        <v/>
      </c>
      <c r="AH199" s="248" t="n"/>
      <c r="AI199" s="1336">
        <f>'Departmental Expenses'!AF71</f>
        <v/>
      </c>
      <c r="AJ199" s="1336">
        <f>'Departmental Expenses'!AG71</f>
        <v/>
      </c>
      <c r="AK199" s="1336">
        <f>'Departmental Expenses'!AH71</f>
        <v/>
      </c>
      <c r="AL199" s="1336">
        <f>'Departmental Expenses'!AI71</f>
        <v/>
      </c>
      <c r="AM199" s="1336">
        <f>'Departmental Expenses'!AJ71</f>
        <v/>
      </c>
      <c r="AN199" s="1336">
        <f>'Departmental Expenses'!AK71</f>
        <v/>
      </c>
      <c r="AO199" s="1336">
        <f>'Departmental Expenses'!AL71</f>
        <v/>
      </c>
      <c r="AP199" s="1336">
        <f>'Departmental Expenses'!AM71</f>
        <v/>
      </c>
      <c r="AQ199" s="1336">
        <f>'Departmental Expenses'!AN71</f>
        <v/>
      </c>
      <c r="AR199" s="1336">
        <f>'Departmental Expenses'!AO71</f>
        <v/>
      </c>
      <c r="AS199" s="1336">
        <f>'Departmental Expenses'!AP71</f>
        <v/>
      </c>
      <c r="AT199" s="1336">
        <f>'Departmental Expenses'!AQ71</f>
        <v/>
      </c>
      <c r="AU199" s="1403">
        <f>SUM(AI199:AT199)</f>
        <v/>
      </c>
      <c r="AW199" s="1336">
        <f>'Departmental Expenses'!AT71</f>
        <v/>
      </c>
      <c r="AX199" s="1336">
        <f>'Departmental Expenses'!AU71</f>
        <v/>
      </c>
      <c r="AY199" s="1336">
        <f>'Departmental Expenses'!AV71</f>
        <v/>
      </c>
      <c r="AZ199" s="1336">
        <f>'Departmental Expenses'!AW71</f>
        <v/>
      </c>
      <c r="BA199" s="1336">
        <f>'Departmental Expenses'!AX71</f>
        <v/>
      </c>
      <c r="BB199" s="1336">
        <f>'Departmental Expenses'!AY71</f>
        <v/>
      </c>
      <c r="BC199" s="1336">
        <f>'Departmental Expenses'!AZ71</f>
        <v/>
      </c>
      <c r="BD199" s="1336">
        <f>'Departmental Expenses'!BA71</f>
        <v/>
      </c>
      <c r="BE199" s="1336">
        <f>'Departmental Expenses'!BB71</f>
        <v/>
      </c>
      <c r="BF199" s="1336">
        <f>'Departmental Expenses'!BC71</f>
        <v/>
      </c>
      <c r="BG199" s="1336">
        <f>'Departmental Expenses'!BD71</f>
        <v/>
      </c>
      <c r="BH199" s="1336">
        <f>'Departmental Expenses'!BE71</f>
        <v/>
      </c>
      <c r="BI199" s="1403">
        <f>SUM(AW199:BH199)</f>
        <v/>
      </c>
    </row>
    <row r="200" outlineLevel="1" ht="20" customHeight="1">
      <c r="A200" s="441" t="n"/>
      <c r="B200" s="400">
        <f>'Departmental Expenses'!A72</f>
        <v/>
      </c>
      <c r="C200" s="1363" t="n"/>
      <c r="D200" s="1364" t="n"/>
      <c r="E200" s="1365" t="n"/>
      <c r="F200" s="1370" t="n"/>
      <c r="G200" s="1336">
        <f>'Departmental Expenses'!D72</f>
        <v/>
      </c>
      <c r="H200" s="1336">
        <f>'Departmental Expenses'!E72</f>
        <v/>
      </c>
      <c r="I200" s="1336">
        <f>'Departmental Expenses'!F72</f>
        <v/>
      </c>
      <c r="J200" s="1336">
        <f>'Departmental Expenses'!G72</f>
        <v/>
      </c>
      <c r="K200" s="1336">
        <f>'Departmental Expenses'!H72</f>
        <v/>
      </c>
      <c r="L200" s="1336">
        <f>'Departmental Expenses'!I72</f>
        <v/>
      </c>
      <c r="M200" s="1336">
        <f>'Departmental Expenses'!J72</f>
        <v/>
      </c>
      <c r="N200" s="1336">
        <f>'Departmental Expenses'!K72</f>
        <v/>
      </c>
      <c r="O200" s="1336">
        <f>'Departmental Expenses'!L72</f>
        <v/>
      </c>
      <c r="P200" s="1336">
        <f>'Departmental Expenses'!M72</f>
        <v/>
      </c>
      <c r="Q200" s="1336">
        <f>'Departmental Expenses'!N72</f>
        <v/>
      </c>
      <c r="R200" s="1336">
        <f>'Departmental Expenses'!O72</f>
        <v/>
      </c>
      <c r="S200" s="1403">
        <f>SUM(G200:R200)</f>
        <v/>
      </c>
      <c r="T200" s="248" t="n"/>
      <c r="U200" s="1336">
        <f>'Departmental Expenses'!R72</f>
        <v/>
      </c>
      <c r="V200" s="1336">
        <f>'Departmental Expenses'!S72</f>
        <v/>
      </c>
      <c r="W200" s="1336">
        <f>'Departmental Expenses'!T72</f>
        <v/>
      </c>
      <c r="X200" s="1336">
        <f>'Departmental Expenses'!U72</f>
        <v/>
      </c>
      <c r="Y200" s="1336">
        <f>'Departmental Expenses'!V72</f>
        <v/>
      </c>
      <c r="Z200" s="1336">
        <f>'Departmental Expenses'!W72</f>
        <v/>
      </c>
      <c r="AA200" s="1336">
        <f>'Departmental Expenses'!X72</f>
        <v/>
      </c>
      <c r="AB200" s="1336">
        <f>'Departmental Expenses'!Y72</f>
        <v/>
      </c>
      <c r="AC200" s="1336">
        <f>'Departmental Expenses'!Z72</f>
        <v/>
      </c>
      <c r="AD200" s="1336">
        <f>'Departmental Expenses'!AA72</f>
        <v/>
      </c>
      <c r="AE200" s="1336">
        <f>'Departmental Expenses'!AB72</f>
        <v/>
      </c>
      <c r="AF200" s="1336">
        <f>'Departmental Expenses'!AC72</f>
        <v/>
      </c>
      <c r="AG200" s="1403">
        <f>SUM(U200:AF200)</f>
        <v/>
      </c>
      <c r="AH200" s="248" t="n"/>
      <c r="AI200" s="1336">
        <f>'Departmental Expenses'!AF72</f>
        <v/>
      </c>
      <c r="AJ200" s="1336">
        <f>'Departmental Expenses'!AG72</f>
        <v/>
      </c>
      <c r="AK200" s="1336">
        <f>'Departmental Expenses'!AH72</f>
        <v/>
      </c>
      <c r="AL200" s="1336">
        <f>'Departmental Expenses'!AI72</f>
        <v/>
      </c>
      <c r="AM200" s="1336">
        <f>'Departmental Expenses'!AJ72</f>
        <v/>
      </c>
      <c r="AN200" s="1336">
        <f>'Departmental Expenses'!AK72</f>
        <v/>
      </c>
      <c r="AO200" s="1336">
        <f>'Departmental Expenses'!AL72</f>
        <v/>
      </c>
      <c r="AP200" s="1336">
        <f>'Departmental Expenses'!AM72</f>
        <v/>
      </c>
      <c r="AQ200" s="1336">
        <f>'Departmental Expenses'!AN72</f>
        <v/>
      </c>
      <c r="AR200" s="1336">
        <f>'Departmental Expenses'!AO72</f>
        <v/>
      </c>
      <c r="AS200" s="1336">
        <f>'Departmental Expenses'!AP72</f>
        <v/>
      </c>
      <c r="AT200" s="1336">
        <f>'Departmental Expenses'!AQ72</f>
        <v/>
      </c>
      <c r="AU200" s="1403">
        <f>SUM(AI200:AT200)</f>
        <v/>
      </c>
      <c r="AW200" s="1336">
        <f>'Departmental Expenses'!AT72</f>
        <v/>
      </c>
      <c r="AX200" s="1336">
        <f>'Departmental Expenses'!AU72</f>
        <v/>
      </c>
      <c r="AY200" s="1336">
        <f>'Departmental Expenses'!AV72</f>
        <v/>
      </c>
      <c r="AZ200" s="1336">
        <f>'Departmental Expenses'!AW72</f>
        <v/>
      </c>
      <c r="BA200" s="1336">
        <f>'Departmental Expenses'!AX72</f>
        <v/>
      </c>
      <c r="BB200" s="1336">
        <f>'Departmental Expenses'!AY72</f>
        <v/>
      </c>
      <c r="BC200" s="1336">
        <f>'Departmental Expenses'!AZ72</f>
        <v/>
      </c>
      <c r="BD200" s="1336">
        <f>'Departmental Expenses'!BA72</f>
        <v/>
      </c>
      <c r="BE200" s="1336">
        <f>'Departmental Expenses'!BB72</f>
        <v/>
      </c>
      <c r="BF200" s="1336">
        <f>'Departmental Expenses'!BC72</f>
        <v/>
      </c>
      <c r="BG200" s="1336">
        <f>'Departmental Expenses'!BD72</f>
        <v/>
      </c>
      <c r="BH200" s="1336">
        <f>'Departmental Expenses'!BE72</f>
        <v/>
      </c>
      <c r="BI200" s="1403">
        <f>SUM(AW200:BH200)</f>
        <v/>
      </c>
    </row>
    <row r="201" outlineLevel="1" ht="20" customHeight="1">
      <c r="A201" s="441" t="n"/>
      <c r="B201" s="375">
        <f>'Departmental Expenses'!A73</f>
        <v/>
      </c>
      <c r="C201" s="1363" t="inlineStr">
        <is>
          <t xml:space="preserve"> </t>
        </is>
      </c>
      <c r="D201" s="1364" t="n"/>
      <c r="E201" s="1365" t="n"/>
      <c r="F201" s="1370" t="n"/>
      <c r="G201" s="1336">
        <f>'Departmental Expenses'!D73</f>
        <v/>
      </c>
      <c r="H201" s="1336">
        <f>'Departmental Expenses'!E73</f>
        <v/>
      </c>
      <c r="I201" s="1336">
        <f>'Departmental Expenses'!F73</f>
        <v/>
      </c>
      <c r="J201" s="1336">
        <f>'Departmental Expenses'!G73</f>
        <v/>
      </c>
      <c r="K201" s="1336">
        <f>'Departmental Expenses'!H73</f>
        <v/>
      </c>
      <c r="L201" s="1336">
        <f>'Departmental Expenses'!I73</f>
        <v/>
      </c>
      <c r="M201" s="1336">
        <f>'Departmental Expenses'!J73</f>
        <v/>
      </c>
      <c r="N201" s="1336">
        <f>'Departmental Expenses'!K73</f>
        <v/>
      </c>
      <c r="O201" s="1336">
        <f>'Departmental Expenses'!L73</f>
        <v/>
      </c>
      <c r="P201" s="1336">
        <f>'Departmental Expenses'!M73</f>
        <v/>
      </c>
      <c r="Q201" s="1336">
        <f>'Departmental Expenses'!N73</f>
        <v/>
      </c>
      <c r="R201" s="1336">
        <f>'Departmental Expenses'!O73</f>
        <v/>
      </c>
      <c r="S201" s="1403">
        <f>SUM(G201:R201)</f>
        <v/>
      </c>
      <c r="T201" s="248" t="n"/>
      <c r="U201" s="1336">
        <f>'Departmental Expenses'!R73</f>
        <v/>
      </c>
      <c r="V201" s="1336">
        <f>'Departmental Expenses'!S73</f>
        <v/>
      </c>
      <c r="W201" s="1336">
        <f>'Departmental Expenses'!T73</f>
        <v/>
      </c>
      <c r="X201" s="1336">
        <f>'Departmental Expenses'!U73</f>
        <v/>
      </c>
      <c r="Y201" s="1336">
        <f>'Departmental Expenses'!V73</f>
        <v/>
      </c>
      <c r="Z201" s="1336">
        <f>'Departmental Expenses'!W73</f>
        <v/>
      </c>
      <c r="AA201" s="1336">
        <f>'Departmental Expenses'!X73</f>
        <v/>
      </c>
      <c r="AB201" s="1336">
        <f>'Departmental Expenses'!Y73</f>
        <v/>
      </c>
      <c r="AC201" s="1336">
        <f>'Departmental Expenses'!Z73</f>
        <v/>
      </c>
      <c r="AD201" s="1336">
        <f>'Departmental Expenses'!AA73</f>
        <v/>
      </c>
      <c r="AE201" s="1336">
        <f>'Departmental Expenses'!AB73</f>
        <v/>
      </c>
      <c r="AF201" s="1336">
        <f>'Departmental Expenses'!AC73</f>
        <v/>
      </c>
      <c r="AG201" s="1403">
        <f>SUM(U201:AF201)</f>
        <v/>
      </c>
      <c r="AH201" s="248" t="n"/>
      <c r="AI201" s="1336">
        <f>'Departmental Expenses'!AF73</f>
        <v/>
      </c>
      <c r="AJ201" s="1336">
        <f>'Departmental Expenses'!AG73</f>
        <v/>
      </c>
      <c r="AK201" s="1336">
        <f>'Departmental Expenses'!AH73</f>
        <v/>
      </c>
      <c r="AL201" s="1336">
        <f>'Departmental Expenses'!AI73</f>
        <v/>
      </c>
      <c r="AM201" s="1336">
        <f>'Departmental Expenses'!AJ73</f>
        <v/>
      </c>
      <c r="AN201" s="1336">
        <f>'Departmental Expenses'!AK73</f>
        <v/>
      </c>
      <c r="AO201" s="1336">
        <f>'Departmental Expenses'!AL73</f>
        <v/>
      </c>
      <c r="AP201" s="1336">
        <f>'Departmental Expenses'!AM73</f>
        <v/>
      </c>
      <c r="AQ201" s="1336">
        <f>'Departmental Expenses'!AN73</f>
        <v/>
      </c>
      <c r="AR201" s="1336">
        <f>'Departmental Expenses'!AO73</f>
        <v/>
      </c>
      <c r="AS201" s="1336">
        <f>'Departmental Expenses'!AP73</f>
        <v/>
      </c>
      <c r="AT201" s="1336">
        <f>'Departmental Expenses'!AQ73</f>
        <v/>
      </c>
      <c r="AU201" s="1403">
        <f>SUM(AI201:AT201)</f>
        <v/>
      </c>
      <c r="AW201" s="1336">
        <f>'Departmental Expenses'!AT73</f>
        <v/>
      </c>
      <c r="AX201" s="1336">
        <f>'Departmental Expenses'!AU73</f>
        <v/>
      </c>
      <c r="AY201" s="1336">
        <f>'Departmental Expenses'!AV73</f>
        <v/>
      </c>
      <c r="AZ201" s="1336">
        <f>'Departmental Expenses'!AW73</f>
        <v/>
      </c>
      <c r="BA201" s="1336">
        <f>'Departmental Expenses'!AX73</f>
        <v/>
      </c>
      <c r="BB201" s="1336">
        <f>'Departmental Expenses'!AY73</f>
        <v/>
      </c>
      <c r="BC201" s="1336">
        <f>'Departmental Expenses'!AZ73</f>
        <v/>
      </c>
      <c r="BD201" s="1336">
        <f>'Departmental Expenses'!BA73</f>
        <v/>
      </c>
      <c r="BE201" s="1336">
        <f>'Departmental Expenses'!BB73</f>
        <v/>
      </c>
      <c r="BF201" s="1336">
        <f>'Departmental Expenses'!BC73</f>
        <v/>
      </c>
      <c r="BG201" s="1336">
        <f>'Departmental Expenses'!BD73</f>
        <v/>
      </c>
      <c r="BH201" s="1336">
        <f>'Departmental Expenses'!BE73</f>
        <v/>
      </c>
      <c r="BI201" s="1403">
        <f>SUM(AW201:BH201)</f>
        <v/>
      </c>
    </row>
    <row r="202" outlineLevel="1" ht="20" customHeight="1">
      <c r="A202" s="441" t="n"/>
      <c r="B202" s="404">
        <f>'Departmental Expenses'!A74</f>
        <v/>
      </c>
      <c r="C202" s="1363" t="n"/>
      <c r="D202" s="1364" t="n"/>
      <c r="E202" s="1365" t="n"/>
      <c r="F202" s="1370" t="n"/>
      <c r="G202" s="1336">
        <f>'Departmental Expenses'!D74</f>
        <v/>
      </c>
      <c r="H202" s="1336">
        <f>'Departmental Expenses'!E74</f>
        <v/>
      </c>
      <c r="I202" s="1336">
        <f>'Departmental Expenses'!F74</f>
        <v/>
      </c>
      <c r="J202" s="1336">
        <f>'Departmental Expenses'!G74</f>
        <v/>
      </c>
      <c r="K202" s="1336">
        <f>'Departmental Expenses'!H74</f>
        <v/>
      </c>
      <c r="L202" s="1336">
        <f>'Departmental Expenses'!I74</f>
        <v/>
      </c>
      <c r="M202" s="1336">
        <f>'Departmental Expenses'!J74</f>
        <v/>
      </c>
      <c r="N202" s="1336">
        <f>'Departmental Expenses'!K74</f>
        <v/>
      </c>
      <c r="O202" s="1336">
        <f>'Departmental Expenses'!L74</f>
        <v/>
      </c>
      <c r="P202" s="1336">
        <f>'Departmental Expenses'!M74</f>
        <v/>
      </c>
      <c r="Q202" s="1336">
        <f>'Departmental Expenses'!N74</f>
        <v/>
      </c>
      <c r="R202" s="1336">
        <f>'Departmental Expenses'!O74</f>
        <v/>
      </c>
      <c r="S202" s="1403">
        <f>SUM(G202:R202)</f>
        <v/>
      </c>
      <c r="T202" s="248" t="n"/>
      <c r="U202" s="1336">
        <f>'Departmental Expenses'!R74</f>
        <v/>
      </c>
      <c r="V202" s="1336">
        <f>'Departmental Expenses'!S74</f>
        <v/>
      </c>
      <c r="W202" s="1336">
        <f>'Departmental Expenses'!T74</f>
        <v/>
      </c>
      <c r="X202" s="1336">
        <f>'Departmental Expenses'!U74</f>
        <v/>
      </c>
      <c r="Y202" s="1336">
        <f>'Departmental Expenses'!V74</f>
        <v/>
      </c>
      <c r="Z202" s="1336">
        <f>'Departmental Expenses'!W74</f>
        <v/>
      </c>
      <c r="AA202" s="1336">
        <f>'Departmental Expenses'!X74</f>
        <v/>
      </c>
      <c r="AB202" s="1336">
        <f>'Departmental Expenses'!Y74</f>
        <v/>
      </c>
      <c r="AC202" s="1336">
        <f>'Departmental Expenses'!Z74</f>
        <v/>
      </c>
      <c r="AD202" s="1336">
        <f>'Departmental Expenses'!AA74</f>
        <v/>
      </c>
      <c r="AE202" s="1336">
        <f>'Departmental Expenses'!AB74</f>
        <v/>
      </c>
      <c r="AF202" s="1336">
        <f>'Departmental Expenses'!AC74</f>
        <v/>
      </c>
      <c r="AG202" s="1403">
        <f>SUM(U202:AF202)</f>
        <v/>
      </c>
      <c r="AH202" s="248" t="n"/>
      <c r="AI202" s="1336">
        <f>'Departmental Expenses'!AF74</f>
        <v/>
      </c>
      <c r="AJ202" s="1336">
        <f>'Departmental Expenses'!AG74</f>
        <v/>
      </c>
      <c r="AK202" s="1336">
        <f>'Departmental Expenses'!AH74</f>
        <v/>
      </c>
      <c r="AL202" s="1336">
        <f>'Departmental Expenses'!AI74</f>
        <v/>
      </c>
      <c r="AM202" s="1336">
        <f>'Departmental Expenses'!AJ74</f>
        <v/>
      </c>
      <c r="AN202" s="1336">
        <f>'Departmental Expenses'!AK74</f>
        <v/>
      </c>
      <c r="AO202" s="1336">
        <f>'Departmental Expenses'!AL74</f>
        <v/>
      </c>
      <c r="AP202" s="1336">
        <f>'Departmental Expenses'!AM74</f>
        <v/>
      </c>
      <c r="AQ202" s="1336">
        <f>'Departmental Expenses'!AN74</f>
        <v/>
      </c>
      <c r="AR202" s="1336">
        <f>'Departmental Expenses'!AO74</f>
        <v/>
      </c>
      <c r="AS202" s="1336">
        <f>'Departmental Expenses'!AP74</f>
        <v/>
      </c>
      <c r="AT202" s="1336">
        <f>'Departmental Expenses'!AQ74</f>
        <v/>
      </c>
      <c r="AU202" s="1403">
        <f>SUM(AI202:AT202)</f>
        <v/>
      </c>
      <c r="AW202" s="1336">
        <f>'Departmental Expenses'!AT74</f>
        <v/>
      </c>
      <c r="AX202" s="1336">
        <f>'Departmental Expenses'!AU74</f>
        <v/>
      </c>
      <c r="AY202" s="1336">
        <f>'Departmental Expenses'!AV74</f>
        <v/>
      </c>
      <c r="AZ202" s="1336">
        <f>'Departmental Expenses'!AW74</f>
        <v/>
      </c>
      <c r="BA202" s="1336">
        <f>'Departmental Expenses'!AX74</f>
        <v/>
      </c>
      <c r="BB202" s="1336">
        <f>'Departmental Expenses'!AY74</f>
        <v/>
      </c>
      <c r="BC202" s="1336">
        <f>'Departmental Expenses'!AZ74</f>
        <v/>
      </c>
      <c r="BD202" s="1336">
        <f>'Departmental Expenses'!BA74</f>
        <v/>
      </c>
      <c r="BE202" s="1336">
        <f>'Departmental Expenses'!BB74</f>
        <v/>
      </c>
      <c r="BF202" s="1336">
        <f>'Departmental Expenses'!BC74</f>
        <v/>
      </c>
      <c r="BG202" s="1336">
        <f>'Departmental Expenses'!BD74</f>
        <v/>
      </c>
      <c r="BH202" s="1336">
        <f>'Departmental Expenses'!BE74</f>
        <v/>
      </c>
      <c r="BI202" s="1403">
        <f>SUM(AW202:BH202)</f>
        <v/>
      </c>
    </row>
    <row r="203" outlineLevel="1" ht="20" customHeight="1">
      <c r="A203" s="441" t="n"/>
      <c r="B203" s="402">
        <f>'Departmental Expenses'!A75</f>
        <v/>
      </c>
      <c r="C203" s="1368" t="inlineStr">
        <is>
          <t xml:space="preserve"> </t>
        </is>
      </c>
      <c r="D203" s="1364" t="n"/>
      <c r="E203" s="1365" t="n"/>
      <c r="F203" s="1370" t="n"/>
      <c r="G203" s="1336">
        <f>'Departmental Expenses'!D75</f>
        <v/>
      </c>
      <c r="H203" s="1336">
        <f>'Departmental Expenses'!E75</f>
        <v/>
      </c>
      <c r="I203" s="1336">
        <f>'Departmental Expenses'!F75</f>
        <v/>
      </c>
      <c r="J203" s="1336">
        <f>'Departmental Expenses'!G75</f>
        <v/>
      </c>
      <c r="K203" s="1336">
        <f>'Departmental Expenses'!H75</f>
        <v/>
      </c>
      <c r="L203" s="1336">
        <f>'Departmental Expenses'!I75</f>
        <v/>
      </c>
      <c r="M203" s="1336">
        <f>'Departmental Expenses'!J75</f>
        <v/>
      </c>
      <c r="N203" s="1336">
        <f>'Departmental Expenses'!K75</f>
        <v/>
      </c>
      <c r="O203" s="1336">
        <f>'Departmental Expenses'!L75</f>
        <v/>
      </c>
      <c r="P203" s="1336">
        <f>'Departmental Expenses'!M75</f>
        <v/>
      </c>
      <c r="Q203" s="1336">
        <f>'Departmental Expenses'!N75</f>
        <v/>
      </c>
      <c r="R203" s="1336">
        <f>'Departmental Expenses'!O75</f>
        <v/>
      </c>
      <c r="S203" s="1403">
        <f>SUM(G203:R203)</f>
        <v/>
      </c>
      <c r="T203" s="248" t="n"/>
      <c r="U203" s="1336">
        <f>'Departmental Expenses'!R75</f>
        <v/>
      </c>
      <c r="V203" s="1336">
        <f>'Departmental Expenses'!S75</f>
        <v/>
      </c>
      <c r="W203" s="1336">
        <f>'Departmental Expenses'!T75</f>
        <v/>
      </c>
      <c r="X203" s="1336">
        <f>'Departmental Expenses'!U75</f>
        <v/>
      </c>
      <c r="Y203" s="1336">
        <f>'Departmental Expenses'!V75</f>
        <v/>
      </c>
      <c r="Z203" s="1336">
        <f>'Departmental Expenses'!W75</f>
        <v/>
      </c>
      <c r="AA203" s="1336">
        <f>'Departmental Expenses'!X75</f>
        <v/>
      </c>
      <c r="AB203" s="1336">
        <f>'Departmental Expenses'!Y75</f>
        <v/>
      </c>
      <c r="AC203" s="1336">
        <f>'Departmental Expenses'!Z75</f>
        <v/>
      </c>
      <c r="AD203" s="1336">
        <f>'Departmental Expenses'!AA75</f>
        <v/>
      </c>
      <c r="AE203" s="1336">
        <f>'Departmental Expenses'!AB75</f>
        <v/>
      </c>
      <c r="AF203" s="1336">
        <f>'Departmental Expenses'!AC75</f>
        <v/>
      </c>
      <c r="AG203" s="1403">
        <f>SUM(U203:AF203)</f>
        <v/>
      </c>
      <c r="AH203" s="248" t="n"/>
      <c r="AI203" s="1336">
        <f>'Departmental Expenses'!AF75</f>
        <v/>
      </c>
      <c r="AJ203" s="1336">
        <f>'Departmental Expenses'!AG75</f>
        <v/>
      </c>
      <c r="AK203" s="1336">
        <f>'Departmental Expenses'!AH75</f>
        <v/>
      </c>
      <c r="AL203" s="1336">
        <f>'Departmental Expenses'!AI75</f>
        <v/>
      </c>
      <c r="AM203" s="1336">
        <f>'Departmental Expenses'!AJ75</f>
        <v/>
      </c>
      <c r="AN203" s="1336">
        <f>'Departmental Expenses'!AK75</f>
        <v/>
      </c>
      <c r="AO203" s="1336">
        <f>'Departmental Expenses'!AL75</f>
        <v/>
      </c>
      <c r="AP203" s="1336">
        <f>'Departmental Expenses'!AM75</f>
        <v/>
      </c>
      <c r="AQ203" s="1336">
        <f>'Departmental Expenses'!AN75</f>
        <v/>
      </c>
      <c r="AR203" s="1336">
        <f>'Departmental Expenses'!AO75</f>
        <v/>
      </c>
      <c r="AS203" s="1336">
        <f>'Departmental Expenses'!AP75</f>
        <v/>
      </c>
      <c r="AT203" s="1336">
        <f>'Departmental Expenses'!AQ75</f>
        <v/>
      </c>
      <c r="AU203" s="1403">
        <f>SUM(AI203:AT203)</f>
        <v/>
      </c>
      <c r="AW203" s="1336">
        <f>'Departmental Expenses'!AT75</f>
        <v/>
      </c>
      <c r="AX203" s="1336">
        <f>'Departmental Expenses'!AU75</f>
        <v/>
      </c>
      <c r="AY203" s="1336">
        <f>'Departmental Expenses'!AV75</f>
        <v/>
      </c>
      <c r="AZ203" s="1336">
        <f>'Departmental Expenses'!AW75</f>
        <v/>
      </c>
      <c r="BA203" s="1336">
        <f>'Departmental Expenses'!AX75</f>
        <v/>
      </c>
      <c r="BB203" s="1336">
        <f>'Departmental Expenses'!AY75</f>
        <v/>
      </c>
      <c r="BC203" s="1336">
        <f>'Departmental Expenses'!AZ75</f>
        <v/>
      </c>
      <c r="BD203" s="1336">
        <f>'Departmental Expenses'!BA75</f>
        <v/>
      </c>
      <c r="BE203" s="1336">
        <f>'Departmental Expenses'!BB75</f>
        <v/>
      </c>
      <c r="BF203" s="1336">
        <f>'Departmental Expenses'!BC75</f>
        <v/>
      </c>
      <c r="BG203" s="1336">
        <f>'Departmental Expenses'!BD75</f>
        <v/>
      </c>
      <c r="BH203" s="1336">
        <f>'Departmental Expenses'!BE75</f>
        <v/>
      </c>
      <c r="BI203" s="1403">
        <f>SUM(AW203:BH203)</f>
        <v/>
      </c>
    </row>
    <row r="204" outlineLevel="1" ht="20" customHeight="1">
      <c r="A204" s="441" t="n"/>
      <c r="B204" s="402">
        <f>'Departmental Expenses'!A76</f>
        <v/>
      </c>
      <c r="C204" s="1368" t="n"/>
      <c r="D204" s="1364" t="n"/>
      <c r="E204" s="1365" t="n"/>
      <c r="F204" s="1370" t="n"/>
      <c r="G204" s="1336">
        <f>'Departmental Expenses'!D76</f>
        <v/>
      </c>
      <c r="H204" s="1336">
        <f>'Departmental Expenses'!E76</f>
        <v/>
      </c>
      <c r="I204" s="1336">
        <f>'Departmental Expenses'!F76</f>
        <v/>
      </c>
      <c r="J204" s="1336">
        <f>'Departmental Expenses'!G76</f>
        <v/>
      </c>
      <c r="K204" s="1336">
        <f>'Departmental Expenses'!H76</f>
        <v/>
      </c>
      <c r="L204" s="1336">
        <f>'Departmental Expenses'!I76</f>
        <v/>
      </c>
      <c r="M204" s="1336">
        <f>'Departmental Expenses'!J76</f>
        <v/>
      </c>
      <c r="N204" s="1336">
        <f>'Departmental Expenses'!K76</f>
        <v/>
      </c>
      <c r="O204" s="1336">
        <f>'Departmental Expenses'!L76</f>
        <v/>
      </c>
      <c r="P204" s="1336">
        <f>'Departmental Expenses'!M76</f>
        <v/>
      </c>
      <c r="Q204" s="1336">
        <f>'Departmental Expenses'!N76</f>
        <v/>
      </c>
      <c r="R204" s="1336">
        <f>'Departmental Expenses'!O76</f>
        <v/>
      </c>
      <c r="S204" s="1403">
        <f>SUM(G204:R204)</f>
        <v/>
      </c>
      <c r="T204" s="248" t="n"/>
      <c r="U204" s="1336">
        <f>'Departmental Expenses'!R76</f>
        <v/>
      </c>
      <c r="V204" s="1336">
        <f>'Departmental Expenses'!S76</f>
        <v/>
      </c>
      <c r="W204" s="1336">
        <f>'Departmental Expenses'!T76</f>
        <v/>
      </c>
      <c r="X204" s="1336">
        <f>'Departmental Expenses'!U76</f>
        <v/>
      </c>
      <c r="Y204" s="1336">
        <f>'Departmental Expenses'!V76</f>
        <v/>
      </c>
      <c r="Z204" s="1336">
        <f>'Departmental Expenses'!W76</f>
        <v/>
      </c>
      <c r="AA204" s="1336">
        <f>'Departmental Expenses'!X76</f>
        <v/>
      </c>
      <c r="AB204" s="1336">
        <f>'Departmental Expenses'!Y76</f>
        <v/>
      </c>
      <c r="AC204" s="1336">
        <f>'Departmental Expenses'!Z76</f>
        <v/>
      </c>
      <c r="AD204" s="1336">
        <f>'Departmental Expenses'!AA76</f>
        <v/>
      </c>
      <c r="AE204" s="1336">
        <f>'Departmental Expenses'!AB76</f>
        <v/>
      </c>
      <c r="AF204" s="1336">
        <f>'Departmental Expenses'!AC76</f>
        <v/>
      </c>
      <c r="AG204" s="1403">
        <f>SUM(U204:AF204)</f>
        <v/>
      </c>
      <c r="AH204" s="248" t="n"/>
      <c r="AI204" s="1336">
        <f>'Departmental Expenses'!AF76</f>
        <v/>
      </c>
      <c r="AJ204" s="1336">
        <f>'Departmental Expenses'!AG76</f>
        <v/>
      </c>
      <c r="AK204" s="1336">
        <f>'Departmental Expenses'!AH76</f>
        <v/>
      </c>
      <c r="AL204" s="1336">
        <f>'Departmental Expenses'!AI76</f>
        <v/>
      </c>
      <c r="AM204" s="1336">
        <f>'Departmental Expenses'!AJ76</f>
        <v/>
      </c>
      <c r="AN204" s="1336">
        <f>'Departmental Expenses'!AK76</f>
        <v/>
      </c>
      <c r="AO204" s="1336">
        <f>'Departmental Expenses'!AL76</f>
        <v/>
      </c>
      <c r="AP204" s="1336">
        <f>'Departmental Expenses'!AM76</f>
        <v/>
      </c>
      <c r="AQ204" s="1336">
        <f>'Departmental Expenses'!AN76</f>
        <v/>
      </c>
      <c r="AR204" s="1336">
        <f>'Departmental Expenses'!AO76</f>
        <v/>
      </c>
      <c r="AS204" s="1336">
        <f>'Departmental Expenses'!AP76</f>
        <v/>
      </c>
      <c r="AT204" s="1336">
        <f>'Departmental Expenses'!AQ76</f>
        <v/>
      </c>
      <c r="AU204" s="1403">
        <f>SUM(AI204:AT204)</f>
        <v/>
      </c>
      <c r="AW204" s="1336">
        <f>'Departmental Expenses'!AT76</f>
        <v/>
      </c>
      <c r="AX204" s="1336">
        <f>'Departmental Expenses'!AU76</f>
        <v/>
      </c>
      <c r="AY204" s="1336">
        <f>'Departmental Expenses'!AV76</f>
        <v/>
      </c>
      <c r="AZ204" s="1336">
        <f>'Departmental Expenses'!AW76</f>
        <v/>
      </c>
      <c r="BA204" s="1336">
        <f>'Departmental Expenses'!AX76</f>
        <v/>
      </c>
      <c r="BB204" s="1336">
        <f>'Departmental Expenses'!AY76</f>
        <v/>
      </c>
      <c r="BC204" s="1336">
        <f>'Departmental Expenses'!AZ76</f>
        <v/>
      </c>
      <c r="BD204" s="1336">
        <f>'Departmental Expenses'!BA76</f>
        <v/>
      </c>
      <c r="BE204" s="1336">
        <f>'Departmental Expenses'!BB76</f>
        <v/>
      </c>
      <c r="BF204" s="1336">
        <f>'Departmental Expenses'!BC76</f>
        <v/>
      </c>
      <c r="BG204" s="1336">
        <f>'Departmental Expenses'!BD76</f>
        <v/>
      </c>
      <c r="BH204" s="1336">
        <f>'Departmental Expenses'!BE76</f>
        <v/>
      </c>
      <c r="BI204" s="1403">
        <f>SUM(AW204:BH204)</f>
        <v/>
      </c>
    </row>
    <row r="205" outlineLevel="1" ht="20" customHeight="1">
      <c r="A205" s="441" t="n"/>
      <c r="B205" s="402">
        <f>'Departmental Expenses'!A77</f>
        <v/>
      </c>
      <c r="C205" s="1368" t="n"/>
      <c r="D205" s="1364" t="n"/>
      <c r="E205" s="1365" t="n"/>
      <c r="F205" s="1370" t="n"/>
      <c r="G205" s="1336">
        <f>'Departmental Expenses'!D77</f>
        <v/>
      </c>
      <c r="H205" s="1336">
        <f>'Departmental Expenses'!E77</f>
        <v/>
      </c>
      <c r="I205" s="1336">
        <f>'Departmental Expenses'!F77</f>
        <v/>
      </c>
      <c r="J205" s="1336">
        <f>'Departmental Expenses'!G77</f>
        <v/>
      </c>
      <c r="K205" s="1336">
        <f>'Departmental Expenses'!H77</f>
        <v/>
      </c>
      <c r="L205" s="1336">
        <f>'Departmental Expenses'!I77</f>
        <v/>
      </c>
      <c r="M205" s="1336">
        <f>'Departmental Expenses'!J77</f>
        <v/>
      </c>
      <c r="N205" s="1336">
        <f>'Departmental Expenses'!K77</f>
        <v/>
      </c>
      <c r="O205" s="1336">
        <f>'Departmental Expenses'!L77</f>
        <v/>
      </c>
      <c r="P205" s="1336">
        <f>'Departmental Expenses'!M77</f>
        <v/>
      </c>
      <c r="Q205" s="1336">
        <f>'Departmental Expenses'!N77</f>
        <v/>
      </c>
      <c r="R205" s="1336">
        <f>'Departmental Expenses'!O77</f>
        <v/>
      </c>
      <c r="S205" s="1403">
        <f>SUM(G205:R205)</f>
        <v/>
      </c>
      <c r="T205" s="248" t="n"/>
      <c r="U205" s="1336">
        <f>'Departmental Expenses'!R77</f>
        <v/>
      </c>
      <c r="V205" s="1336">
        <f>'Departmental Expenses'!S77</f>
        <v/>
      </c>
      <c r="W205" s="1336">
        <f>'Departmental Expenses'!T77</f>
        <v/>
      </c>
      <c r="X205" s="1336">
        <f>'Departmental Expenses'!U77</f>
        <v/>
      </c>
      <c r="Y205" s="1336">
        <f>'Departmental Expenses'!V77</f>
        <v/>
      </c>
      <c r="Z205" s="1336">
        <f>'Departmental Expenses'!W77</f>
        <v/>
      </c>
      <c r="AA205" s="1336">
        <f>'Departmental Expenses'!X77</f>
        <v/>
      </c>
      <c r="AB205" s="1336">
        <f>'Departmental Expenses'!Y77</f>
        <v/>
      </c>
      <c r="AC205" s="1336">
        <f>'Departmental Expenses'!Z77</f>
        <v/>
      </c>
      <c r="AD205" s="1336">
        <f>'Departmental Expenses'!AA77</f>
        <v/>
      </c>
      <c r="AE205" s="1336">
        <f>'Departmental Expenses'!AB77</f>
        <v/>
      </c>
      <c r="AF205" s="1336">
        <f>'Departmental Expenses'!AC77</f>
        <v/>
      </c>
      <c r="AG205" s="1403">
        <f>SUM(U205:AF205)</f>
        <v/>
      </c>
      <c r="AH205" s="248" t="n"/>
      <c r="AI205" s="1336">
        <f>'Departmental Expenses'!AF77</f>
        <v/>
      </c>
      <c r="AJ205" s="1336">
        <f>'Departmental Expenses'!AG77</f>
        <v/>
      </c>
      <c r="AK205" s="1336">
        <f>'Departmental Expenses'!AH77</f>
        <v/>
      </c>
      <c r="AL205" s="1336">
        <f>'Departmental Expenses'!AI77</f>
        <v/>
      </c>
      <c r="AM205" s="1336">
        <f>'Departmental Expenses'!AJ77</f>
        <v/>
      </c>
      <c r="AN205" s="1336">
        <f>'Departmental Expenses'!AK77</f>
        <v/>
      </c>
      <c r="AO205" s="1336">
        <f>'Departmental Expenses'!AL77</f>
        <v/>
      </c>
      <c r="AP205" s="1336">
        <f>'Departmental Expenses'!AM77</f>
        <v/>
      </c>
      <c r="AQ205" s="1336">
        <f>'Departmental Expenses'!AN77</f>
        <v/>
      </c>
      <c r="AR205" s="1336">
        <f>'Departmental Expenses'!AO77</f>
        <v/>
      </c>
      <c r="AS205" s="1336">
        <f>'Departmental Expenses'!AP77</f>
        <v/>
      </c>
      <c r="AT205" s="1336">
        <f>'Departmental Expenses'!AQ77</f>
        <v/>
      </c>
      <c r="AU205" s="1403">
        <f>SUM(AI205:AT205)</f>
        <v/>
      </c>
      <c r="AW205" s="1336">
        <f>'Departmental Expenses'!AT77</f>
        <v/>
      </c>
      <c r="AX205" s="1336">
        <f>'Departmental Expenses'!AU77</f>
        <v/>
      </c>
      <c r="AY205" s="1336">
        <f>'Departmental Expenses'!AV77</f>
        <v/>
      </c>
      <c r="AZ205" s="1336">
        <f>'Departmental Expenses'!AW77</f>
        <v/>
      </c>
      <c r="BA205" s="1336">
        <f>'Departmental Expenses'!AX77</f>
        <v/>
      </c>
      <c r="BB205" s="1336">
        <f>'Departmental Expenses'!AY77</f>
        <v/>
      </c>
      <c r="BC205" s="1336">
        <f>'Departmental Expenses'!AZ77</f>
        <v/>
      </c>
      <c r="BD205" s="1336">
        <f>'Departmental Expenses'!BA77</f>
        <v/>
      </c>
      <c r="BE205" s="1336">
        <f>'Departmental Expenses'!BB77</f>
        <v/>
      </c>
      <c r="BF205" s="1336">
        <f>'Departmental Expenses'!BC77</f>
        <v/>
      </c>
      <c r="BG205" s="1336">
        <f>'Departmental Expenses'!BD77</f>
        <v/>
      </c>
      <c r="BH205" s="1336">
        <f>'Departmental Expenses'!BE77</f>
        <v/>
      </c>
      <c r="BI205" s="1403">
        <f>SUM(AW205:BH205)</f>
        <v/>
      </c>
    </row>
    <row r="206" outlineLevel="1" ht="20" customHeight="1">
      <c r="A206" s="441" t="n"/>
      <c r="B206" s="399">
        <f>'Departmental Expenses'!A78</f>
        <v/>
      </c>
      <c r="C206" s="1368" t="n"/>
      <c r="D206" s="1364" t="n"/>
      <c r="E206" s="1365" t="n"/>
      <c r="F206" s="1337" t="n"/>
      <c r="G206" s="1336">
        <f>'Departmental Expenses'!D78</f>
        <v/>
      </c>
      <c r="H206" s="1336">
        <f>'Departmental Expenses'!E78</f>
        <v/>
      </c>
      <c r="I206" s="1336">
        <f>'Departmental Expenses'!F78</f>
        <v/>
      </c>
      <c r="J206" s="1336">
        <f>'Departmental Expenses'!G78</f>
        <v/>
      </c>
      <c r="K206" s="1336">
        <f>'Departmental Expenses'!H78</f>
        <v/>
      </c>
      <c r="L206" s="1336">
        <f>'Departmental Expenses'!I78</f>
        <v/>
      </c>
      <c r="M206" s="1336">
        <f>'Departmental Expenses'!J78</f>
        <v/>
      </c>
      <c r="N206" s="1336">
        <f>'Departmental Expenses'!K78</f>
        <v/>
      </c>
      <c r="O206" s="1336">
        <f>'Departmental Expenses'!L78</f>
        <v/>
      </c>
      <c r="P206" s="1336">
        <f>'Departmental Expenses'!M78</f>
        <v/>
      </c>
      <c r="Q206" s="1336">
        <f>'Departmental Expenses'!N78</f>
        <v/>
      </c>
      <c r="R206" s="1336">
        <f>'Departmental Expenses'!O78</f>
        <v/>
      </c>
      <c r="S206" s="1403">
        <f>SUM(G206:R206)</f>
        <v/>
      </c>
      <c r="T206" s="248" t="n"/>
      <c r="U206" s="1336">
        <f>'Departmental Expenses'!R78</f>
        <v/>
      </c>
      <c r="V206" s="1336">
        <f>'Departmental Expenses'!S78</f>
        <v/>
      </c>
      <c r="W206" s="1336">
        <f>'Departmental Expenses'!T78</f>
        <v/>
      </c>
      <c r="X206" s="1336">
        <f>'Departmental Expenses'!U78</f>
        <v/>
      </c>
      <c r="Y206" s="1336">
        <f>'Departmental Expenses'!V78</f>
        <v/>
      </c>
      <c r="Z206" s="1336">
        <f>'Departmental Expenses'!W78</f>
        <v/>
      </c>
      <c r="AA206" s="1336">
        <f>'Departmental Expenses'!X78</f>
        <v/>
      </c>
      <c r="AB206" s="1336">
        <f>'Departmental Expenses'!Y78</f>
        <v/>
      </c>
      <c r="AC206" s="1336">
        <f>'Departmental Expenses'!Z78</f>
        <v/>
      </c>
      <c r="AD206" s="1336">
        <f>'Departmental Expenses'!AA78</f>
        <v/>
      </c>
      <c r="AE206" s="1336">
        <f>'Departmental Expenses'!AB78</f>
        <v/>
      </c>
      <c r="AF206" s="1336">
        <f>'Departmental Expenses'!AC78</f>
        <v/>
      </c>
      <c r="AG206" s="1403">
        <f>SUM(U206:AF206)</f>
        <v/>
      </c>
      <c r="AH206" s="248" t="n"/>
      <c r="AI206" s="1336">
        <f>'Departmental Expenses'!AF78</f>
        <v/>
      </c>
      <c r="AJ206" s="1336">
        <f>'Departmental Expenses'!AG78</f>
        <v/>
      </c>
      <c r="AK206" s="1336">
        <f>'Departmental Expenses'!AH78</f>
        <v/>
      </c>
      <c r="AL206" s="1336">
        <f>'Departmental Expenses'!AI78</f>
        <v/>
      </c>
      <c r="AM206" s="1336">
        <f>'Departmental Expenses'!AJ78</f>
        <v/>
      </c>
      <c r="AN206" s="1336">
        <f>'Departmental Expenses'!AK78</f>
        <v/>
      </c>
      <c r="AO206" s="1336">
        <f>'Departmental Expenses'!AL78</f>
        <v/>
      </c>
      <c r="AP206" s="1336">
        <f>'Departmental Expenses'!AM78</f>
        <v/>
      </c>
      <c r="AQ206" s="1336">
        <f>'Departmental Expenses'!AN78</f>
        <v/>
      </c>
      <c r="AR206" s="1336">
        <f>'Departmental Expenses'!AO78</f>
        <v/>
      </c>
      <c r="AS206" s="1336">
        <f>'Departmental Expenses'!AP78</f>
        <v/>
      </c>
      <c r="AT206" s="1336">
        <f>'Departmental Expenses'!AQ78</f>
        <v/>
      </c>
      <c r="AU206" s="1403">
        <f>SUM(AI206:AT206)</f>
        <v/>
      </c>
      <c r="AW206" s="1336">
        <f>'Departmental Expenses'!AT78</f>
        <v/>
      </c>
      <c r="AX206" s="1336">
        <f>'Departmental Expenses'!AU78</f>
        <v/>
      </c>
      <c r="AY206" s="1336">
        <f>'Departmental Expenses'!AV78</f>
        <v/>
      </c>
      <c r="AZ206" s="1336">
        <f>'Departmental Expenses'!AW78</f>
        <v/>
      </c>
      <c r="BA206" s="1336">
        <f>'Departmental Expenses'!AX78</f>
        <v/>
      </c>
      <c r="BB206" s="1336">
        <f>'Departmental Expenses'!AY78</f>
        <v/>
      </c>
      <c r="BC206" s="1336">
        <f>'Departmental Expenses'!AZ78</f>
        <v/>
      </c>
      <c r="BD206" s="1336">
        <f>'Departmental Expenses'!BA78</f>
        <v/>
      </c>
      <c r="BE206" s="1336">
        <f>'Departmental Expenses'!BB78</f>
        <v/>
      </c>
      <c r="BF206" s="1336">
        <f>'Departmental Expenses'!BC78</f>
        <v/>
      </c>
      <c r="BG206" s="1336">
        <f>'Departmental Expenses'!BD78</f>
        <v/>
      </c>
      <c r="BH206" s="1336">
        <f>'Departmental Expenses'!BE78</f>
        <v/>
      </c>
      <c r="BI206" s="1403">
        <f>SUM(AW206:BH206)</f>
        <v/>
      </c>
    </row>
    <row r="207" outlineLevel="1" ht="20" customHeight="1">
      <c r="A207" s="441" t="n"/>
      <c r="B207" s="403">
        <f>'Departmental Expenses'!A79</f>
        <v/>
      </c>
      <c r="C207" s="1368" t="inlineStr">
        <is>
          <t>TotalOthExp</t>
        </is>
      </c>
      <c r="D207" s="1364" t="n"/>
      <c r="E207" s="1365" t="n"/>
      <c r="F207" s="1401" t="inlineStr">
        <is>
          <t xml:space="preserve"> </t>
        </is>
      </c>
      <c r="G207" s="1336">
        <f>'Departmental Expenses'!D79</f>
        <v/>
      </c>
      <c r="H207" s="1336">
        <f>'Departmental Expenses'!E79</f>
        <v/>
      </c>
      <c r="I207" s="1336">
        <f>'Departmental Expenses'!F79</f>
        <v/>
      </c>
      <c r="J207" s="1336">
        <f>'Departmental Expenses'!G79</f>
        <v/>
      </c>
      <c r="K207" s="1336">
        <f>'Departmental Expenses'!H79</f>
        <v/>
      </c>
      <c r="L207" s="1336">
        <f>'Departmental Expenses'!I79</f>
        <v/>
      </c>
      <c r="M207" s="1336">
        <f>'Departmental Expenses'!J79</f>
        <v/>
      </c>
      <c r="N207" s="1336">
        <f>'Departmental Expenses'!K79</f>
        <v/>
      </c>
      <c r="O207" s="1336">
        <f>'Departmental Expenses'!L79</f>
        <v/>
      </c>
      <c r="P207" s="1336">
        <f>'Departmental Expenses'!M79</f>
        <v/>
      </c>
      <c r="Q207" s="1336">
        <f>'Departmental Expenses'!N79</f>
        <v/>
      </c>
      <c r="R207" s="1336">
        <f>'Departmental Expenses'!O79</f>
        <v/>
      </c>
      <c r="S207" s="1403">
        <f>SUM(G207:R207)</f>
        <v/>
      </c>
      <c r="T207" s="248" t="n"/>
      <c r="U207" s="1336">
        <f>'Departmental Expenses'!R79</f>
        <v/>
      </c>
      <c r="V207" s="1336">
        <f>'Departmental Expenses'!S79</f>
        <v/>
      </c>
      <c r="W207" s="1336">
        <f>'Departmental Expenses'!T79</f>
        <v/>
      </c>
      <c r="X207" s="1336">
        <f>'Departmental Expenses'!U79</f>
        <v/>
      </c>
      <c r="Y207" s="1336">
        <f>'Departmental Expenses'!V79</f>
        <v/>
      </c>
      <c r="Z207" s="1336">
        <f>'Departmental Expenses'!W79</f>
        <v/>
      </c>
      <c r="AA207" s="1336">
        <f>'Departmental Expenses'!X79</f>
        <v/>
      </c>
      <c r="AB207" s="1336">
        <f>'Departmental Expenses'!Y79</f>
        <v/>
      </c>
      <c r="AC207" s="1336">
        <f>'Departmental Expenses'!Z79</f>
        <v/>
      </c>
      <c r="AD207" s="1336">
        <f>'Departmental Expenses'!AA79</f>
        <v/>
      </c>
      <c r="AE207" s="1336">
        <f>'Departmental Expenses'!AB79</f>
        <v/>
      </c>
      <c r="AF207" s="1336">
        <f>'Departmental Expenses'!AC79</f>
        <v/>
      </c>
      <c r="AG207" s="1403">
        <f>SUM(U207:AF207)</f>
        <v/>
      </c>
      <c r="AH207" s="248" t="n"/>
      <c r="AI207" s="1336">
        <f>'Departmental Expenses'!AF79</f>
        <v/>
      </c>
      <c r="AJ207" s="1336">
        <f>'Departmental Expenses'!AG79</f>
        <v/>
      </c>
      <c r="AK207" s="1336">
        <f>'Departmental Expenses'!AH79</f>
        <v/>
      </c>
      <c r="AL207" s="1336">
        <f>'Departmental Expenses'!AI79</f>
        <v/>
      </c>
      <c r="AM207" s="1336">
        <f>'Departmental Expenses'!AJ79</f>
        <v/>
      </c>
      <c r="AN207" s="1336">
        <f>'Departmental Expenses'!AK79</f>
        <v/>
      </c>
      <c r="AO207" s="1336">
        <f>'Departmental Expenses'!AL79</f>
        <v/>
      </c>
      <c r="AP207" s="1336">
        <f>'Departmental Expenses'!AM79</f>
        <v/>
      </c>
      <c r="AQ207" s="1336">
        <f>'Departmental Expenses'!AN79</f>
        <v/>
      </c>
      <c r="AR207" s="1336">
        <f>'Departmental Expenses'!AO79</f>
        <v/>
      </c>
      <c r="AS207" s="1336">
        <f>'Departmental Expenses'!AP79</f>
        <v/>
      </c>
      <c r="AT207" s="1336">
        <f>'Departmental Expenses'!AQ79</f>
        <v/>
      </c>
      <c r="AU207" s="1403">
        <f>SUM(AI207:AT207)</f>
        <v/>
      </c>
      <c r="AW207" s="1336">
        <f>'Departmental Expenses'!AT79</f>
        <v/>
      </c>
      <c r="AX207" s="1336">
        <f>'Departmental Expenses'!AU79</f>
        <v/>
      </c>
      <c r="AY207" s="1336">
        <f>'Departmental Expenses'!AV79</f>
        <v/>
      </c>
      <c r="AZ207" s="1336">
        <f>'Departmental Expenses'!AW79</f>
        <v/>
      </c>
      <c r="BA207" s="1336">
        <f>'Departmental Expenses'!AX79</f>
        <v/>
      </c>
      <c r="BB207" s="1336">
        <f>'Departmental Expenses'!AY79</f>
        <v/>
      </c>
      <c r="BC207" s="1336">
        <f>'Departmental Expenses'!AZ79</f>
        <v/>
      </c>
      <c r="BD207" s="1336">
        <f>'Departmental Expenses'!BA79</f>
        <v/>
      </c>
      <c r="BE207" s="1336">
        <f>'Departmental Expenses'!BB79</f>
        <v/>
      </c>
      <c r="BF207" s="1336">
        <f>'Departmental Expenses'!BC79</f>
        <v/>
      </c>
      <c r="BG207" s="1336">
        <f>'Departmental Expenses'!BD79</f>
        <v/>
      </c>
      <c r="BH207" s="1336">
        <f>'Departmental Expenses'!BE79</f>
        <v/>
      </c>
      <c r="BI207" s="1403">
        <f>SUM(AW207:BH207)</f>
        <v/>
      </c>
    </row>
    <row r="208" outlineLevel="1" ht="20" customHeight="1">
      <c r="A208" s="441" t="n"/>
      <c r="B208" s="403">
        <f>'Departmental Expenses'!A80</f>
        <v/>
      </c>
      <c r="C208" s="1368" t="n"/>
      <c r="D208" s="1364" t="n"/>
      <c r="E208" s="1365" t="n"/>
      <c r="F208" s="1401" t="n"/>
      <c r="G208" s="148">
        <f>'Departmental Expenses'!R80</f>
        <v/>
      </c>
      <c r="H208" s="1337" t="n"/>
      <c r="I208" s="1336" t="n"/>
      <c r="J208" s="1336" t="n"/>
      <c r="K208" s="1336" t="n"/>
      <c r="L208" s="1336" t="n"/>
      <c r="M208" s="1336" t="n"/>
      <c r="N208" s="1336" t="n"/>
      <c r="O208" s="1336" t="n"/>
      <c r="P208" s="1336" t="n"/>
      <c r="Q208" s="1336" t="n"/>
      <c r="R208" s="1336" t="n"/>
      <c r="S208" s="1403">
        <f>SUM(G208:R208)</f>
        <v/>
      </c>
      <c r="T208" s="248" t="n"/>
      <c r="U208" s="770">
        <f>'Departmental Expenses'!AF80</f>
        <v/>
      </c>
      <c r="V208" s="767" t="inlineStr">
        <is>
          <t xml:space="preserve"> </t>
        </is>
      </c>
      <c r="W208" s="767" t="inlineStr">
        <is>
          <t xml:space="preserve"> </t>
        </is>
      </c>
      <c r="X208" s="767" t="inlineStr">
        <is>
          <t xml:space="preserve"> </t>
        </is>
      </c>
      <c r="Y208" s="767" t="inlineStr">
        <is>
          <t xml:space="preserve"> </t>
        </is>
      </c>
      <c r="Z208" s="767" t="inlineStr">
        <is>
          <t xml:space="preserve"> </t>
        </is>
      </c>
      <c r="AA208" s="767" t="inlineStr">
        <is>
          <t xml:space="preserve"> </t>
        </is>
      </c>
      <c r="AB208" s="767" t="inlineStr">
        <is>
          <t xml:space="preserve"> </t>
        </is>
      </c>
      <c r="AC208" s="767" t="inlineStr">
        <is>
          <t xml:space="preserve"> </t>
        </is>
      </c>
      <c r="AD208" s="767" t="inlineStr">
        <is>
          <t xml:space="preserve"> </t>
        </is>
      </c>
      <c r="AE208" s="767" t="inlineStr">
        <is>
          <t xml:space="preserve"> </t>
        </is>
      </c>
      <c r="AF208" s="767" t="inlineStr">
        <is>
          <t xml:space="preserve"> </t>
        </is>
      </c>
      <c r="AG208" s="773">
        <f>SUM(U208:AF208)</f>
        <v/>
      </c>
      <c r="AH208" s="248" t="n"/>
      <c r="AI208" s="767">
        <f>'Departmental Expenses'!AT80</f>
        <v/>
      </c>
      <c r="AJ208" s="1404" t="n"/>
      <c r="AK208" s="1405" t="n"/>
      <c r="AL208" s="1405" t="n"/>
      <c r="AM208" s="1405" t="n"/>
      <c r="AN208" s="1405" t="n"/>
      <c r="AO208" s="1405" t="n"/>
      <c r="AP208" s="1405" t="n"/>
      <c r="AQ208" s="1405" t="n"/>
      <c r="AR208" s="1405" t="n"/>
      <c r="AS208" s="1405" t="n"/>
      <c r="AT208" s="1405" t="n"/>
      <c r="AU208" s="1403">
        <f>SUM(AI208:AT208)</f>
        <v/>
      </c>
      <c r="AW208" s="148" t="n">
        <v>3000</v>
      </c>
      <c r="AX208" s="1337" t="n"/>
      <c r="AY208" s="1336" t="n"/>
      <c r="AZ208" s="1336" t="n"/>
      <c r="BA208" s="1336" t="n"/>
      <c r="BB208" s="1336" t="n"/>
      <c r="BC208" s="1336" t="n"/>
      <c r="BD208" s="1336" t="n"/>
      <c r="BE208" s="1336" t="n"/>
      <c r="BF208" s="1336" t="n"/>
      <c r="BG208" s="1336" t="n"/>
      <c r="BH208" s="1336" t="n"/>
      <c r="BI208" s="1403">
        <f>SUM(AW208:BH208)</f>
        <v/>
      </c>
    </row>
    <row r="209" outlineLevel="1" ht="20" customHeight="1">
      <c r="A209" s="441" t="n"/>
      <c r="B209" s="403">
        <f>'Departmental Expenses'!A81</f>
        <v/>
      </c>
      <c r="C209" s="1368" t="n"/>
      <c r="D209" s="1364" t="n"/>
      <c r="E209" s="1365" t="n"/>
      <c r="F209" s="1337" t="n"/>
      <c r="G209" s="1336">
        <f>'Departmental Expenses'!D81</f>
        <v/>
      </c>
      <c r="H209" s="1336">
        <f>'Departmental Expenses'!E81</f>
        <v/>
      </c>
      <c r="I209" s="1336">
        <f>'Departmental Expenses'!F81</f>
        <v/>
      </c>
      <c r="J209" s="1336">
        <f>'Departmental Expenses'!G81</f>
        <v/>
      </c>
      <c r="K209" s="1336">
        <f>'Departmental Expenses'!H81</f>
        <v/>
      </c>
      <c r="L209" s="1336">
        <f>'Departmental Expenses'!I81</f>
        <v/>
      </c>
      <c r="M209" s="1336">
        <f>'Departmental Expenses'!J81</f>
        <v/>
      </c>
      <c r="N209" s="1336">
        <f>'Departmental Expenses'!K81</f>
        <v/>
      </c>
      <c r="O209" s="1336">
        <f>'Departmental Expenses'!L81</f>
        <v/>
      </c>
      <c r="P209" s="1336">
        <f>'Departmental Expenses'!M81</f>
        <v/>
      </c>
      <c r="Q209" s="1336">
        <f>'Departmental Expenses'!N81</f>
        <v/>
      </c>
      <c r="R209" s="1336">
        <f>'Departmental Expenses'!O81</f>
        <v/>
      </c>
      <c r="S209" s="1403">
        <f>SUM(G209:R209)</f>
        <v/>
      </c>
      <c r="T209" s="248" t="n"/>
      <c r="U209" s="1336">
        <f>'Departmental Expenses'!R81</f>
        <v/>
      </c>
      <c r="V209" s="1336">
        <f>'Departmental Expenses'!S81</f>
        <v/>
      </c>
      <c r="W209" s="1336">
        <f>'Departmental Expenses'!T81</f>
        <v/>
      </c>
      <c r="X209" s="1336">
        <f>'Departmental Expenses'!U81</f>
        <v/>
      </c>
      <c r="Y209" s="1336">
        <f>'Departmental Expenses'!V81</f>
        <v/>
      </c>
      <c r="Z209" s="1336">
        <f>'Departmental Expenses'!W81</f>
        <v/>
      </c>
      <c r="AA209" s="1336">
        <f>'Departmental Expenses'!X81</f>
        <v/>
      </c>
      <c r="AB209" s="1336">
        <f>'Departmental Expenses'!Y81</f>
        <v/>
      </c>
      <c r="AC209" s="1336">
        <f>'Departmental Expenses'!Z81</f>
        <v/>
      </c>
      <c r="AD209" s="1336">
        <f>'Departmental Expenses'!AA81</f>
        <v/>
      </c>
      <c r="AE209" s="1336">
        <f>'Departmental Expenses'!AB81</f>
        <v/>
      </c>
      <c r="AF209" s="1336">
        <f>'Departmental Expenses'!AC81</f>
        <v/>
      </c>
      <c r="AG209" s="1403">
        <f>SUM(U209:AF209)</f>
        <v/>
      </c>
      <c r="AH209" s="248" t="n"/>
      <c r="AI209" s="1336">
        <f>'Departmental Expenses'!AF81</f>
        <v/>
      </c>
      <c r="AJ209" s="1336">
        <f>'Departmental Expenses'!AG81</f>
        <v/>
      </c>
      <c r="AK209" s="1336">
        <f>'Departmental Expenses'!AH81</f>
        <v/>
      </c>
      <c r="AL209" s="1336">
        <f>'Departmental Expenses'!AI81</f>
        <v/>
      </c>
      <c r="AM209" s="1336">
        <f>'Departmental Expenses'!AJ81</f>
        <v/>
      </c>
      <c r="AN209" s="1336">
        <f>'Departmental Expenses'!AK81</f>
        <v/>
      </c>
      <c r="AO209" s="1336">
        <f>'Departmental Expenses'!AL81</f>
        <v/>
      </c>
      <c r="AP209" s="1336">
        <f>'Departmental Expenses'!AM81</f>
        <v/>
      </c>
      <c r="AQ209" s="1336">
        <f>'Departmental Expenses'!AN81</f>
        <v/>
      </c>
      <c r="AR209" s="1336">
        <f>'Departmental Expenses'!AO81</f>
        <v/>
      </c>
      <c r="AS209" s="1336">
        <f>'Departmental Expenses'!AP81</f>
        <v/>
      </c>
      <c r="AT209" s="1336">
        <f>'Departmental Expenses'!AQ81</f>
        <v/>
      </c>
      <c r="AU209" s="1403">
        <f>SUM(AI209:AT209)</f>
        <v/>
      </c>
      <c r="AW209" s="1336">
        <f>'Departmental Expenses'!AT81</f>
        <v/>
      </c>
      <c r="AX209" s="1336">
        <f>'Departmental Expenses'!AU81</f>
        <v/>
      </c>
      <c r="AY209" s="1336">
        <f>'Departmental Expenses'!AV81</f>
        <v/>
      </c>
      <c r="AZ209" s="1336">
        <f>'Departmental Expenses'!AW81</f>
        <v/>
      </c>
      <c r="BA209" s="1336">
        <f>'Departmental Expenses'!AX81</f>
        <v/>
      </c>
      <c r="BB209" s="1336">
        <f>'Departmental Expenses'!AY81</f>
        <v/>
      </c>
      <c r="BC209" s="1336">
        <f>'Departmental Expenses'!AZ81</f>
        <v/>
      </c>
      <c r="BD209" s="1336">
        <f>'Departmental Expenses'!BA81</f>
        <v/>
      </c>
      <c r="BE209" s="1336">
        <f>'Departmental Expenses'!BB81</f>
        <v/>
      </c>
      <c r="BF209" s="1336">
        <f>'Departmental Expenses'!BC81</f>
        <v/>
      </c>
      <c r="BG209" s="1336">
        <f>'Departmental Expenses'!BD81</f>
        <v/>
      </c>
      <c r="BH209" s="1336">
        <f>'Departmental Expenses'!BE81</f>
        <v/>
      </c>
      <c r="BI209" s="1403">
        <f>SUM(AW209:BH209)</f>
        <v/>
      </c>
    </row>
    <row r="210" ht="20" customHeight="1">
      <c r="A210" s="441" t="n"/>
      <c r="B210" s="1406" t="inlineStr">
        <is>
          <t>Total  Department  Expenses</t>
        </is>
      </c>
      <c r="C210" s="1407" t="inlineStr">
        <is>
          <t>TotalDptExp</t>
        </is>
      </c>
      <c r="D210" s="1408" t="n"/>
      <c r="E210" s="1409" t="n"/>
      <c r="F210" s="1410" t="inlineStr">
        <is>
          <t xml:space="preserve"> </t>
        </is>
      </c>
      <c r="G210" s="1411">
        <f>SUM(G145:G209)</f>
        <v/>
      </c>
      <c r="H210" s="1411">
        <f>SUM(H145:H209)</f>
        <v/>
      </c>
      <c r="I210" s="1411">
        <f>SUM(I145:I209)</f>
        <v/>
      </c>
      <c r="J210" s="1411">
        <f>SUM(J145:J209)</f>
        <v/>
      </c>
      <c r="K210" s="1411">
        <f>SUM(K145:K209)</f>
        <v/>
      </c>
      <c r="L210" s="1411">
        <f>SUM(L145:L209)</f>
        <v/>
      </c>
      <c r="M210" s="1411">
        <f>SUM(M145:M209)</f>
        <v/>
      </c>
      <c r="N210" s="1411">
        <f>SUM(N145:N209)</f>
        <v/>
      </c>
      <c r="O210" s="1411">
        <f>SUM(O145:O209)</f>
        <v/>
      </c>
      <c r="P210" s="1411">
        <f>SUM(P145:P209)</f>
        <v/>
      </c>
      <c r="Q210" s="1411">
        <f>SUM(Q145:Q209)</f>
        <v/>
      </c>
      <c r="R210" s="1411">
        <f>SUM(R145:R209)</f>
        <v/>
      </c>
      <c r="S210" s="1412">
        <f>SUM(S133:S209)</f>
        <v/>
      </c>
      <c r="T210" s="388" t="n"/>
      <c r="U210" s="1411">
        <f>SUM(U145:U209)</f>
        <v/>
      </c>
      <c r="V210" s="1411">
        <f>SUM(V145:V209)</f>
        <v/>
      </c>
      <c r="W210" s="1411">
        <f>SUM(W145:W209)</f>
        <v/>
      </c>
      <c r="X210" s="1411">
        <f>SUM(X145:X209)</f>
        <v/>
      </c>
      <c r="Y210" s="1411">
        <f>SUM(Y145:Y209)</f>
        <v/>
      </c>
      <c r="Z210" s="1411">
        <f>SUM(Z145:Z209)</f>
        <v/>
      </c>
      <c r="AA210" s="1411">
        <f>SUM(AA145:AA209)</f>
        <v/>
      </c>
      <c r="AB210" s="1411">
        <f>SUM(AB145:AB209)</f>
        <v/>
      </c>
      <c r="AC210" s="1411">
        <f>SUM(AC145:AC209)</f>
        <v/>
      </c>
      <c r="AD210" s="1411">
        <f>SUM(AD145:AD209)</f>
        <v/>
      </c>
      <c r="AE210" s="1411">
        <f>SUM(AE145:AE209)</f>
        <v/>
      </c>
      <c r="AF210" s="1411">
        <f>SUM(AF145:AF209)</f>
        <v/>
      </c>
      <c r="AG210" s="1412">
        <f>SUM(AG133:AG209)</f>
        <v/>
      </c>
      <c r="AH210" s="388" t="n"/>
      <c r="AI210" s="1411">
        <f>SUM(AI145:AI209)</f>
        <v/>
      </c>
      <c r="AJ210" s="1411">
        <f>SUM(AJ145:AJ209)</f>
        <v/>
      </c>
      <c r="AK210" s="1411">
        <f>SUM(AK145:AK209)</f>
        <v/>
      </c>
      <c r="AL210" s="1411">
        <f>SUM(AL145:AL209)</f>
        <v/>
      </c>
      <c r="AM210" s="1411">
        <f>SUM(AM145:AM209)</f>
        <v/>
      </c>
      <c r="AN210" s="1411">
        <f>SUM(AN145:AN209)</f>
        <v/>
      </c>
      <c r="AO210" s="1411">
        <f>SUM(AO145:AO209)</f>
        <v/>
      </c>
      <c r="AP210" s="1411">
        <f>SUM(AP145:AP209)</f>
        <v/>
      </c>
      <c r="AQ210" s="1411">
        <f>SUM(AQ145:AQ209)</f>
        <v/>
      </c>
      <c r="AR210" s="1411">
        <f>SUM(AR145:AR209)</f>
        <v/>
      </c>
      <c r="AS210" s="1411">
        <f>SUM(AS145:AS209)</f>
        <v/>
      </c>
      <c r="AT210" s="1411">
        <f>SUM(AT145:AT209)</f>
        <v/>
      </c>
      <c r="AU210" s="1412">
        <f>SUM(AU133:AU209)</f>
        <v/>
      </c>
      <c r="AW210" s="1411">
        <f>SUM(AW145:AW209)</f>
        <v/>
      </c>
      <c r="AX210" s="1411">
        <f>SUM(AX145:AX209)</f>
        <v/>
      </c>
      <c r="AY210" s="1411">
        <f>SUM(AY145:AY209)</f>
        <v/>
      </c>
      <c r="AZ210" s="1411">
        <f>SUM(AZ145:AZ209)</f>
        <v/>
      </c>
      <c r="BA210" s="1411">
        <f>SUM(BA145:BA209)</f>
        <v/>
      </c>
      <c r="BB210" s="1411">
        <f>SUM(BB145:BB209)</f>
        <v/>
      </c>
      <c r="BC210" s="1411">
        <f>SUM(BC145:BC209)</f>
        <v/>
      </c>
      <c r="BD210" s="1411">
        <f>SUM(BD145:BD209)</f>
        <v/>
      </c>
      <c r="BE210" s="1411">
        <f>SUM(BE145:BE209)</f>
        <v/>
      </c>
      <c r="BF210" s="1411">
        <f>SUM(BF145:BF209)</f>
        <v/>
      </c>
      <c r="BG210" s="1411">
        <f>SUM(BG145:BG209)</f>
        <v/>
      </c>
      <c r="BH210" s="1411">
        <f>SUM(BH145:BH209)</f>
        <v/>
      </c>
      <c r="BI210" s="1412">
        <f>SUM(BI133:BI209)</f>
        <v/>
      </c>
    </row>
    <row r="211" ht="20" customHeight="1">
      <c r="A211" s="441" t="n"/>
      <c r="B211" s="1406" t="inlineStr">
        <is>
          <t>Total Expenses</t>
        </is>
      </c>
      <c r="C211" s="1407" t="n"/>
      <c r="D211" s="1408" t="n"/>
      <c r="E211" s="1407" t="n"/>
      <c r="F211" s="1413" t="inlineStr">
        <is>
          <t xml:space="preserve"> </t>
        </is>
      </c>
      <c r="G211" s="1411">
        <f>G129+G74+G210</f>
        <v/>
      </c>
      <c r="H211" s="1411">
        <f>H129+H74+H210</f>
        <v/>
      </c>
      <c r="I211" s="1411">
        <f>I129+I74+I210</f>
        <v/>
      </c>
      <c r="J211" s="1411">
        <f>J129+J74+J210</f>
        <v/>
      </c>
      <c r="K211" s="1411">
        <f>K129+K74+K210</f>
        <v/>
      </c>
      <c r="L211" s="1411">
        <f>L129+L74+L210</f>
        <v/>
      </c>
      <c r="M211" s="1411">
        <f>M129+M74+M210</f>
        <v/>
      </c>
      <c r="N211" s="1411">
        <f>N129+N74+N210</f>
        <v/>
      </c>
      <c r="O211" s="1411">
        <f>O129+O74+O210</f>
        <v/>
      </c>
      <c r="P211" s="1411">
        <f>P129+P74+P210</f>
        <v/>
      </c>
      <c r="Q211" s="1411">
        <f>Q129+Q74+Q210</f>
        <v/>
      </c>
      <c r="R211" s="1411">
        <f>R129+R74+R210</f>
        <v/>
      </c>
      <c r="S211" s="1412">
        <f>S129+S74+S210</f>
        <v/>
      </c>
      <c r="T211" s="1401" t="inlineStr">
        <is>
          <t xml:space="preserve"> </t>
        </is>
      </c>
      <c r="U211" s="1411">
        <f>U129+U74+U210</f>
        <v/>
      </c>
      <c r="V211" s="1411">
        <f>V129+V74+V210</f>
        <v/>
      </c>
      <c r="W211" s="1411">
        <f>W129+W74+W210</f>
        <v/>
      </c>
      <c r="X211" s="1411">
        <f>X129+X74+X210</f>
        <v/>
      </c>
      <c r="Y211" s="1411">
        <f>Y129+Y74+Y210</f>
        <v/>
      </c>
      <c r="Z211" s="1411">
        <f>Z129+Z74+Z210</f>
        <v/>
      </c>
      <c r="AA211" s="1411">
        <f>AA129+AA74+AA210</f>
        <v/>
      </c>
      <c r="AB211" s="1411">
        <f>AB129+AB74+AB210</f>
        <v/>
      </c>
      <c r="AC211" s="1411">
        <f>AC129+AC74+AC210</f>
        <v/>
      </c>
      <c r="AD211" s="1411">
        <f>AD129+AD74+AD210</f>
        <v/>
      </c>
      <c r="AE211" s="1411">
        <f>AE129+AE74+AE210</f>
        <v/>
      </c>
      <c r="AF211" s="1411">
        <f>AF129+AF74+AF210</f>
        <v/>
      </c>
      <c r="AG211" s="1412">
        <f>AG129+AG74+AG210</f>
        <v/>
      </c>
      <c r="AH211" s="1401" t="inlineStr">
        <is>
          <t xml:space="preserve"> </t>
        </is>
      </c>
      <c r="AI211" s="1411">
        <f>AI129+AI74+AI210</f>
        <v/>
      </c>
      <c r="AJ211" s="1411">
        <f>AJ129+AJ74+AJ210</f>
        <v/>
      </c>
      <c r="AK211" s="1411">
        <f>AK129+AK74+AK210</f>
        <v/>
      </c>
      <c r="AL211" s="1411">
        <f>AL129+AL74+AL210</f>
        <v/>
      </c>
      <c r="AM211" s="1411">
        <f>AM129+AM74+AM210</f>
        <v/>
      </c>
      <c r="AN211" s="1411">
        <f>AN129+AN74+AN210</f>
        <v/>
      </c>
      <c r="AO211" s="1411">
        <f>AO129+AO74+AO210</f>
        <v/>
      </c>
      <c r="AP211" s="1411">
        <f>AP129+AP74+AP210</f>
        <v/>
      </c>
      <c r="AQ211" s="1411">
        <f>AQ129+AQ74+AQ210</f>
        <v/>
      </c>
      <c r="AR211" s="1411">
        <f>AR129+AR74+AR210</f>
        <v/>
      </c>
      <c r="AS211" s="1411">
        <f>AS129+AS74+AS210</f>
        <v/>
      </c>
      <c r="AT211" s="1411">
        <f>AT129+AT74+AT210</f>
        <v/>
      </c>
      <c r="AU211" s="1412">
        <f>AU129+AU74+AU210</f>
        <v/>
      </c>
      <c r="AW211" s="1411">
        <f>AW129+AW74+AW210</f>
        <v/>
      </c>
      <c r="AX211" s="1411">
        <f>AX129+AX74+AX210</f>
        <v/>
      </c>
      <c r="AY211" s="1411">
        <f>AY129+AY74+AY210</f>
        <v/>
      </c>
      <c r="AZ211" s="1411">
        <f>AZ129+AZ74+AZ210</f>
        <v/>
      </c>
      <c r="BA211" s="1411">
        <f>BA129+BA74+BA210</f>
        <v/>
      </c>
      <c r="BB211" s="1411">
        <f>BB129+BB74+BB210</f>
        <v/>
      </c>
      <c r="BC211" s="1411">
        <f>BC129+BC74+BC210</f>
        <v/>
      </c>
      <c r="BD211" s="1411">
        <f>BD129+BD74+BD210</f>
        <v/>
      </c>
      <c r="BE211" s="1411">
        <f>BE129+BE74+BE210</f>
        <v/>
      </c>
      <c r="BF211" s="1411">
        <f>BF129+BF74+BF210</f>
        <v/>
      </c>
      <c r="BG211" s="1411">
        <f>BG129+BG74+BG210</f>
        <v/>
      </c>
      <c r="BH211" s="1411">
        <f>BH129+BH74+BH210</f>
        <v/>
      </c>
      <c r="BI211" s="1412">
        <f>BI129+BI74+BI210</f>
        <v/>
      </c>
    </row>
    <row r="212" ht="19" customHeight="1">
      <c r="B212" s="1371" t="inlineStr">
        <is>
          <t>NOI</t>
        </is>
      </c>
      <c r="C212" s="1368" t="inlineStr">
        <is>
          <t>DptProfit</t>
        </is>
      </c>
      <c r="D212" s="1364" t="n"/>
      <c r="E212" s="1365" t="n"/>
      <c r="F212" s="1372" t="inlineStr">
        <is>
          <t xml:space="preserve"> </t>
        </is>
      </c>
      <c r="G212" s="1373">
        <f>G47-G210</f>
        <v/>
      </c>
      <c r="H212" s="1373">
        <f>H47-H210</f>
        <v/>
      </c>
      <c r="I212" s="1373">
        <f>I47-I210</f>
        <v/>
      </c>
      <c r="J212" s="1373">
        <f>J47-J210</f>
        <v/>
      </c>
      <c r="K212" s="1373">
        <f>K47-K210</f>
        <v/>
      </c>
      <c r="L212" s="1373">
        <f>L47-L210</f>
        <v/>
      </c>
      <c r="M212" s="1373">
        <f>M47-M210</f>
        <v/>
      </c>
      <c r="N212" s="1373">
        <f>N47-N210</f>
        <v/>
      </c>
      <c r="O212" s="1373">
        <f>O47-O210</f>
        <v/>
      </c>
      <c r="P212" s="1373">
        <f>P47-P210</f>
        <v/>
      </c>
      <c r="Q212" s="1373">
        <f>Q47-Q210</f>
        <v/>
      </c>
      <c r="R212" s="1373">
        <f>R47-R210</f>
        <v/>
      </c>
      <c r="S212" s="1414">
        <f>SUM(G212:R212)</f>
        <v/>
      </c>
      <c r="U212" s="1373">
        <f>U47-U210</f>
        <v/>
      </c>
      <c r="V212" s="1373">
        <f>V47-V210</f>
        <v/>
      </c>
      <c r="W212" s="1373">
        <f>W47-W210</f>
        <v/>
      </c>
      <c r="X212" s="1373">
        <f>X47-X210</f>
        <v/>
      </c>
      <c r="Y212" s="1373">
        <f>Y47-Y210</f>
        <v/>
      </c>
      <c r="Z212" s="1373">
        <f>Z47-Z210</f>
        <v/>
      </c>
      <c r="AA212" s="1373">
        <f>AA47-AA210</f>
        <v/>
      </c>
      <c r="AB212" s="1373">
        <f>AB47-AB210</f>
        <v/>
      </c>
      <c r="AC212" s="1373">
        <f>AC47-AC210</f>
        <v/>
      </c>
      <c r="AD212" s="1373">
        <f>AD47-AD210</f>
        <v/>
      </c>
      <c r="AE212" s="1373">
        <f>AE47-AE210</f>
        <v/>
      </c>
      <c r="AF212" s="1373">
        <f>AF47-AF210</f>
        <v/>
      </c>
      <c r="AG212" s="1414">
        <f>SUM(U212:AF212)</f>
        <v/>
      </c>
      <c r="AI212" s="1373">
        <f>AI47-AI210</f>
        <v/>
      </c>
      <c r="AJ212" s="1373">
        <f>AJ47-AJ210</f>
        <v/>
      </c>
      <c r="AK212" s="1373">
        <f>AK47-AK210</f>
        <v/>
      </c>
      <c r="AL212" s="1373">
        <f>AL47-AL210</f>
        <v/>
      </c>
      <c r="AM212" s="1373">
        <f>AM47-AM210</f>
        <v/>
      </c>
      <c r="AN212" s="1373">
        <f>AN47-AN210</f>
        <v/>
      </c>
      <c r="AO212" s="1373">
        <f>AO47-AO210</f>
        <v/>
      </c>
      <c r="AP212" s="1373">
        <f>AP47-AP210</f>
        <v/>
      </c>
      <c r="AQ212" s="1373">
        <f>AQ47-AQ210</f>
        <v/>
      </c>
      <c r="AR212" s="1373">
        <f>AR47-AR210</f>
        <v/>
      </c>
      <c r="AS212" s="1373">
        <f>AS47-AS210</f>
        <v/>
      </c>
      <c r="AT212" s="1373">
        <f>AT47-AT210</f>
        <v/>
      </c>
      <c r="AU212" s="1414">
        <f>SUM(AI212:AT212)</f>
        <v/>
      </c>
      <c r="AW212" s="1375">
        <f>AW47-AW210</f>
        <v/>
      </c>
      <c r="AX212" s="1375">
        <f>AX47-AX210</f>
        <v/>
      </c>
      <c r="AY212" s="1375">
        <f>AY47-AY210</f>
        <v/>
      </c>
      <c r="AZ212" s="1375">
        <f>AZ47-AZ210</f>
        <v/>
      </c>
      <c r="BA212" s="1375">
        <f>BA47-BA210</f>
        <v/>
      </c>
      <c r="BB212" s="1375">
        <f>BB47-BB210</f>
        <v/>
      </c>
      <c r="BC212" s="1375">
        <f>BC47-BC210</f>
        <v/>
      </c>
      <c r="BD212" s="1375">
        <f>BD47-BD210</f>
        <v/>
      </c>
      <c r="BE212" s="1375">
        <f>BE47-BE210</f>
        <v/>
      </c>
      <c r="BF212" s="1375">
        <f>BF47-BF210</f>
        <v/>
      </c>
      <c r="BG212" s="1375">
        <f>BG47-BG210</f>
        <v/>
      </c>
      <c r="BH212" s="1375">
        <f>BH47-BH210</f>
        <v/>
      </c>
      <c r="BI212" s="1414">
        <f>SUM(AW212:BH212)</f>
        <v/>
      </c>
    </row>
    <row r="213" ht="33" customHeight="1" thickBot="1">
      <c r="B213" s="131" t="inlineStr">
        <is>
          <t xml:space="preserve"> </t>
        </is>
      </c>
      <c r="C213" s="132" t="inlineStr">
        <is>
          <t>calc</t>
        </is>
      </c>
      <c r="D213" s="145" t="n"/>
      <c r="E213" s="135" t="n"/>
      <c r="F213" s="1415" t="n"/>
      <c r="G213" s="1416" t="n"/>
      <c r="H213" s="1417" t="n"/>
      <c r="I213" s="1417" t="n"/>
      <c r="J213" s="1417" t="n"/>
      <c r="K213" s="1417" t="n"/>
      <c r="L213" s="1417" t="n"/>
      <c r="M213" s="1417" t="n"/>
      <c r="N213" s="1417" t="n"/>
      <c r="O213" s="1417" t="n"/>
      <c r="P213" s="1417" t="n"/>
      <c r="Q213" s="1417" t="n"/>
      <c r="R213" s="1417" t="n"/>
      <c r="S213" s="1418" t="n"/>
      <c r="U213" s="1416" t="n"/>
      <c r="V213" s="1417" t="n"/>
      <c r="W213" s="1417" t="n"/>
      <c r="X213" s="1417" t="n"/>
      <c r="Y213" s="1417" t="n"/>
      <c r="Z213" s="1417" t="n"/>
      <c r="AA213" s="1417" t="n"/>
      <c r="AB213" s="1417" t="n"/>
      <c r="AC213" s="1417" t="n"/>
      <c r="AD213" s="1417" t="n"/>
      <c r="AE213" s="1417" t="n"/>
      <c r="AF213" s="1417" t="n"/>
      <c r="AG213" s="1419" t="n"/>
      <c r="AI213" s="1416" t="n"/>
      <c r="AJ213" s="1417" t="n"/>
      <c r="AK213" s="1417" t="n"/>
      <c r="AL213" s="1417" t="n"/>
      <c r="AM213" s="1417" t="n"/>
      <c r="AN213" s="1417" t="n"/>
      <c r="AO213" s="1417" t="n"/>
      <c r="AP213" s="1417" t="n"/>
      <c r="AQ213" s="1417" t="n"/>
      <c r="AR213" s="1417" t="n"/>
      <c r="AS213" s="1417" t="n"/>
      <c r="AT213" s="1417" t="n"/>
      <c r="AU213" s="1419">
        <f>SUM(AI213:AT213)</f>
        <v/>
      </c>
      <c r="AV213" s="46" t="n"/>
      <c r="AW213" s="1416" t="n"/>
      <c r="AX213" s="1417" t="n"/>
      <c r="AY213" s="1417" t="n"/>
      <c r="AZ213" s="1417" t="n"/>
      <c r="BA213" s="1417" t="n"/>
      <c r="BB213" s="1417" t="n"/>
      <c r="BC213" s="1417" t="n"/>
      <c r="BD213" s="1417" t="n"/>
      <c r="BE213" s="1417" t="n"/>
      <c r="BF213" s="1417" t="n"/>
      <c r="BG213" s="1417" t="n"/>
      <c r="BH213" s="1417" t="n"/>
      <c r="BI213" s="1419">
        <f>SUM(AW213:BH213)</f>
        <v/>
      </c>
      <c r="BJ213" s="46" t="n"/>
      <c r="BK213" s="46" t="n"/>
      <c r="BL213" s="46" t="n"/>
      <c r="BM213" s="46" t="n"/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  <c r="CO213" s="46" t="n"/>
      <c r="CP213" s="46" t="n"/>
      <c r="CQ213" s="46" t="n"/>
      <c r="CR213" s="46" t="n"/>
      <c r="CS213" s="46" t="n"/>
      <c r="CT213" s="46" t="n"/>
      <c r="CU213" s="46" t="n"/>
      <c r="CV213" s="46" t="n"/>
      <c r="CW213" s="46" t="n"/>
      <c r="CX213" s="46" t="n"/>
      <c r="CY213" s="46" t="n"/>
      <c r="CZ213" s="46" t="n"/>
      <c r="DA213" s="46" t="n"/>
      <c r="DB213" s="46" t="n"/>
      <c r="DC213" s="46" t="n"/>
      <c r="DD213" s="46" t="n"/>
      <c r="DE213" s="46" t="n"/>
      <c r="DF213" s="46" t="n"/>
      <c r="DG213" s="46" t="n"/>
      <c r="DH213" s="46" t="n"/>
      <c r="DI213" s="46" t="n"/>
      <c r="DJ213" s="46" t="n"/>
      <c r="DK213" s="46" t="n"/>
      <c r="DL213" s="46" t="n"/>
      <c r="DM213" s="46" t="n"/>
      <c r="DN213" s="46" t="n"/>
      <c r="DO213" s="46" t="n"/>
      <c r="DP213" s="46" t="n"/>
      <c r="DQ213" s="46" t="n"/>
      <c r="DR213" s="46" t="n"/>
      <c r="DS213" s="46" t="n"/>
      <c r="DT213" s="46" t="n"/>
      <c r="DU213" s="46" t="n"/>
      <c r="DV213" s="46" t="n"/>
    </row>
    <row r="214" ht="30" customHeight="1">
      <c r="B214" s="648" t="inlineStr">
        <is>
          <t xml:space="preserve"> User Percent Growth</t>
        </is>
      </c>
      <c r="C214" s="649" t="n"/>
      <c r="D214" s="650" t="n"/>
      <c r="E214" s="651" t="n"/>
      <c r="F214" s="1420" t="n"/>
      <c r="G214" s="653" t="n"/>
      <c r="H214" s="653" t="n"/>
      <c r="I214" s="653" t="n"/>
      <c r="J214" s="653" t="n"/>
      <c r="K214" s="653" t="n"/>
      <c r="L214" s="653" t="n"/>
      <c r="M214" s="653" t="n"/>
      <c r="N214" s="653" t="n"/>
      <c r="O214" s="653" t="n"/>
      <c r="P214" s="653" t="n"/>
      <c r="Q214" s="653" t="n"/>
      <c r="R214" s="653" t="n"/>
      <c r="S214" s="653">
        <f>'Revenue 2025'!P169</f>
        <v/>
      </c>
      <c r="T214" s="653" t="n"/>
      <c r="U214" s="653" t="n"/>
      <c r="V214" s="653" t="n"/>
      <c r="W214" s="653" t="n"/>
      <c r="X214" s="653" t="n"/>
      <c r="Y214" s="653" t="n"/>
      <c r="Z214" s="653" t="n"/>
      <c r="AA214" s="653" t="n"/>
      <c r="AB214" s="653" t="n"/>
      <c r="AC214" s="653" t="n"/>
      <c r="AD214" s="653" t="n"/>
      <c r="AE214" s="653" t="n"/>
      <c r="AF214" s="653" t="n"/>
      <c r="AG214" s="653">
        <f>'Revenue 2027'!P175</f>
        <v/>
      </c>
      <c r="AH214" s="653" t="n"/>
      <c r="AI214" s="135" t="n"/>
      <c r="AJ214" s="135" t="n"/>
      <c r="AK214" s="135" t="n"/>
      <c r="AL214" s="135" t="n"/>
      <c r="AM214" s="135" t="n"/>
      <c r="AN214" s="135" t="n"/>
      <c r="AO214" s="135" t="n"/>
      <c r="AP214" s="135" t="n"/>
      <c r="AQ214" s="135" t="n"/>
      <c r="AR214" s="135" t="n"/>
      <c r="AS214" s="135" t="n"/>
      <c r="AT214" s="135" t="n"/>
      <c r="AU214" s="135">
        <f>'Revenue 2027'!P175</f>
        <v/>
      </c>
      <c r="AV214" s="135" t="n"/>
      <c r="AW214" s="135" t="n"/>
      <c r="AX214" s="135" t="n"/>
      <c r="AY214" s="135" t="n"/>
      <c r="AZ214" s="135" t="n"/>
      <c r="BA214" s="135" t="n"/>
      <c r="BB214" s="135" t="n"/>
      <c r="BC214" s="135" t="n"/>
      <c r="BD214" s="135" t="n"/>
      <c r="BE214" s="135" t="n"/>
      <c r="BF214" s="135" t="n"/>
      <c r="BG214" s="135" t="n"/>
      <c r="BH214" s="135" t="n"/>
      <c r="BI214" s="135">
        <f>'Revenue 2028'!P174</f>
        <v/>
      </c>
      <c r="BJ214" s="647" t="n"/>
      <c r="BK214" s="647" t="n"/>
      <c r="BL214" s="647" t="n"/>
      <c r="BM214" s="647" t="n"/>
      <c r="BN214" s="647" t="n"/>
      <c r="BO214" s="647" t="n"/>
      <c r="BP214" s="135" t="inlineStr">
        <is>
          <t xml:space="preserve"> </t>
        </is>
      </c>
      <c r="BQ214" s="647" t="n"/>
      <c r="BR214" s="647" t="n"/>
      <c r="BS214" s="647" t="n"/>
      <c r="BT214" s="647" t="n"/>
      <c r="BU214" s="647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  <c r="CO214" s="46" t="n"/>
      <c r="CP214" s="46" t="n"/>
      <c r="CQ214" s="46" t="n"/>
      <c r="CR214" s="46" t="n"/>
      <c r="CS214" s="46" t="n"/>
      <c r="CT214" s="46" t="n"/>
      <c r="CU214" s="46" t="n"/>
      <c r="CV214" s="46" t="n"/>
      <c r="CW214" s="46" t="n"/>
      <c r="CX214" s="46" t="n"/>
      <c r="CY214" s="46" t="n"/>
      <c r="CZ214" s="46" t="n"/>
      <c r="DA214" s="46" t="n"/>
      <c r="DB214" s="46" t="n"/>
      <c r="DC214" s="46" t="n"/>
      <c r="DD214" s="46" t="n"/>
      <c r="DE214" s="46" t="n"/>
      <c r="DF214" s="46" t="n"/>
      <c r="DG214" s="46" t="n"/>
      <c r="DH214" s="46" t="n"/>
      <c r="DI214" s="46" t="n"/>
      <c r="DJ214" s="46" t="n"/>
      <c r="DK214" s="46" t="n"/>
      <c r="DL214" s="46" t="n"/>
      <c r="DM214" s="46" t="n"/>
      <c r="DN214" s="46" t="n"/>
      <c r="DO214" s="46" t="n"/>
      <c r="DP214" s="46" t="n"/>
      <c r="DQ214" s="46" t="n"/>
      <c r="DR214" s="46" t="n"/>
      <c r="DS214" s="46" t="n"/>
      <c r="DT214" s="46" t="n"/>
      <c r="DU214" s="46" t="n"/>
      <c r="DV214" s="46" t="n"/>
    </row>
    <row r="215" ht="13" customHeight="1">
      <c r="B215" s="84" t="n"/>
      <c r="C215" s="75" t="n"/>
      <c r="D215" s="83" t="n"/>
      <c r="E215" s="46" t="n"/>
      <c r="F215" s="1421" t="n"/>
    </row>
    <row r="216" ht="13" customHeight="1" thickBot="1">
      <c r="B216" s="28" t="n"/>
      <c r="C216" s="25" t="n"/>
      <c r="D216" s="27" t="n"/>
      <c r="E216" s="26" t="n"/>
      <c r="F216" s="1422" t="n"/>
    </row>
    <row r="217" ht="21" customHeight="1" thickBot="1">
      <c r="B217" s="28" t="n"/>
      <c r="C217" s="25" t="n"/>
      <c r="D217" s="27" t="n"/>
      <c r="E217" s="26" t="n"/>
      <c r="F217" s="1422" t="n"/>
      <c r="G217" s="1423" t="inlineStr">
        <is>
          <t xml:space="preserve">Noteable information: </t>
        </is>
      </c>
      <c r="H217" s="1145" t="n"/>
      <c r="I217" s="1145" t="n"/>
      <c r="J217" s="1145" t="n"/>
      <c r="K217" s="1145" t="n"/>
      <c r="L217" s="1145" t="n"/>
      <c r="M217" s="1145" t="n"/>
      <c r="N217" s="1145" t="n"/>
      <c r="O217" s="1145" t="n"/>
      <c r="P217" s="1145" t="n"/>
      <c r="Q217" s="1145" t="n"/>
      <c r="R217" s="705" t="n"/>
      <c r="S217" s="544" t="n"/>
      <c r="T217" s="544" t="n"/>
      <c r="U217" s="1423" t="inlineStr">
        <is>
          <t xml:space="preserve">Noteable information: </t>
        </is>
      </c>
      <c r="V217" s="1145" t="n"/>
      <c r="W217" s="1145" t="n"/>
      <c r="X217" s="1145" t="n"/>
      <c r="Y217" s="1145" t="n"/>
      <c r="Z217" s="1145" t="n"/>
      <c r="AA217" s="1145" t="n"/>
      <c r="AB217" s="1145" t="n"/>
      <c r="AC217" s="1145" t="n"/>
      <c r="AD217" s="1145" t="n"/>
      <c r="AE217" s="1145" t="n"/>
      <c r="AF217" s="705" t="n"/>
      <c r="AG217" s="544" t="n"/>
      <c r="AH217" s="544" t="n"/>
      <c r="AI217" s="1423" t="inlineStr">
        <is>
          <t xml:space="preserve">Noteable information: </t>
        </is>
      </c>
      <c r="AJ217" s="1145" t="n"/>
      <c r="AK217" s="1145" t="n"/>
      <c r="AL217" s="1145" t="n"/>
      <c r="AM217" s="1145" t="n"/>
      <c r="AN217" s="1145" t="n"/>
      <c r="AO217" s="1145" t="n"/>
      <c r="AP217" s="1145" t="n"/>
      <c r="AQ217" s="1145" t="n"/>
      <c r="AR217" s="1145" t="n"/>
      <c r="AS217" s="1145" t="n"/>
      <c r="AT217" s="705" t="n"/>
      <c r="AU217" s="543" t="n"/>
      <c r="AV217" s="543" t="n"/>
      <c r="AW217" s="1423" t="inlineStr">
        <is>
          <t xml:space="preserve">Noteable information: </t>
        </is>
      </c>
      <c r="AX217" s="1145" t="n"/>
      <c r="AY217" s="1145" t="n"/>
      <c r="AZ217" s="1145" t="n"/>
      <c r="BA217" s="1145" t="n"/>
      <c r="BB217" s="1145" t="n"/>
      <c r="BC217" s="1145" t="n"/>
      <c r="BD217" s="1145" t="n"/>
      <c r="BE217" s="1145" t="n"/>
      <c r="BF217" s="1145" t="n"/>
      <c r="BG217" s="1145" t="n"/>
      <c r="BH217" s="705" t="n"/>
      <c r="BI217" s="543" t="n"/>
      <c r="BJ217" s="543" t="n"/>
      <c r="BK217" s="543" t="n"/>
      <c r="BL217" s="543" t="n"/>
      <c r="BM217" s="543" t="n"/>
      <c r="BN217" s="543" t="n"/>
      <c r="BO217" s="543" t="n"/>
      <c r="BP217" s="543" t="n"/>
      <c r="BQ217" s="543" t="n"/>
      <c r="BR217" s="543" t="n"/>
      <c r="BS217" s="543" t="n"/>
      <c r="BT217" s="543" t="n"/>
      <c r="BU217" s="543" t="n"/>
      <c r="BV217" s="543" t="n"/>
      <c r="BW217" s="543" t="n"/>
      <c r="BX217" s="543" t="n"/>
      <c r="BY217" s="543" t="n"/>
      <c r="BZ217" s="543" t="n"/>
      <c r="CA217" s="543" t="n"/>
      <c r="CB217" s="543" t="n"/>
      <c r="CC217" s="543" t="n"/>
      <c r="CD217" s="543" t="n"/>
      <c r="CE217" s="543" t="n"/>
      <c r="CF217" s="543" t="n"/>
      <c r="CG217" s="543" t="n"/>
      <c r="CH217" s="543" t="n"/>
      <c r="CI217" s="543" t="n"/>
      <c r="CJ217" s="543" t="n"/>
      <c r="CK217" s="543" t="n"/>
      <c r="CL217" s="543" t="n"/>
      <c r="CM217" s="543" t="n"/>
      <c r="CN217" s="543" t="n"/>
      <c r="CO217" s="543" t="n"/>
      <c r="CP217" s="543" t="n"/>
      <c r="CQ217" s="543" t="n"/>
      <c r="CR217" s="543" t="n"/>
      <c r="CS217" s="543" t="n"/>
      <c r="CT217" s="543" t="n"/>
      <c r="CU217" s="543" t="n"/>
      <c r="CV217" s="543" t="n"/>
      <c r="CW217" s="543" t="n"/>
      <c r="CX217" s="543" t="n"/>
      <c r="CY217" s="543" t="n"/>
      <c r="CZ217" s="543" t="n"/>
      <c r="DA217" s="543" t="n"/>
      <c r="DB217" s="543" t="n"/>
      <c r="DC217" s="543" t="n"/>
      <c r="DD217" s="543" t="n"/>
      <c r="DE217" s="543" t="n"/>
      <c r="DF217" s="543" t="n"/>
      <c r="DG217" s="543" t="n"/>
      <c r="DH217" s="543" t="n"/>
      <c r="DI217" s="543" t="n"/>
      <c r="DJ217" s="543" t="n"/>
      <c r="DK217" s="543" t="n"/>
      <c r="DL217" s="543" t="n"/>
      <c r="DM217" s="543" t="n"/>
      <c r="DN217" s="543" t="n"/>
      <c r="DO217" s="543" t="n"/>
      <c r="DP217" s="543" t="n"/>
      <c r="DQ217" s="543" t="n"/>
      <c r="DR217" s="543" t="n"/>
      <c r="DS217" s="543" t="n"/>
      <c r="DT217" s="543" t="n"/>
      <c r="DU217" s="543" t="n"/>
      <c r="DV217" s="543" t="n"/>
      <c r="DW217" s="543" t="n"/>
      <c r="DX217" s="543" t="n"/>
      <c r="DY217" s="543" t="n"/>
      <c r="DZ217" s="543" t="n"/>
      <c r="EA217" s="543" t="n"/>
      <c r="EB217" s="543" t="n"/>
    </row>
    <row r="218" ht="21" customHeight="1">
      <c r="B218" s="28" t="n"/>
      <c r="C218" s="25" t="n"/>
      <c r="D218" s="27" t="n"/>
      <c r="E218" s="26" t="n"/>
      <c r="F218" s="1422" t="n"/>
      <c r="G218" s="1424" t="inlineStr">
        <is>
          <t>Revenue</t>
        </is>
      </c>
      <c r="H218" s="1145" t="n"/>
      <c r="I218" s="1145" t="n"/>
      <c r="J218" s="1145" t="n"/>
      <c r="K218" s="1145" t="n"/>
      <c r="L218" s="1145" t="n"/>
      <c r="M218" s="1145" t="n"/>
      <c r="N218" s="1145" t="n"/>
      <c r="O218" s="1145" t="n"/>
      <c r="P218" s="1145" t="n"/>
      <c r="Q218" s="1145" t="n"/>
      <c r="R218" s="705" t="n"/>
      <c r="S218" s="543" t="n"/>
      <c r="T218" s="543" t="n"/>
      <c r="U218" s="1424" t="inlineStr">
        <is>
          <t>Revenue</t>
        </is>
      </c>
      <c r="V218" s="1145" t="n"/>
      <c r="W218" s="1145" t="n"/>
      <c r="X218" s="1145" t="n"/>
      <c r="Y218" s="1145" t="n"/>
      <c r="Z218" s="1145" t="n"/>
      <c r="AA218" s="1145" t="n"/>
      <c r="AB218" s="1145" t="n"/>
      <c r="AC218" s="1145" t="n"/>
      <c r="AD218" s="1145" t="n"/>
      <c r="AE218" s="1145" t="n"/>
      <c r="AF218" s="705" t="n"/>
      <c r="AG218" s="543" t="n"/>
      <c r="AH218" s="543" t="n"/>
      <c r="AI218" s="1424" t="inlineStr">
        <is>
          <t>Revenue</t>
        </is>
      </c>
      <c r="AJ218" s="1145" t="n"/>
      <c r="AK218" s="1145" t="n"/>
      <c r="AL218" s="1145" t="n"/>
      <c r="AM218" s="1145" t="n"/>
      <c r="AN218" s="1145" t="n"/>
      <c r="AO218" s="1145" t="n"/>
      <c r="AP218" s="1145" t="n"/>
      <c r="AQ218" s="1145" t="n"/>
      <c r="AR218" s="1145" t="n"/>
      <c r="AS218" s="1145" t="n"/>
      <c r="AT218" s="705" t="n"/>
      <c r="AU218" s="543" t="n"/>
      <c r="AV218" s="543" t="n"/>
      <c r="AW218" s="1424" t="inlineStr">
        <is>
          <t>Revenue</t>
        </is>
      </c>
      <c r="AX218" s="1145" t="n"/>
      <c r="AY218" s="1145" t="n"/>
      <c r="AZ218" s="1145" t="n"/>
      <c r="BA218" s="1145" t="n"/>
      <c r="BB218" s="1145" t="n"/>
      <c r="BC218" s="1145" t="n"/>
      <c r="BD218" s="1145" t="n"/>
      <c r="BE218" s="1145" t="n"/>
      <c r="BF218" s="1145" t="n"/>
      <c r="BG218" s="1145" t="n"/>
      <c r="BH218" s="705" t="n"/>
      <c r="BI218" s="543" t="n"/>
      <c r="BJ218" s="543" t="n"/>
      <c r="BK218" s="543" t="n"/>
      <c r="BL218" s="543" t="n"/>
      <c r="BM218" s="543" t="n"/>
      <c r="BN218" s="543" t="n"/>
      <c r="BO218" s="543" t="n"/>
      <c r="BP218" s="543" t="n"/>
      <c r="BQ218" s="543" t="n"/>
      <c r="BR218" s="543" t="n"/>
      <c r="BS218" s="543" t="n"/>
      <c r="BT218" s="543" t="n"/>
      <c r="BU218" s="543" t="n"/>
      <c r="BV218" s="543" t="n"/>
      <c r="BW218" s="543" t="n"/>
      <c r="BX218" s="543" t="n"/>
      <c r="BY218" s="543" t="n"/>
      <c r="BZ218" s="543" t="n"/>
      <c r="CA218" s="543" t="n"/>
      <c r="CB218" s="543" t="n"/>
      <c r="CC218" s="543" t="n"/>
      <c r="CD218" s="543" t="n"/>
      <c r="CE218" s="543" t="n"/>
      <c r="CF218" s="543" t="n"/>
      <c r="CG218" s="543" t="n"/>
      <c r="CH218" s="543" t="n"/>
      <c r="CI218" s="543" t="n"/>
      <c r="CJ218" s="543" t="n"/>
      <c r="CK218" s="543" t="n"/>
      <c r="CL218" s="543" t="n"/>
      <c r="CM218" s="543" t="n"/>
      <c r="CN218" s="543" t="n"/>
      <c r="CO218" s="543" t="n"/>
      <c r="CP218" s="543" t="n"/>
      <c r="CQ218" s="543" t="n"/>
      <c r="CR218" s="543" t="n"/>
      <c r="CS218" s="543" t="n"/>
      <c r="CT218" s="543" t="n"/>
      <c r="CU218" s="543" t="n"/>
      <c r="CV218" s="543" t="n"/>
      <c r="CW218" s="543" t="n"/>
      <c r="CX218" s="543" t="n"/>
      <c r="CY218" s="543" t="n"/>
      <c r="CZ218" s="543" t="n"/>
      <c r="DA218" s="543" t="n"/>
      <c r="DB218" s="543" t="n"/>
      <c r="DC218" s="543" t="n"/>
      <c r="DD218" s="543" t="n"/>
      <c r="DE218" s="543" t="n"/>
      <c r="DF218" s="543" t="n"/>
      <c r="DG218" s="543" t="n"/>
      <c r="DH218" s="543" t="n"/>
      <c r="DI218" s="543" t="n"/>
      <c r="DJ218" s="543" t="n"/>
      <c r="DK218" s="543" t="n"/>
      <c r="DL218" s="543" t="n"/>
      <c r="DM218" s="543" t="n"/>
      <c r="DN218" s="543" t="n"/>
      <c r="DO218" s="543" t="n"/>
      <c r="DP218" s="543" t="n"/>
      <c r="DQ218" s="543" t="n"/>
      <c r="DR218" s="543" t="n"/>
      <c r="DS218" s="543" t="n"/>
      <c r="DT218" s="543" t="n"/>
      <c r="DU218" s="543" t="n"/>
      <c r="DV218" s="543" t="n"/>
      <c r="DW218" s="543" t="n"/>
      <c r="DX218" s="543" t="n"/>
      <c r="DY218" s="543" t="n"/>
      <c r="DZ218" s="543" t="n"/>
      <c r="EA218" s="543" t="n"/>
      <c r="EB218" s="543" t="n"/>
    </row>
    <row r="219" ht="21" customHeight="1">
      <c r="B219" s="28" t="n"/>
      <c r="C219" s="25" t="n"/>
      <c r="D219" s="27" t="n"/>
      <c r="E219" s="26" t="n"/>
      <c r="F219" s="1422" t="n"/>
      <c r="G219" s="1425" t="inlineStr">
        <is>
          <t>t Additional  FTE Salesperson added to focus on Real Estate and Start Ups</t>
        </is>
      </c>
      <c r="R219" s="707" t="n"/>
      <c r="S219" s="543" t="n"/>
      <c r="T219" s="543" t="n"/>
      <c r="U219" s="1425" t="inlineStr">
        <is>
          <t>t Additional Sales person added to focus on Pharma</t>
        </is>
      </c>
      <c r="AF219" s="707" t="n"/>
      <c r="AG219" s="543" t="n"/>
      <c r="AH219" s="543" t="n"/>
      <c r="AI219" s="1425" t="inlineStr">
        <is>
          <t xml:space="preserve">t Additional Sales person added to flex </t>
        </is>
      </c>
      <c r="AT219" s="707" t="n"/>
      <c r="AU219" s="543" t="n"/>
      <c r="AV219" s="543" t="n"/>
      <c r="AW219" s="1425" t="inlineStr">
        <is>
          <t xml:space="preserve"> </t>
        </is>
      </c>
      <c r="BH219" s="707" t="n"/>
      <c r="BI219" s="543" t="n"/>
      <c r="BJ219" s="543" t="n"/>
      <c r="BK219" s="543" t="n"/>
      <c r="BL219" s="543" t="n"/>
      <c r="BM219" s="543" t="n"/>
      <c r="BN219" s="543" t="n"/>
      <c r="BO219" s="543" t="n"/>
      <c r="BP219" s="543" t="n"/>
      <c r="BQ219" s="543" t="n"/>
      <c r="BR219" s="543" t="n"/>
      <c r="BS219" s="543" t="n"/>
      <c r="BT219" s="543" t="n"/>
      <c r="BU219" s="543" t="n"/>
      <c r="BV219" s="543" t="n"/>
      <c r="BW219" s="543" t="n"/>
      <c r="BX219" s="543" t="n"/>
      <c r="BY219" s="543" t="n"/>
      <c r="BZ219" s="543" t="n"/>
      <c r="CA219" s="543" t="n"/>
      <c r="CB219" s="543" t="n"/>
      <c r="CC219" s="543" t="n"/>
      <c r="CD219" s="543" t="n"/>
      <c r="CE219" s="543" t="n"/>
      <c r="CF219" s="543" t="n"/>
      <c r="CG219" s="543" t="n"/>
      <c r="CH219" s="543" t="n"/>
      <c r="CI219" s="543" t="n"/>
      <c r="CJ219" s="543" t="n"/>
      <c r="CK219" s="543" t="n"/>
      <c r="CL219" s="543" t="n"/>
      <c r="CM219" s="543" t="n"/>
      <c r="CN219" s="543" t="n"/>
      <c r="CO219" s="543" t="n"/>
      <c r="CP219" s="543" t="n"/>
      <c r="CQ219" s="543" t="n"/>
      <c r="CR219" s="543" t="n"/>
      <c r="CS219" s="543" t="n"/>
      <c r="CT219" s="543" t="n"/>
      <c r="CU219" s="543" t="n"/>
      <c r="CV219" s="543" t="n"/>
      <c r="CW219" s="543" t="n"/>
      <c r="CX219" s="543" t="n"/>
      <c r="CY219" s="543" t="n"/>
      <c r="CZ219" s="543" t="n"/>
      <c r="DA219" s="543" t="n"/>
      <c r="DB219" s="543" t="n"/>
      <c r="DC219" s="543" t="n"/>
      <c r="DD219" s="543" t="n"/>
      <c r="DE219" s="543" t="n"/>
      <c r="DF219" s="543" t="n"/>
      <c r="DG219" s="543" t="n"/>
      <c r="DH219" s="543" t="n"/>
      <c r="DI219" s="543" t="n"/>
      <c r="DJ219" s="543" t="n"/>
      <c r="DK219" s="543" t="n"/>
      <c r="DL219" s="543" t="n"/>
      <c r="DM219" s="543" t="n"/>
      <c r="DN219" s="543" t="n"/>
      <c r="DO219" s="543" t="n"/>
      <c r="DP219" s="543" t="n"/>
      <c r="DQ219" s="543" t="n"/>
      <c r="DR219" s="543" t="n"/>
      <c r="DS219" s="543" t="n"/>
      <c r="DT219" s="543" t="n"/>
      <c r="DU219" s="543" t="n"/>
      <c r="DV219" s="543" t="n"/>
      <c r="DW219" s="543" t="n"/>
      <c r="DX219" s="543" t="n"/>
      <c r="DY219" s="543" t="n"/>
      <c r="DZ219" s="543" t="n"/>
      <c r="EA219" s="543" t="n"/>
      <c r="EB219" s="543" t="n"/>
    </row>
    <row r="220" ht="21" customHeight="1">
      <c r="B220" s="28" t="n"/>
      <c r="C220" s="25" t="n"/>
      <c r="D220" s="27" t="n"/>
      <c r="E220" s="26" t="n"/>
      <c r="F220" s="1422" t="n"/>
      <c r="G220" s="1425" t="inlineStr">
        <is>
          <t>t FTE Trainer position added for 'Thought Library"</t>
        </is>
      </c>
      <c r="R220" s="707" t="n"/>
      <c r="S220" s="543" t="n"/>
      <c r="T220" s="543" t="n"/>
      <c r="U220" s="1426" t="n"/>
      <c r="AF220" s="707" t="n"/>
      <c r="AG220" s="543" t="n"/>
      <c r="AH220" s="543" t="n"/>
      <c r="AI220" s="1425" t="inlineStr">
        <is>
          <t xml:space="preserve"> </t>
        </is>
      </c>
      <c r="AT220" s="707" t="n"/>
      <c r="AU220" s="543" t="n"/>
      <c r="AV220" s="543" t="n"/>
      <c r="AW220" s="1426" t="n"/>
      <c r="BH220" s="707" t="n"/>
      <c r="BI220" s="543" t="n"/>
      <c r="BJ220" s="543" t="n"/>
      <c r="BK220" s="543" t="n"/>
      <c r="BL220" s="543" t="n"/>
      <c r="BM220" s="543" t="n"/>
      <c r="BN220" s="543" t="n"/>
      <c r="BO220" s="543" t="n"/>
      <c r="BP220" s="543" t="n"/>
      <c r="BQ220" s="543" t="n"/>
      <c r="BR220" s="543" t="n"/>
      <c r="BS220" s="543" t="n"/>
      <c r="BT220" s="543" t="n"/>
      <c r="BU220" s="543" t="n"/>
      <c r="BV220" s="543" t="n"/>
      <c r="BW220" s="543" t="n"/>
      <c r="BX220" s="543" t="n"/>
      <c r="BY220" s="543" t="n"/>
      <c r="BZ220" s="543" t="n"/>
      <c r="CA220" s="543" t="n"/>
      <c r="CB220" s="543" t="n"/>
      <c r="CC220" s="543" t="n"/>
      <c r="CD220" s="543" t="n"/>
      <c r="CE220" s="543" t="n"/>
      <c r="CF220" s="543" t="n"/>
      <c r="CG220" s="543" t="n"/>
      <c r="CH220" s="543" t="n"/>
      <c r="CI220" s="543" t="n"/>
      <c r="CJ220" s="543" t="n"/>
      <c r="CK220" s="543" t="n"/>
      <c r="CL220" s="543" t="n"/>
      <c r="CM220" s="543" t="n"/>
      <c r="CN220" s="543" t="n"/>
      <c r="CO220" s="543" t="n"/>
      <c r="CP220" s="543" t="n"/>
      <c r="CQ220" s="543" t="n"/>
      <c r="CR220" s="543" t="n"/>
      <c r="CS220" s="543" t="n"/>
      <c r="CT220" s="543" t="n"/>
      <c r="CU220" s="543" t="n"/>
      <c r="CV220" s="543" t="n"/>
      <c r="CW220" s="543" t="n"/>
      <c r="CX220" s="543" t="n"/>
      <c r="CY220" s="543" t="n"/>
      <c r="CZ220" s="543" t="n"/>
      <c r="DA220" s="543" t="n"/>
      <c r="DB220" s="543" t="n"/>
      <c r="DC220" s="543" t="n"/>
      <c r="DD220" s="543" t="n"/>
      <c r="DE220" s="543" t="n"/>
      <c r="DF220" s="543" t="n"/>
      <c r="DG220" s="543" t="n"/>
      <c r="DH220" s="543" t="n"/>
      <c r="DI220" s="543" t="n"/>
      <c r="DJ220" s="543" t="n"/>
      <c r="DK220" s="543" t="n"/>
      <c r="DL220" s="543" t="n"/>
      <c r="DM220" s="543" t="n"/>
      <c r="DN220" s="543" t="n"/>
      <c r="DO220" s="543" t="n"/>
      <c r="DP220" s="543" t="n"/>
      <c r="DQ220" s="543" t="n"/>
      <c r="DR220" s="543" t="n"/>
      <c r="DS220" s="543" t="n"/>
      <c r="DT220" s="543" t="n"/>
      <c r="DU220" s="543" t="n"/>
      <c r="DV220" s="543" t="n"/>
      <c r="DW220" s="543" t="n"/>
      <c r="DX220" s="543" t="n"/>
      <c r="DY220" s="543" t="n"/>
      <c r="DZ220" s="543" t="n"/>
      <c r="EA220" s="543" t="n"/>
      <c r="EB220" s="543" t="n"/>
    </row>
    <row r="221" ht="21" customHeight="1">
      <c r="B221" s="28" t="n"/>
      <c r="C221" s="25" t="n"/>
      <c r="D221" s="27" t="n"/>
      <c r="E221" s="26" t="n"/>
      <c r="F221" s="1422" t="n"/>
      <c r="G221" s="1425" t="inlineStr">
        <is>
          <t>t Revenue lift of Account Based marketing program</t>
        </is>
      </c>
      <c r="R221" s="707" t="n"/>
      <c r="S221" s="543" t="n"/>
      <c r="T221" s="543" t="n"/>
      <c r="U221" s="1426" t="inlineStr">
        <is>
          <t>Operations</t>
        </is>
      </c>
      <c r="AF221" s="707" t="n"/>
      <c r="AG221" s="543" t="n"/>
      <c r="AH221" s="543" t="n"/>
      <c r="AI221" s="1426" t="inlineStr">
        <is>
          <t>Operations</t>
        </is>
      </c>
      <c r="AT221" s="707" t="n"/>
      <c r="AU221" s="543" t="n"/>
      <c r="AV221" s="543" t="n"/>
      <c r="AW221" s="1426" t="inlineStr">
        <is>
          <t>Operations</t>
        </is>
      </c>
      <c r="BH221" s="707" t="n"/>
      <c r="BI221" s="543" t="n"/>
      <c r="BJ221" s="543" t="n"/>
      <c r="BK221" s="543" t="n"/>
      <c r="BL221" s="543" t="n"/>
      <c r="BM221" s="543" t="n"/>
      <c r="BN221" s="543" t="n"/>
      <c r="BO221" s="543" t="n"/>
      <c r="BP221" s="543" t="n"/>
      <c r="BQ221" s="543" t="n"/>
      <c r="BR221" s="543" t="n"/>
      <c r="BS221" s="543" t="n"/>
      <c r="BT221" s="543" t="n"/>
      <c r="BU221" s="543" t="n"/>
      <c r="BV221" s="543" t="n"/>
      <c r="BW221" s="543" t="n"/>
      <c r="BX221" s="543" t="n"/>
      <c r="BY221" s="543" t="n"/>
      <c r="BZ221" s="543" t="n"/>
      <c r="CA221" s="543" t="n"/>
      <c r="CB221" s="543" t="n"/>
      <c r="CC221" s="543" t="n"/>
      <c r="CD221" s="543" t="n"/>
      <c r="CE221" s="543" t="n"/>
      <c r="CF221" s="543" t="n"/>
      <c r="CG221" s="543" t="n"/>
      <c r="CH221" s="543" t="n"/>
      <c r="CI221" s="543" t="n"/>
      <c r="CJ221" s="543" t="n"/>
      <c r="CK221" s="543" t="n"/>
      <c r="CL221" s="543" t="n"/>
      <c r="CM221" s="543" t="n"/>
      <c r="CN221" s="543" t="n"/>
      <c r="CO221" s="543" t="n"/>
      <c r="CP221" s="543" t="n"/>
      <c r="CQ221" s="543" t="n"/>
      <c r="CR221" s="543" t="n"/>
      <c r="CS221" s="543" t="n"/>
      <c r="CT221" s="543" t="n"/>
      <c r="CU221" s="543" t="n"/>
      <c r="CV221" s="543" t="n"/>
      <c r="CW221" s="543" t="n"/>
      <c r="CX221" s="543" t="n"/>
      <c r="CY221" s="543" t="n"/>
      <c r="CZ221" s="543" t="n"/>
      <c r="DA221" s="543" t="n"/>
      <c r="DB221" s="543" t="n"/>
      <c r="DC221" s="543" t="n"/>
      <c r="DD221" s="543" t="n"/>
      <c r="DE221" s="543" t="n"/>
      <c r="DF221" s="543" t="n"/>
      <c r="DG221" s="543" t="n"/>
      <c r="DH221" s="543" t="n"/>
      <c r="DI221" s="543" t="n"/>
      <c r="DJ221" s="543" t="n"/>
      <c r="DK221" s="543" t="n"/>
      <c r="DL221" s="543" t="n"/>
      <c r="DM221" s="543" t="n"/>
      <c r="DN221" s="543" t="n"/>
      <c r="DO221" s="543" t="n"/>
      <c r="DP221" s="543" t="n"/>
      <c r="DQ221" s="543" t="n"/>
      <c r="DR221" s="543" t="n"/>
      <c r="DS221" s="543" t="n"/>
      <c r="DT221" s="543" t="n"/>
      <c r="DU221" s="543" t="n"/>
      <c r="DV221" s="543" t="n"/>
      <c r="DW221" s="543" t="n"/>
      <c r="DX221" s="543" t="n"/>
      <c r="DY221" s="543" t="n"/>
      <c r="DZ221" s="543" t="n"/>
      <c r="EA221" s="543" t="n"/>
      <c r="EB221" s="543" t="n"/>
    </row>
    <row r="222" ht="21" customHeight="1">
      <c r="B222" s="28" t="n"/>
      <c r="C222" s="25" t="n"/>
      <c r="D222" s="27" t="n"/>
      <c r="E222" s="26" t="n"/>
      <c r="F222" s="1422" t="n"/>
      <c r="G222" s="1426" t="inlineStr">
        <is>
          <t xml:space="preserve"> </t>
        </is>
      </c>
      <c r="R222" s="707" t="n"/>
      <c r="S222" s="543" t="n"/>
      <c r="T222" s="543" t="n"/>
      <c r="U222" s="1425" t="inlineStr">
        <is>
          <t>t FTE position of accounting added</t>
        </is>
      </c>
      <c r="AF222" s="707" t="n"/>
      <c r="AG222" s="543" t="n"/>
      <c r="AH222" s="543" t="n"/>
      <c r="AI222" s="1425" t="inlineStr">
        <is>
          <t>t Additional customer success FTE added (3 positions in total)</t>
        </is>
      </c>
      <c r="AT222" s="707" t="n"/>
      <c r="AU222" s="543" t="n"/>
      <c r="AV222" s="543" t="n"/>
      <c r="AW222" s="1425" t="inlineStr">
        <is>
          <t xml:space="preserve"> </t>
        </is>
      </c>
      <c r="BH222" s="707" t="n"/>
      <c r="BI222" s="543" t="n"/>
      <c r="BJ222" s="543" t="n"/>
      <c r="BK222" s="543" t="n"/>
      <c r="BL222" s="543" t="n"/>
      <c r="BM222" s="543" t="n"/>
      <c r="BN222" s="543" t="n"/>
      <c r="BO222" s="543" t="n"/>
      <c r="BP222" s="543" t="n"/>
      <c r="BQ222" s="543" t="n"/>
      <c r="BR222" s="543" t="n"/>
      <c r="BS222" s="543" t="n"/>
      <c r="BT222" s="543" t="n"/>
      <c r="BU222" s="543" t="n"/>
      <c r="BV222" s="543" t="n"/>
      <c r="BW222" s="543" t="n"/>
      <c r="BX222" s="543" t="n"/>
      <c r="BY222" s="543" t="n"/>
      <c r="BZ222" s="543" t="n"/>
      <c r="CA222" s="543" t="n"/>
      <c r="CB222" s="543" t="n"/>
      <c r="CC222" s="543" t="n"/>
      <c r="CD222" s="543" t="n"/>
      <c r="CE222" s="543" t="n"/>
      <c r="CF222" s="543" t="n"/>
      <c r="CG222" s="543" t="n"/>
      <c r="CH222" s="543" t="n"/>
      <c r="CI222" s="543" t="n"/>
      <c r="CJ222" s="543" t="n"/>
      <c r="CK222" s="543" t="n"/>
      <c r="CL222" s="543" t="n"/>
      <c r="CM222" s="543" t="n"/>
      <c r="CN222" s="543" t="n"/>
      <c r="CO222" s="543" t="n"/>
      <c r="CP222" s="543" t="n"/>
      <c r="CQ222" s="543" t="n"/>
      <c r="CR222" s="543" t="n"/>
      <c r="CS222" s="543" t="n"/>
      <c r="CT222" s="543" t="n"/>
      <c r="CU222" s="543" t="n"/>
      <c r="CV222" s="543" t="n"/>
      <c r="CW222" s="543" t="n"/>
      <c r="CX222" s="543" t="n"/>
      <c r="CY222" s="543" t="n"/>
      <c r="CZ222" s="543" t="n"/>
      <c r="DA222" s="543" t="n"/>
      <c r="DB222" s="543" t="n"/>
      <c r="DC222" s="543" t="n"/>
      <c r="DD222" s="543" t="n"/>
      <c r="DE222" s="543" t="n"/>
      <c r="DF222" s="543" t="n"/>
      <c r="DG222" s="543" t="n"/>
      <c r="DH222" s="543" t="n"/>
      <c r="DI222" s="543" t="n"/>
      <c r="DJ222" s="543" t="n"/>
      <c r="DK222" s="543" t="n"/>
      <c r="DL222" s="543" t="n"/>
      <c r="DM222" s="543" t="n"/>
      <c r="DN222" s="543" t="n"/>
      <c r="DO222" s="543" t="n"/>
      <c r="DP222" s="543" t="n"/>
      <c r="DQ222" s="543" t="n"/>
      <c r="DR222" s="543" t="n"/>
      <c r="DS222" s="543" t="n"/>
      <c r="DT222" s="543" t="n"/>
      <c r="DU222" s="543" t="n"/>
      <c r="DV222" s="543" t="n"/>
      <c r="DW222" s="543" t="n"/>
      <c r="DX222" s="543" t="n"/>
      <c r="DY222" s="543" t="n"/>
      <c r="DZ222" s="543" t="n"/>
      <c r="EA222" s="543" t="n"/>
      <c r="EB222" s="543" t="n"/>
    </row>
    <row r="223" ht="21" customHeight="1">
      <c r="B223" s="28" t="n"/>
      <c r="C223" s="25" t="n"/>
      <c r="D223" s="27" t="n"/>
      <c r="E223" s="26" t="n"/>
      <c r="F223" s="1422" t="n"/>
      <c r="G223" s="1426" t="inlineStr">
        <is>
          <t>Operations</t>
        </is>
      </c>
      <c r="R223" s="707" t="n"/>
      <c r="S223" s="543" t="n"/>
      <c r="T223" s="543" t="n"/>
      <c r="U223" s="1426" t="n"/>
      <c r="AF223" s="707" t="n"/>
      <c r="AG223" s="543" t="n"/>
      <c r="AH223" s="543" t="n"/>
      <c r="AI223" s="1425" t="inlineStr">
        <is>
          <t xml:space="preserve"> </t>
        </is>
      </c>
      <c r="AT223" s="707" t="n"/>
      <c r="AU223" s="543" t="n"/>
      <c r="AV223" s="543" t="n"/>
      <c r="AW223" s="1426" t="n"/>
      <c r="BH223" s="707" t="n"/>
      <c r="BI223" s="543" t="n"/>
      <c r="BJ223" s="543" t="n"/>
      <c r="BK223" s="543" t="n"/>
      <c r="BL223" s="543" t="n"/>
      <c r="BM223" s="543" t="n"/>
      <c r="BN223" s="543" t="n"/>
      <c r="BO223" s="543" t="n"/>
      <c r="BP223" s="543" t="n"/>
      <c r="BQ223" s="543" t="n"/>
      <c r="BR223" s="543" t="n"/>
      <c r="BS223" s="543" t="n"/>
      <c r="BT223" s="543" t="n"/>
      <c r="BU223" s="543" t="n"/>
      <c r="BV223" s="543" t="n"/>
      <c r="BW223" s="543" t="n"/>
      <c r="BX223" s="543" t="n"/>
      <c r="BY223" s="543" t="n"/>
      <c r="BZ223" s="543" t="n"/>
      <c r="CA223" s="543" t="n"/>
      <c r="CB223" s="543" t="n"/>
      <c r="CC223" s="543" t="n"/>
      <c r="CD223" s="543" t="n"/>
      <c r="CE223" s="543" t="n"/>
      <c r="CF223" s="543" t="n"/>
      <c r="CG223" s="543" t="n"/>
      <c r="CH223" s="543" t="n"/>
      <c r="CI223" s="543" t="n"/>
      <c r="CJ223" s="543" t="n"/>
      <c r="CK223" s="543" t="n"/>
      <c r="CL223" s="543" t="n"/>
      <c r="CM223" s="543" t="n"/>
      <c r="CN223" s="543" t="n"/>
      <c r="CO223" s="543" t="n"/>
      <c r="CP223" s="543" t="n"/>
      <c r="CQ223" s="543" t="n"/>
      <c r="CR223" s="543" t="n"/>
      <c r="CS223" s="543" t="n"/>
      <c r="CT223" s="543" t="n"/>
      <c r="CU223" s="543" t="n"/>
      <c r="CV223" s="543" t="n"/>
      <c r="CW223" s="543" t="n"/>
      <c r="CX223" s="543" t="n"/>
      <c r="CY223" s="543" t="n"/>
      <c r="CZ223" s="543" t="n"/>
      <c r="DA223" s="543" t="n"/>
      <c r="DB223" s="543" t="n"/>
      <c r="DC223" s="543" t="n"/>
      <c r="DD223" s="543" t="n"/>
      <c r="DE223" s="543" t="n"/>
      <c r="DF223" s="543" t="n"/>
      <c r="DG223" s="543" t="n"/>
      <c r="DH223" s="543" t="n"/>
      <c r="DI223" s="543" t="n"/>
      <c r="DJ223" s="543" t="n"/>
      <c r="DK223" s="543" t="n"/>
      <c r="DL223" s="543" t="n"/>
      <c r="DM223" s="543" t="n"/>
      <c r="DN223" s="543" t="n"/>
      <c r="DO223" s="543" t="n"/>
      <c r="DP223" s="543" t="n"/>
      <c r="DQ223" s="543" t="n"/>
      <c r="DR223" s="543" t="n"/>
      <c r="DS223" s="543" t="n"/>
      <c r="DT223" s="543" t="n"/>
      <c r="DU223" s="543" t="n"/>
      <c r="DV223" s="543" t="n"/>
      <c r="DW223" s="543" t="n"/>
      <c r="DX223" s="543" t="n"/>
      <c r="DY223" s="543" t="n"/>
      <c r="DZ223" s="543" t="n"/>
      <c r="EA223" s="543" t="n"/>
      <c r="EB223" s="543" t="n"/>
    </row>
    <row r="224" ht="21" customHeight="1">
      <c r="G224" s="1427" t="inlineStr">
        <is>
          <t xml:space="preserve">t Additional  FTE added Customer Success Position </t>
        </is>
      </c>
      <c r="R224" s="707" t="n"/>
      <c r="S224" s="543" t="n"/>
      <c r="T224" s="543" t="n"/>
      <c r="U224" s="1426" t="n"/>
      <c r="AF224" s="707" t="n"/>
      <c r="AG224" s="543" t="n"/>
      <c r="AH224" s="543" t="n"/>
      <c r="AI224" s="1426" t="n"/>
      <c r="AT224" s="707" t="n"/>
      <c r="AU224" s="543" t="n"/>
      <c r="AV224" s="543" t="n"/>
      <c r="AW224" s="1426" t="n"/>
      <c r="BH224" s="707" t="n"/>
      <c r="BI224" s="543" t="n"/>
      <c r="BJ224" s="543" t="n"/>
      <c r="BK224" s="543" t="n"/>
      <c r="BL224" s="543" t="n"/>
      <c r="BM224" s="543" t="n"/>
      <c r="BN224" s="543" t="n"/>
      <c r="BO224" s="543" t="n"/>
      <c r="BP224" s="543" t="n"/>
      <c r="BQ224" s="543" t="n"/>
      <c r="BR224" s="543" t="n"/>
      <c r="BS224" s="543" t="n"/>
      <c r="BT224" s="543" t="n"/>
      <c r="BU224" s="543" t="n"/>
      <c r="BV224" s="543" t="n"/>
      <c r="BW224" s="543" t="n"/>
      <c r="BX224" s="543" t="n"/>
      <c r="BY224" s="543" t="n"/>
      <c r="BZ224" s="543" t="n"/>
      <c r="CA224" s="543" t="n"/>
      <c r="CB224" s="543" t="n"/>
      <c r="CC224" s="543" t="n"/>
      <c r="CD224" s="543" t="n"/>
      <c r="CE224" s="543" t="n"/>
      <c r="CF224" s="543" t="n"/>
      <c r="CG224" s="543" t="n"/>
      <c r="CH224" s="543" t="n"/>
      <c r="CI224" s="543" t="n"/>
      <c r="CJ224" s="543" t="n"/>
      <c r="CK224" s="543" t="n"/>
      <c r="CL224" s="543" t="n"/>
      <c r="CM224" s="543" t="n"/>
      <c r="CN224" s="543" t="n"/>
      <c r="CO224" s="543" t="n"/>
      <c r="CP224" s="543" t="n"/>
      <c r="CQ224" s="543" t="n"/>
      <c r="CR224" s="543" t="n"/>
      <c r="CS224" s="543" t="n"/>
      <c r="CT224" s="543" t="n"/>
      <c r="CU224" s="543" t="n"/>
      <c r="CV224" s="543" t="n"/>
      <c r="CW224" s="543" t="n"/>
      <c r="CX224" s="543" t="n"/>
      <c r="CY224" s="543" t="n"/>
      <c r="CZ224" s="543" t="n"/>
      <c r="DA224" s="543" t="n"/>
      <c r="DB224" s="543" t="n"/>
      <c r="DC224" s="543" t="n"/>
      <c r="DD224" s="543" t="n"/>
      <c r="DE224" s="543" t="n"/>
      <c r="DF224" s="543" t="n"/>
      <c r="DG224" s="543" t="n"/>
      <c r="DH224" s="543" t="n"/>
      <c r="DI224" s="543" t="n"/>
      <c r="DJ224" s="543" t="n"/>
      <c r="DK224" s="543" t="n"/>
      <c r="DL224" s="543" t="n"/>
      <c r="DM224" s="543" t="n"/>
      <c r="DN224" s="543" t="n"/>
      <c r="DO224" s="543" t="n"/>
      <c r="DP224" s="543" t="n"/>
      <c r="DQ224" s="543" t="n"/>
      <c r="DR224" s="543" t="n"/>
      <c r="DS224" s="543" t="n"/>
      <c r="DT224" s="543" t="n"/>
      <c r="DU224" s="543" t="n"/>
      <c r="DV224" s="543" t="n"/>
      <c r="DW224" s="543" t="n"/>
      <c r="DX224" s="543" t="n"/>
      <c r="DY224" s="543" t="n"/>
      <c r="DZ224" s="543" t="n"/>
      <c r="EA224" s="543" t="n"/>
      <c r="EB224" s="543" t="n"/>
    </row>
    <row r="225" ht="21" customHeight="1">
      <c r="G225" s="1426" t="n"/>
      <c r="R225" s="707" t="n"/>
      <c r="S225" s="543" t="n"/>
      <c r="T225" s="543" t="n"/>
      <c r="U225" s="1426" t="n"/>
      <c r="AF225" s="707" t="n"/>
      <c r="AG225" s="543" t="n"/>
      <c r="AH225" s="543" t="n"/>
      <c r="AI225" s="1426" t="n"/>
      <c r="AT225" s="707" t="n"/>
      <c r="AU225" s="543" t="n"/>
      <c r="AV225" s="543" t="n"/>
      <c r="AW225" s="1426" t="n"/>
      <c r="BH225" s="707" t="n"/>
      <c r="BI225" s="543" t="n"/>
      <c r="BJ225" s="543" t="n"/>
      <c r="BK225" s="543" t="n"/>
      <c r="BL225" s="543" t="n"/>
      <c r="BM225" s="543" t="n"/>
      <c r="BN225" s="543" t="n"/>
      <c r="BO225" s="543" t="n"/>
      <c r="BP225" s="543" t="n"/>
      <c r="BQ225" s="543" t="n"/>
      <c r="BR225" s="543" t="n"/>
      <c r="BS225" s="543" t="n"/>
      <c r="BT225" s="543" t="n"/>
      <c r="BU225" s="543" t="n"/>
      <c r="BV225" s="543" t="n"/>
      <c r="BW225" s="543" t="n"/>
      <c r="BX225" s="543" t="n"/>
      <c r="BY225" s="543" t="n"/>
      <c r="BZ225" s="543" t="n"/>
      <c r="CA225" s="543" t="n"/>
      <c r="CB225" s="543" t="n"/>
      <c r="CC225" s="543" t="n"/>
      <c r="CD225" s="543" t="n"/>
      <c r="CE225" s="543" t="n"/>
      <c r="CF225" s="543" t="n"/>
      <c r="CG225" s="543" t="n"/>
      <c r="CH225" s="543" t="n"/>
      <c r="CI225" s="543" t="n"/>
      <c r="CJ225" s="543" t="n"/>
      <c r="CK225" s="543" t="n"/>
      <c r="CL225" s="543" t="n"/>
      <c r="CM225" s="543" t="n"/>
      <c r="CN225" s="543" t="n"/>
      <c r="CO225" s="543" t="n"/>
      <c r="CP225" s="543" t="n"/>
      <c r="CQ225" s="543" t="n"/>
      <c r="CR225" s="543" t="n"/>
      <c r="CS225" s="543" t="n"/>
      <c r="CT225" s="543" t="n"/>
      <c r="CU225" s="543" t="n"/>
      <c r="CV225" s="543" t="n"/>
      <c r="CW225" s="543" t="n"/>
      <c r="CX225" s="543" t="n"/>
      <c r="CY225" s="543" t="n"/>
      <c r="CZ225" s="543" t="n"/>
      <c r="DA225" s="543" t="n"/>
      <c r="DB225" s="543" t="n"/>
      <c r="DC225" s="543" t="n"/>
      <c r="DD225" s="543" t="n"/>
      <c r="DE225" s="543" t="n"/>
      <c r="DF225" s="543" t="n"/>
      <c r="DG225" s="543" t="n"/>
      <c r="DH225" s="543" t="n"/>
      <c r="DI225" s="543" t="n"/>
      <c r="DJ225" s="543" t="n"/>
      <c r="DK225" s="543" t="n"/>
      <c r="DL225" s="543" t="n"/>
      <c r="DM225" s="543" t="n"/>
      <c r="DN225" s="543" t="n"/>
      <c r="DO225" s="543" t="n"/>
      <c r="DP225" s="543" t="n"/>
      <c r="DQ225" s="543" t="n"/>
      <c r="DR225" s="543" t="n"/>
      <c r="DS225" s="543" t="n"/>
      <c r="DT225" s="543" t="n"/>
      <c r="DU225" s="543" t="n"/>
      <c r="DV225" s="543" t="n"/>
      <c r="DW225" s="543" t="n"/>
      <c r="DX225" s="543" t="n"/>
      <c r="DY225" s="543" t="n"/>
      <c r="DZ225" s="543" t="n"/>
      <c r="EA225" s="543" t="n"/>
      <c r="EB225" s="543" t="n"/>
    </row>
    <row r="226" ht="21" customHeight="1" thickBot="1">
      <c r="G226" s="1428" t="n"/>
      <c r="H226" s="711" t="n"/>
      <c r="I226" s="711" t="n"/>
      <c r="J226" s="711" t="n"/>
      <c r="K226" s="711" t="n"/>
      <c r="L226" s="711" t="n"/>
      <c r="M226" s="711" t="n"/>
      <c r="N226" s="711" t="n"/>
      <c r="O226" s="711" t="n"/>
      <c r="P226" s="711" t="n"/>
      <c r="Q226" s="711" t="n"/>
      <c r="R226" s="1204" t="n"/>
      <c r="S226" s="543" t="n"/>
      <c r="T226" s="543" t="n"/>
      <c r="U226" s="1428" t="n"/>
      <c r="V226" s="711" t="n"/>
      <c r="W226" s="711" t="n"/>
      <c r="X226" s="711" t="n"/>
      <c r="Y226" s="711" t="n"/>
      <c r="Z226" s="711" t="n"/>
      <c r="AA226" s="711" t="n"/>
      <c r="AB226" s="711" t="n"/>
      <c r="AC226" s="711" t="n"/>
      <c r="AD226" s="711" t="n"/>
      <c r="AE226" s="711" t="n"/>
      <c r="AF226" s="1204" t="n"/>
      <c r="AG226" s="543" t="n"/>
      <c r="AH226" s="543" t="n"/>
      <c r="AI226" s="1428" t="n"/>
      <c r="AJ226" s="711" t="n"/>
      <c r="AK226" s="711" t="n"/>
      <c r="AL226" s="711" t="n"/>
      <c r="AM226" s="711" t="n"/>
      <c r="AN226" s="711" t="n"/>
      <c r="AO226" s="711" t="n"/>
      <c r="AP226" s="711" t="n"/>
      <c r="AQ226" s="711" t="n"/>
      <c r="AR226" s="711" t="n"/>
      <c r="AS226" s="711" t="n"/>
      <c r="AT226" s="1204" t="n"/>
      <c r="AU226" s="543" t="n"/>
      <c r="AV226" s="543" t="n"/>
      <c r="AW226" s="1428" t="n"/>
      <c r="AX226" s="711" t="n"/>
      <c r="AY226" s="711" t="n"/>
      <c r="AZ226" s="711" t="n"/>
      <c r="BA226" s="711" t="n"/>
      <c r="BB226" s="711" t="n"/>
      <c r="BC226" s="711" t="n"/>
      <c r="BD226" s="711" t="n"/>
      <c r="BE226" s="711" t="n"/>
      <c r="BF226" s="711" t="n"/>
      <c r="BG226" s="711" t="n"/>
      <c r="BH226" s="1204" t="n"/>
      <c r="BI226" s="543" t="n"/>
      <c r="BJ226" s="543" t="n"/>
      <c r="BK226" s="543" t="n"/>
      <c r="BL226" s="543" t="n"/>
      <c r="BM226" s="543" t="n"/>
      <c r="BN226" s="543" t="n"/>
      <c r="BO226" s="543" t="n"/>
      <c r="BP226" s="543" t="n"/>
      <c r="BQ226" s="543" t="n"/>
      <c r="BR226" s="543" t="n"/>
      <c r="BS226" s="543" t="n"/>
      <c r="BT226" s="543" t="n"/>
      <c r="BU226" s="543" t="n"/>
      <c r="BV226" s="543" t="n"/>
      <c r="BW226" s="543" t="n"/>
      <c r="BX226" s="543" t="n"/>
      <c r="BY226" s="543" t="n"/>
      <c r="BZ226" s="543" t="n"/>
      <c r="CA226" s="543" t="n"/>
      <c r="CB226" s="543" t="n"/>
      <c r="CC226" s="543" t="n"/>
      <c r="CD226" s="543" t="n"/>
      <c r="CE226" s="543" t="n"/>
      <c r="CF226" s="543" t="n"/>
      <c r="CG226" s="543" t="n"/>
      <c r="CH226" s="543" t="n"/>
      <c r="CI226" s="543" t="n"/>
      <c r="CJ226" s="543" t="n"/>
      <c r="CK226" s="543" t="n"/>
      <c r="CL226" s="543" t="n"/>
      <c r="CM226" s="543" t="n"/>
      <c r="CN226" s="543" t="n"/>
      <c r="CO226" s="543" t="n"/>
      <c r="CP226" s="543" t="n"/>
      <c r="CQ226" s="543" t="n"/>
      <c r="CR226" s="543" t="n"/>
      <c r="CS226" s="543" t="n"/>
      <c r="CT226" s="543" t="n"/>
      <c r="CU226" s="543" t="n"/>
      <c r="CV226" s="543" t="n"/>
      <c r="CW226" s="543" t="n"/>
      <c r="CX226" s="543" t="n"/>
      <c r="CY226" s="543" t="n"/>
      <c r="CZ226" s="543" t="n"/>
      <c r="DA226" s="543" t="n"/>
      <c r="DB226" s="543" t="n"/>
      <c r="DC226" s="543" t="n"/>
      <c r="DD226" s="543" t="n"/>
      <c r="DE226" s="543" t="n"/>
      <c r="DF226" s="543" t="n"/>
      <c r="DG226" s="543" t="n"/>
      <c r="DH226" s="543" t="n"/>
      <c r="DI226" s="543" t="n"/>
      <c r="DJ226" s="543" t="n"/>
      <c r="DK226" s="543" t="n"/>
      <c r="DL226" s="543" t="n"/>
      <c r="DM226" s="543" t="n"/>
      <c r="DN226" s="543" t="n"/>
      <c r="DO226" s="543" t="n"/>
      <c r="DP226" s="543" t="n"/>
      <c r="DQ226" s="543" t="n"/>
      <c r="DR226" s="543" t="n"/>
      <c r="DS226" s="543" t="n"/>
      <c r="DT226" s="543" t="n"/>
      <c r="DU226" s="543" t="n"/>
      <c r="DV226" s="543" t="n"/>
      <c r="DW226" s="543" t="n"/>
      <c r="DX226" s="543" t="n"/>
      <c r="DY226" s="543" t="n"/>
      <c r="DZ226" s="543" t="n"/>
      <c r="EA226" s="543" t="n"/>
      <c r="EB226" s="543" t="n"/>
    </row>
    <row r="227" ht="13" customHeight="1">
      <c r="G227" s="543" t="n"/>
      <c r="H227" s="543" t="n"/>
      <c r="I227" s="543" t="n"/>
      <c r="J227" s="543" t="n"/>
      <c r="K227" s="543" t="n"/>
      <c r="L227" s="543" t="n"/>
      <c r="M227" s="543" t="n"/>
      <c r="N227" s="543" t="n"/>
      <c r="O227" s="543" t="n"/>
      <c r="P227" s="543" t="n"/>
      <c r="Q227" s="543" t="n"/>
      <c r="R227" s="543" t="n"/>
      <c r="S227" s="543" t="n"/>
      <c r="T227" s="543" t="n"/>
      <c r="U227" s="543" t="n"/>
      <c r="V227" s="543" t="n"/>
      <c r="W227" s="543" t="n"/>
      <c r="X227" s="543" t="n"/>
      <c r="Y227" s="543" t="n"/>
      <c r="Z227" s="543" t="n"/>
      <c r="AA227" s="543" t="n"/>
      <c r="AB227" s="543" t="n"/>
      <c r="AC227" s="543" t="n"/>
      <c r="AD227" s="543" t="n"/>
      <c r="AE227" s="543" t="n"/>
      <c r="AF227" s="543" t="n"/>
      <c r="AG227" s="543" t="n"/>
      <c r="AH227" s="543" t="n"/>
      <c r="AI227" s="543" t="n"/>
      <c r="AJ227" s="543" t="n"/>
      <c r="AK227" s="543" t="n"/>
      <c r="AL227" s="543" t="n"/>
      <c r="AM227" s="543" t="n"/>
      <c r="AN227" s="543" t="n"/>
      <c r="AO227" s="543" t="n"/>
      <c r="AP227" s="543" t="n"/>
      <c r="AQ227" s="543" t="n"/>
      <c r="AR227" s="543" t="n"/>
      <c r="AS227" s="543" t="n"/>
      <c r="AT227" s="543" t="n"/>
      <c r="AU227" s="543" t="n"/>
      <c r="AV227" s="543" t="n"/>
      <c r="AW227" s="543" t="n"/>
      <c r="AX227" s="543" t="n"/>
      <c r="AY227" s="543" t="n"/>
      <c r="AZ227" s="543" t="n"/>
      <c r="BA227" s="543" t="n"/>
      <c r="BB227" s="543" t="n"/>
      <c r="BC227" s="543" t="n"/>
      <c r="BD227" s="543" t="n"/>
      <c r="BE227" s="543" t="n"/>
      <c r="BF227" s="543" t="n"/>
      <c r="BG227" s="543" t="n"/>
      <c r="BH227" s="543" t="n"/>
      <c r="BI227" s="543" t="n"/>
      <c r="BJ227" s="543" t="n"/>
      <c r="BK227" s="543" t="n"/>
      <c r="BL227" s="543" t="n"/>
      <c r="BM227" s="543" t="n"/>
      <c r="BN227" s="543" t="n"/>
      <c r="BO227" s="543" t="n"/>
      <c r="BP227" s="543" t="n"/>
      <c r="BQ227" s="543" t="n"/>
      <c r="BR227" s="543" t="n"/>
      <c r="BS227" s="543" t="n"/>
      <c r="BT227" s="543" t="n"/>
      <c r="BU227" s="543" t="n"/>
      <c r="BV227" s="543" t="n"/>
      <c r="BW227" s="543" t="n"/>
      <c r="BX227" s="543" t="n"/>
      <c r="BY227" s="543" t="n"/>
      <c r="BZ227" s="543" t="n"/>
      <c r="CA227" s="543" t="n"/>
      <c r="CB227" s="543" t="n"/>
      <c r="CC227" s="543" t="n"/>
      <c r="CD227" s="543" t="n"/>
      <c r="CE227" s="543" t="n"/>
      <c r="CF227" s="543" t="n"/>
      <c r="CG227" s="543" t="n"/>
      <c r="CH227" s="543" t="n"/>
      <c r="CI227" s="543" t="n"/>
      <c r="CJ227" s="543" t="n"/>
      <c r="CK227" s="543" t="n"/>
      <c r="CL227" s="543" t="n"/>
      <c r="CM227" s="543" t="n"/>
      <c r="CN227" s="543" t="n"/>
      <c r="CO227" s="543" t="n"/>
      <c r="CP227" s="543" t="n"/>
      <c r="CQ227" s="543" t="n"/>
      <c r="CR227" s="543" t="n"/>
      <c r="CS227" s="543" t="n"/>
      <c r="CT227" s="543" t="n"/>
      <c r="CU227" s="543" t="n"/>
      <c r="CV227" s="543" t="n"/>
      <c r="CW227" s="543" t="n"/>
      <c r="CX227" s="543" t="n"/>
      <c r="CY227" s="543" t="n"/>
      <c r="CZ227" s="543" t="n"/>
      <c r="DA227" s="543" t="n"/>
      <c r="DB227" s="543" t="n"/>
      <c r="DC227" s="543" t="n"/>
      <c r="DD227" s="543" t="n"/>
      <c r="DE227" s="543" t="n"/>
      <c r="DF227" s="543" t="n"/>
      <c r="DG227" s="543" t="n"/>
      <c r="DH227" s="543" t="n"/>
      <c r="DI227" s="543" t="n"/>
      <c r="DJ227" s="543" t="n"/>
      <c r="DK227" s="543" t="n"/>
      <c r="DL227" s="543" t="n"/>
      <c r="DM227" s="543" t="n"/>
      <c r="DN227" s="543" t="n"/>
      <c r="DO227" s="543" t="n"/>
      <c r="DP227" s="543" t="n"/>
      <c r="DQ227" s="543" t="n"/>
      <c r="DR227" s="543" t="n"/>
      <c r="DS227" s="543" t="n"/>
      <c r="DT227" s="543" t="n"/>
      <c r="DU227" s="543" t="n"/>
    </row>
    <row r="228" ht="13" customHeight="1">
      <c r="G228" s="543" t="n"/>
      <c r="H228" s="543" t="n"/>
      <c r="I228" s="543" t="n"/>
      <c r="J228" s="543" t="n"/>
      <c r="K228" s="543" t="n"/>
      <c r="L228" s="543" t="n"/>
      <c r="M228" s="543" t="n"/>
      <c r="N228" s="543" t="n"/>
      <c r="O228" s="543" t="n"/>
      <c r="P228" s="543" t="n"/>
      <c r="Q228" s="543" t="n"/>
      <c r="R228" s="543" t="n"/>
      <c r="S228" s="543" t="n"/>
      <c r="T228" s="543" t="n"/>
      <c r="U228" s="543" t="n"/>
      <c r="V228" s="543" t="n"/>
      <c r="W228" s="543" t="n"/>
      <c r="X228" s="543" t="n"/>
      <c r="Y228" s="543" t="n"/>
      <c r="Z228" s="543" t="n"/>
      <c r="AA228" s="543" t="n"/>
      <c r="AB228" s="543" t="n"/>
      <c r="AC228" s="543" t="n"/>
      <c r="AD228" s="543" t="n"/>
      <c r="AE228" s="543" t="n"/>
      <c r="AF228" s="543" t="n"/>
      <c r="AG228" s="543" t="n"/>
      <c r="AH228" s="543" t="n"/>
      <c r="AI228" s="543" t="n"/>
      <c r="AJ228" s="543" t="n"/>
      <c r="AK228" s="543" t="n"/>
      <c r="AL228" s="543" t="n"/>
      <c r="AM228" s="543" t="n"/>
      <c r="AN228" s="543" t="n"/>
      <c r="AO228" s="543" t="n"/>
      <c r="AP228" s="543" t="n"/>
      <c r="AQ228" s="543" t="n"/>
      <c r="AR228" s="543" t="n"/>
      <c r="AS228" s="543" t="n"/>
      <c r="AT228" s="543" t="n"/>
      <c r="AU228" s="543" t="n"/>
      <c r="AV228" s="543" t="n"/>
      <c r="AW228" s="543" t="n"/>
      <c r="AX228" s="543" t="n"/>
      <c r="AY228" s="543" t="n"/>
      <c r="AZ228" s="543" t="n"/>
      <c r="BA228" s="543" t="n"/>
      <c r="BB228" s="543" t="n"/>
      <c r="BC228" s="543" t="n"/>
      <c r="BD228" s="543" t="n"/>
      <c r="BE228" s="543" t="n"/>
      <c r="BF228" s="543" t="n"/>
      <c r="BG228" s="543" t="n"/>
      <c r="BH228" s="543" t="n"/>
      <c r="BI228" s="543" t="n"/>
      <c r="BJ228" s="543" t="n"/>
      <c r="BK228" s="543" t="n"/>
      <c r="BL228" s="543" t="n"/>
      <c r="BM228" s="543" t="n"/>
      <c r="BN228" s="543" t="n"/>
      <c r="BO228" s="543" t="n"/>
      <c r="BP228" s="543" t="n"/>
      <c r="BQ228" s="543" t="n"/>
      <c r="BR228" s="543" t="n"/>
      <c r="BS228" s="543" t="n"/>
      <c r="BT228" s="543" t="n"/>
      <c r="BU228" s="543" t="n"/>
      <c r="BV228" s="543" t="n"/>
      <c r="BW228" s="543" t="n"/>
      <c r="BX228" s="543" t="n"/>
      <c r="BY228" s="543" t="n"/>
      <c r="BZ228" s="543" t="n"/>
      <c r="CA228" s="543" t="n"/>
      <c r="CB228" s="543" t="n"/>
      <c r="CC228" s="543" t="n"/>
      <c r="CD228" s="543" t="n"/>
      <c r="CE228" s="543" t="n"/>
      <c r="CF228" s="543" t="n"/>
      <c r="CG228" s="543" t="n"/>
      <c r="CH228" s="543" t="n"/>
      <c r="CI228" s="543" t="n"/>
      <c r="CJ228" s="543" t="n"/>
      <c r="CK228" s="543" t="n"/>
      <c r="CL228" s="543" t="n"/>
      <c r="CM228" s="543" t="n"/>
      <c r="CN228" s="543" t="n"/>
      <c r="CO228" s="543" t="n"/>
      <c r="CP228" s="543" t="n"/>
      <c r="CQ228" s="543" t="n"/>
      <c r="CR228" s="543" t="n"/>
      <c r="CS228" s="543" t="n"/>
      <c r="CT228" s="543" t="n"/>
      <c r="CU228" s="543" t="n"/>
      <c r="CV228" s="543" t="n"/>
      <c r="CW228" s="543" t="n"/>
      <c r="CX228" s="543" t="n"/>
      <c r="CY228" s="543" t="n"/>
      <c r="CZ228" s="543" t="n"/>
      <c r="DA228" s="543" t="n"/>
      <c r="DB228" s="543" t="n"/>
      <c r="DC228" s="543" t="n"/>
      <c r="DD228" s="543" t="n"/>
      <c r="DE228" s="543" t="n"/>
      <c r="DF228" s="543" t="n"/>
      <c r="DG228" s="543" t="n"/>
      <c r="DH228" s="543" t="n"/>
      <c r="DI228" s="543" t="n"/>
      <c r="DJ228" s="543" t="n"/>
      <c r="DK228" s="543" t="n"/>
      <c r="DL228" s="543" t="n"/>
      <c r="DM228" s="543" t="n"/>
      <c r="DN228" s="543" t="n"/>
      <c r="DO228" s="543" t="n"/>
      <c r="DP228" s="543" t="n"/>
      <c r="DQ228" s="543" t="n"/>
      <c r="DR228" s="543" t="n"/>
      <c r="DS228" s="543" t="n"/>
      <c r="DT228" s="543" t="n"/>
      <c r="DU228" s="543" t="n"/>
    </row>
    <row r="229" ht="13" customHeight="1">
      <c r="G229" s="543" t="n"/>
      <c r="H229" s="543" t="n"/>
      <c r="I229" s="543" t="n"/>
      <c r="J229" s="543" t="n"/>
      <c r="K229" s="543" t="n"/>
      <c r="L229" s="543" t="n"/>
      <c r="M229" s="543" t="n"/>
      <c r="N229" s="543" t="n"/>
      <c r="O229" s="543" t="n"/>
      <c r="P229" s="543" t="n"/>
      <c r="Q229" s="543" t="n"/>
      <c r="R229" s="543" t="n"/>
      <c r="S229" s="543" t="n"/>
      <c r="T229" s="543" t="n"/>
      <c r="U229" s="543" t="n"/>
      <c r="V229" s="543" t="n"/>
      <c r="W229" s="543" t="n"/>
      <c r="X229" s="543" t="n"/>
      <c r="Y229" s="543" t="n"/>
      <c r="Z229" s="543" t="n"/>
      <c r="AA229" s="543" t="n"/>
      <c r="AB229" s="543" t="n"/>
      <c r="AC229" s="543" t="n"/>
      <c r="AD229" s="543" t="n"/>
      <c r="AE229" s="543" t="n"/>
      <c r="AF229" s="543" t="n"/>
      <c r="AG229" s="543" t="n"/>
      <c r="AH229" s="543" t="n"/>
      <c r="AI229" s="543" t="n"/>
      <c r="AJ229" s="543" t="n"/>
      <c r="AK229" s="543" t="n"/>
      <c r="AL229" s="543" t="n"/>
      <c r="AM229" s="543" t="n"/>
      <c r="AN229" s="543" t="n"/>
      <c r="AO229" s="543" t="n"/>
      <c r="AP229" s="543" t="n"/>
      <c r="AQ229" s="543" t="n"/>
      <c r="AR229" s="543" t="n"/>
      <c r="AS229" s="543" t="n"/>
      <c r="AT229" s="543" t="n"/>
      <c r="AU229" s="543" t="n"/>
      <c r="AV229" s="543" t="n"/>
      <c r="AW229" s="543" t="n"/>
      <c r="AX229" s="543" t="n"/>
      <c r="AY229" s="543" t="n"/>
      <c r="AZ229" s="543" t="n"/>
      <c r="BA229" s="543" t="n"/>
      <c r="BB229" s="543" t="n"/>
      <c r="BC229" s="543" t="n"/>
      <c r="BD229" s="543" t="n"/>
      <c r="BE229" s="543" t="n"/>
      <c r="BF229" s="543" t="n"/>
      <c r="BG229" s="543" t="n"/>
      <c r="BH229" s="543" t="n"/>
      <c r="BI229" s="543" t="n"/>
      <c r="BJ229" s="543" t="n"/>
      <c r="BK229" s="543" t="n"/>
      <c r="BL229" s="543" t="n"/>
      <c r="BM229" s="543" t="n"/>
      <c r="BN229" s="543" t="n"/>
      <c r="BO229" s="543" t="n"/>
      <c r="BP229" s="543" t="n"/>
      <c r="BQ229" s="543" t="n"/>
      <c r="BR229" s="543" t="n"/>
      <c r="BS229" s="543" t="n"/>
      <c r="BT229" s="543" t="n"/>
      <c r="BU229" s="543" t="n"/>
      <c r="BV229" s="543" t="n"/>
      <c r="BW229" s="543" t="n"/>
      <c r="BX229" s="543" t="n"/>
      <c r="BY229" s="543" t="n"/>
      <c r="BZ229" s="543" t="n"/>
      <c r="CA229" s="543" t="n"/>
      <c r="CB229" s="543" t="n"/>
      <c r="CC229" s="543" t="n"/>
      <c r="CD229" s="543" t="n"/>
      <c r="CE229" s="543" t="n"/>
      <c r="CF229" s="543" t="n"/>
      <c r="CG229" s="543" t="n"/>
      <c r="CH229" s="543" t="n"/>
      <c r="CI229" s="543" t="n"/>
      <c r="CJ229" s="543" t="n"/>
      <c r="CK229" s="543" t="n"/>
      <c r="CL229" s="543" t="n"/>
      <c r="CM229" s="543" t="n"/>
      <c r="CN229" s="543" t="n"/>
      <c r="CO229" s="543" t="n"/>
      <c r="CP229" s="543" t="n"/>
      <c r="CQ229" s="543" t="n"/>
      <c r="CR229" s="543" t="n"/>
      <c r="CS229" s="543" t="n"/>
      <c r="CT229" s="543" t="n"/>
      <c r="CU229" s="543" t="n"/>
      <c r="CV229" s="543" t="n"/>
      <c r="CW229" s="543" t="n"/>
      <c r="CX229" s="543" t="n"/>
      <c r="CY229" s="543" t="n"/>
      <c r="CZ229" s="543" t="n"/>
      <c r="DA229" s="543" t="n"/>
      <c r="DB229" s="543" t="n"/>
      <c r="DC229" s="543" t="n"/>
      <c r="DD229" s="543" t="n"/>
      <c r="DE229" s="543" t="n"/>
      <c r="DF229" s="543" t="n"/>
      <c r="DG229" s="543" t="n"/>
      <c r="DH229" s="543" t="n"/>
      <c r="DI229" s="543" t="n"/>
      <c r="DJ229" s="543" t="n"/>
      <c r="DK229" s="543" t="n"/>
      <c r="DL229" s="543" t="n"/>
      <c r="DM229" s="543" t="n"/>
      <c r="DN229" s="543" t="n"/>
      <c r="DO229" s="543" t="n"/>
      <c r="DP229" s="543" t="n"/>
      <c r="DQ229" s="543" t="n"/>
      <c r="DR229" s="543" t="n"/>
      <c r="DS229" s="543" t="n"/>
      <c r="DT229" s="543" t="n"/>
      <c r="DU229" s="543" t="n"/>
    </row>
    <row r="230" ht="13" customHeight="1">
      <c r="G230" s="543" t="n"/>
      <c r="H230" s="543" t="n"/>
      <c r="I230" s="543" t="n"/>
      <c r="J230" s="543" t="n"/>
      <c r="K230" s="543" t="n"/>
      <c r="L230" s="543" t="n"/>
      <c r="M230" s="543" t="n"/>
      <c r="N230" s="543" t="n"/>
      <c r="O230" s="543" t="n"/>
      <c r="P230" s="543" t="n"/>
      <c r="Q230" s="543" t="n"/>
      <c r="R230" s="543" t="n"/>
      <c r="S230" s="543" t="n"/>
      <c r="T230" s="543" t="n"/>
      <c r="U230" s="543" t="n"/>
      <c r="V230" s="543" t="n"/>
      <c r="W230" s="543" t="n"/>
      <c r="X230" s="543" t="n"/>
      <c r="Y230" s="543" t="n"/>
      <c r="Z230" s="543" t="n"/>
      <c r="AA230" s="543" t="n"/>
      <c r="AB230" s="543" t="n"/>
      <c r="AC230" s="543" t="n"/>
      <c r="AD230" s="543" t="n"/>
      <c r="AE230" s="543" t="n"/>
      <c r="AF230" s="543" t="n"/>
      <c r="AG230" s="543" t="n"/>
      <c r="AH230" s="543" t="n"/>
      <c r="AI230" s="543" t="n"/>
      <c r="AJ230" s="543" t="n"/>
      <c r="AK230" s="543" t="n"/>
      <c r="AL230" s="543" t="n"/>
      <c r="AM230" s="543" t="n"/>
      <c r="AN230" s="543" t="n"/>
      <c r="AO230" s="543" t="n"/>
      <c r="AP230" s="543" t="n"/>
      <c r="AQ230" s="543" t="n"/>
      <c r="AR230" s="543" t="n"/>
      <c r="AS230" s="543" t="n"/>
      <c r="AT230" s="543" t="n"/>
      <c r="AU230" s="543" t="n"/>
      <c r="AV230" s="543" t="n"/>
      <c r="AW230" s="543" t="n"/>
      <c r="AX230" s="543" t="n"/>
      <c r="AY230" s="543" t="n"/>
      <c r="AZ230" s="543" t="n"/>
      <c r="BA230" s="543" t="n"/>
      <c r="BB230" s="543" t="n"/>
      <c r="BC230" s="543" t="n"/>
      <c r="BD230" s="543" t="n"/>
      <c r="BE230" s="543" t="n"/>
      <c r="BF230" s="543" t="n"/>
      <c r="BG230" s="543" t="n"/>
      <c r="BH230" s="543" t="n"/>
      <c r="BI230" s="543" t="n"/>
      <c r="BJ230" s="543" t="n"/>
      <c r="BK230" s="543" t="n"/>
      <c r="BL230" s="543" t="n"/>
      <c r="BM230" s="543" t="n"/>
      <c r="BN230" s="543" t="n"/>
      <c r="BO230" s="543" t="n"/>
      <c r="BP230" s="543" t="n"/>
      <c r="BQ230" s="543" t="n"/>
      <c r="BR230" s="543" t="n"/>
      <c r="BS230" s="543" t="n"/>
      <c r="BT230" s="543" t="n"/>
      <c r="BU230" s="543" t="n"/>
      <c r="BV230" s="543" t="n"/>
      <c r="BW230" s="543" t="n"/>
      <c r="BX230" s="543" t="n"/>
      <c r="BY230" s="543" t="n"/>
      <c r="BZ230" s="543" t="n"/>
      <c r="CA230" s="543" t="n"/>
      <c r="CB230" s="543" t="n"/>
      <c r="CC230" s="543" t="n"/>
      <c r="CD230" s="543" t="n"/>
      <c r="CE230" s="543" t="n"/>
      <c r="CF230" s="543" t="n"/>
      <c r="CG230" s="543" t="n"/>
      <c r="CH230" s="543" t="n"/>
      <c r="CI230" s="543" t="n"/>
      <c r="CJ230" s="543" t="n"/>
      <c r="CK230" s="543" t="n"/>
      <c r="CL230" s="543" t="n"/>
      <c r="CM230" s="543" t="n"/>
      <c r="CN230" s="543" t="n"/>
      <c r="CO230" s="543" t="n"/>
      <c r="CP230" s="543" t="n"/>
      <c r="CQ230" s="543" t="n"/>
      <c r="CR230" s="543" t="n"/>
      <c r="CS230" s="543" t="n"/>
      <c r="CT230" s="543" t="n"/>
      <c r="CU230" s="543" t="n"/>
      <c r="CV230" s="543" t="n"/>
      <c r="CW230" s="543" t="n"/>
      <c r="CX230" s="543" t="n"/>
      <c r="CY230" s="543" t="n"/>
      <c r="CZ230" s="543" t="n"/>
      <c r="DA230" s="543" t="n"/>
      <c r="DB230" s="543" t="n"/>
      <c r="DC230" s="543" t="n"/>
      <c r="DD230" s="543" t="n"/>
      <c r="DE230" s="543" t="n"/>
      <c r="DF230" s="543" t="n"/>
      <c r="DG230" s="543" t="n"/>
      <c r="DH230" s="543" t="n"/>
      <c r="DI230" s="543" t="n"/>
      <c r="DJ230" s="543" t="n"/>
      <c r="DK230" s="543" t="n"/>
      <c r="DL230" s="543" t="n"/>
      <c r="DM230" s="543" t="n"/>
      <c r="DN230" s="543" t="n"/>
      <c r="DO230" s="543" t="n"/>
      <c r="DP230" s="543" t="n"/>
      <c r="DQ230" s="543" t="n"/>
      <c r="DR230" s="543" t="n"/>
      <c r="DS230" s="543" t="n"/>
      <c r="DT230" s="543" t="n"/>
      <c r="DU230" s="543" t="n"/>
    </row>
    <row r="231" ht="13" customHeight="1">
      <c r="G231" s="543" t="n"/>
      <c r="H231" s="543" t="n"/>
      <c r="I231" s="543" t="n"/>
      <c r="J231" s="543" t="n"/>
      <c r="K231" s="543" t="n"/>
      <c r="L231" s="543" t="n"/>
      <c r="M231" s="543" t="n"/>
      <c r="N231" s="543" t="n"/>
      <c r="O231" s="543" t="n"/>
      <c r="P231" s="543" t="n"/>
      <c r="Q231" s="543" t="n"/>
      <c r="R231" s="543" t="n"/>
      <c r="S231" s="543" t="n"/>
      <c r="T231" s="543" t="n"/>
      <c r="U231" s="543" t="n"/>
      <c r="V231" s="543" t="n"/>
      <c r="W231" s="543" t="n"/>
      <c r="X231" s="543" t="n"/>
      <c r="Y231" s="543" t="n"/>
      <c r="Z231" s="543" t="n"/>
      <c r="AA231" s="543" t="n"/>
      <c r="AB231" s="543" t="n"/>
      <c r="AC231" s="543" t="n"/>
      <c r="AD231" s="543" t="n"/>
      <c r="AE231" s="543" t="n"/>
      <c r="AF231" s="543" t="n"/>
      <c r="AG231" s="543" t="n"/>
      <c r="AH231" s="543" t="n"/>
      <c r="AI231" s="543" t="n"/>
      <c r="AJ231" s="543" t="n"/>
      <c r="AK231" s="543" t="n"/>
      <c r="AL231" s="543" t="n"/>
      <c r="AM231" s="543" t="n"/>
      <c r="AN231" s="543" t="n"/>
      <c r="AO231" s="543" t="n"/>
      <c r="AP231" s="543" t="n"/>
      <c r="AQ231" s="543" t="n"/>
      <c r="AR231" s="543" t="n"/>
      <c r="AS231" s="543" t="n"/>
      <c r="AT231" s="543" t="n"/>
      <c r="AU231" s="543" t="n"/>
      <c r="AV231" s="543" t="n"/>
      <c r="AW231" s="543" t="n"/>
      <c r="AX231" s="543" t="n"/>
      <c r="AY231" s="543" t="n"/>
      <c r="AZ231" s="543" t="n"/>
      <c r="BA231" s="543" t="n"/>
      <c r="BB231" s="543" t="n"/>
      <c r="BC231" s="543" t="n"/>
      <c r="BD231" s="543" t="n"/>
      <c r="BE231" s="543" t="n"/>
      <c r="BF231" s="543" t="n"/>
      <c r="BG231" s="543" t="n"/>
      <c r="BH231" s="543" t="n"/>
      <c r="BI231" s="543" t="n"/>
      <c r="BJ231" s="543" t="n"/>
      <c r="BK231" s="543" t="n"/>
      <c r="BL231" s="543" t="n"/>
      <c r="BM231" s="543" t="n"/>
      <c r="BN231" s="543" t="n"/>
      <c r="BO231" s="543" t="n"/>
      <c r="BP231" s="543" t="n"/>
      <c r="BQ231" s="543" t="n"/>
      <c r="BR231" s="543" t="n"/>
      <c r="BS231" s="543" t="n"/>
      <c r="BT231" s="543" t="n"/>
      <c r="BU231" s="543" t="n"/>
      <c r="BV231" s="543" t="n"/>
      <c r="BW231" s="543" t="n"/>
      <c r="BX231" s="543" t="n"/>
      <c r="BY231" s="543" t="n"/>
      <c r="BZ231" s="543" t="n"/>
      <c r="CA231" s="543" t="n"/>
      <c r="CB231" s="543" t="n"/>
      <c r="CC231" s="543" t="n"/>
      <c r="CD231" s="543" t="n"/>
      <c r="CE231" s="543" t="n"/>
      <c r="CF231" s="543" t="n"/>
      <c r="CG231" s="543" t="n"/>
      <c r="CH231" s="543" t="n"/>
      <c r="CI231" s="543" t="n"/>
      <c r="CJ231" s="543" t="n"/>
      <c r="CK231" s="543" t="n"/>
      <c r="CL231" s="543" t="n"/>
      <c r="CM231" s="543" t="n"/>
      <c r="CN231" s="543" t="n"/>
      <c r="CO231" s="543" t="n"/>
      <c r="CP231" s="543" t="n"/>
      <c r="CQ231" s="543" t="n"/>
      <c r="CR231" s="543" t="n"/>
      <c r="CS231" s="543" t="n"/>
      <c r="CT231" s="543" t="n"/>
      <c r="CU231" s="543" t="n"/>
      <c r="CV231" s="543" t="n"/>
      <c r="CW231" s="543" t="n"/>
      <c r="CX231" s="543" t="n"/>
      <c r="CY231" s="543" t="n"/>
      <c r="CZ231" s="543" t="n"/>
      <c r="DA231" s="543" t="n"/>
      <c r="DB231" s="543" t="n"/>
      <c r="DC231" s="543" t="n"/>
      <c r="DD231" s="543" t="n"/>
      <c r="DE231" s="543" t="n"/>
      <c r="DF231" s="543" t="n"/>
      <c r="DG231" s="543" t="n"/>
      <c r="DH231" s="543" t="n"/>
      <c r="DI231" s="543" t="n"/>
      <c r="DJ231" s="543" t="n"/>
      <c r="DK231" s="543" t="n"/>
      <c r="DL231" s="543" t="n"/>
      <c r="DM231" s="543" t="n"/>
      <c r="DN231" s="543" t="n"/>
      <c r="DO231" s="543" t="n"/>
      <c r="DP231" s="543" t="n"/>
      <c r="DQ231" s="543" t="n"/>
      <c r="DR231" s="543" t="n"/>
      <c r="DS231" s="543" t="n"/>
      <c r="DT231" s="543" t="n"/>
      <c r="DU231" s="543" t="n"/>
    </row>
    <row r="232" ht="13" customHeight="1">
      <c r="G232" s="543" t="n"/>
      <c r="H232" s="543" t="n"/>
      <c r="I232" s="543" t="n"/>
      <c r="J232" s="543" t="n"/>
      <c r="K232" s="543" t="n"/>
      <c r="L232" s="543" t="n"/>
      <c r="M232" s="543" t="n"/>
      <c r="N232" s="543" t="n"/>
      <c r="O232" s="543" t="n"/>
      <c r="P232" s="543" t="n"/>
      <c r="Q232" s="543" t="n"/>
      <c r="R232" s="543" t="n"/>
      <c r="S232" s="543" t="n"/>
      <c r="T232" s="543" t="n"/>
      <c r="U232" s="543" t="n"/>
      <c r="V232" s="543" t="n"/>
      <c r="W232" s="543" t="n"/>
      <c r="X232" s="543" t="n"/>
      <c r="Y232" s="543" t="n"/>
      <c r="Z232" s="543" t="n"/>
      <c r="AA232" s="543" t="n"/>
      <c r="AB232" s="543" t="n"/>
      <c r="AC232" s="543" t="n"/>
      <c r="AD232" s="543" t="n"/>
      <c r="AE232" s="543" t="n"/>
      <c r="AF232" s="543" t="n"/>
      <c r="AG232" s="543" t="n"/>
      <c r="AH232" s="543" t="n"/>
      <c r="AI232" s="543" t="n"/>
      <c r="AJ232" s="543" t="n"/>
      <c r="AK232" s="543" t="n"/>
      <c r="AL232" s="543" t="n"/>
      <c r="AM232" s="543" t="n"/>
      <c r="AN232" s="543" t="n"/>
      <c r="AO232" s="543" t="n"/>
      <c r="AP232" s="543" t="n"/>
      <c r="AQ232" s="543" t="n"/>
      <c r="AR232" s="543" t="n"/>
      <c r="AS232" s="543" t="n"/>
      <c r="AT232" s="543" t="n"/>
      <c r="AU232" s="543" t="n"/>
      <c r="AV232" s="543" t="n"/>
      <c r="AW232" s="543" t="n"/>
      <c r="AX232" s="543" t="n"/>
      <c r="AY232" s="543" t="n"/>
      <c r="AZ232" s="543" t="n"/>
      <c r="BA232" s="543" t="n"/>
      <c r="BB232" s="543" t="n"/>
      <c r="BC232" s="543" t="n"/>
      <c r="BD232" s="543" t="n"/>
      <c r="BE232" s="543" t="n"/>
      <c r="BF232" s="543" t="n"/>
      <c r="BG232" s="543" t="n"/>
      <c r="BH232" s="543" t="n"/>
      <c r="BI232" s="543" t="n"/>
      <c r="BJ232" s="543" t="n"/>
      <c r="BK232" s="543" t="n"/>
      <c r="BL232" s="543" t="n"/>
      <c r="BM232" s="543" t="n"/>
      <c r="BN232" s="543" t="n"/>
      <c r="BO232" s="543" t="n"/>
      <c r="BP232" s="543" t="n"/>
      <c r="BQ232" s="543" t="n"/>
      <c r="BR232" s="543" t="n"/>
      <c r="BS232" s="543" t="n"/>
      <c r="BT232" s="543" t="n"/>
      <c r="BU232" s="543" t="n"/>
      <c r="BV232" s="543" t="n"/>
      <c r="BW232" s="543" t="n"/>
      <c r="BX232" s="543" t="n"/>
      <c r="BY232" s="543" t="n"/>
      <c r="BZ232" s="543" t="n"/>
      <c r="CA232" s="543" t="n"/>
      <c r="CB232" s="543" t="n"/>
      <c r="CC232" s="543" t="n"/>
      <c r="CD232" s="543" t="n"/>
      <c r="CE232" s="543" t="n"/>
      <c r="CF232" s="543" t="n"/>
      <c r="CG232" s="543" t="n"/>
      <c r="CH232" s="543" t="n"/>
      <c r="CI232" s="543" t="n"/>
      <c r="CJ232" s="543" t="n"/>
      <c r="CK232" s="543" t="n"/>
      <c r="CL232" s="543" t="n"/>
      <c r="CM232" s="543" t="n"/>
      <c r="CN232" s="543" t="n"/>
      <c r="CO232" s="543" t="n"/>
      <c r="CP232" s="543" t="n"/>
      <c r="CQ232" s="543" t="n"/>
      <c r="CR232" s="543" t="n"/>
      <c r="CS232" s="543" t="n"/>
      <c r="CT232" s="543" t="n"/>
      <c r="CU232" s="543" t="n"/>
      <c r="CV232" s="543" t="n"/>
      <c r="CW232" s="543" t="n"/>
      <c r="CX232" s="543" t="n"/>
      <c r="CY232" s="543" t="n"/>
      <c r="CZ232" s="543" t="n"/>
      <c r="DA232" s="543" t="n"/>
      <c r="DB232" s="543" t="n"/>
      <c r="DC232" s="543" t="n"/>
      <c r="DD232" s="543" t="n"/>
      <c r="DE232" s="543" t="n"/>
      <c r="DF232" s="543" t="n"/>
      <c r="DG232" s="543" t="n"/>
      <c r="DH232" s="543" t="n"/>
      <c r="DI232" s="543" t="n"/>
      <c r="DJ232" s="543" t="n"/>
      <c r="DK232" s="543" t="n"/>
      <c r="DL232" s="543" t="n"/>
      <c r="DM232" s="543" t="n"/>
      <c r="DN232" s="543" t="n"/>
      <c r="DO232" s="543" t="n"/>
      <c r="DP232" s="543" t="n"/>
      <c r="DQ232" s="543" t="n"/>
      <c r="DR232" s="543" t="n"/>
      <c r="DS232" s="543" t="n"/>
      <c r="DT232" s="543" t="n"/>
      <c r="DU232" s="543" t="n"/>
    </row>
    <row r="233" ht="13" customHeight="1">
      <c r="G233" s="543" t="n"/>
      <c r="H233" s="543" t="n"/>
      <c r="I233" s="543" t="n"/>
      <c r="J233" s="543" t="n"/>
      <c r="K233" s="543" t="n"/>
      <c r="L233" s="543" t="n"/>
      <c r="M233" s="543" t="n"/>
      <c r="N233" s="543" t="n"/>
      <c r="O233" s="543" t="n"/>
      <c r="P233" s="543" t="n"/>
      <c r="Q233" s="543" t="n"/>
      <c r="R233" s="543" t="n"/>
      <c r="S233" s="543" t="n"/>
      <c r="T233" s="543" t="n"/>
      <c r="U233" s="543" t="n"/>
      <c r="V233" s="543" t="n"/>
      <c r="W233" s="543" t="n"/>
      <c r="X233" s="543" t="n"/>
      <c r="Y233" s="543" t="n"/>
      <c r="Z233" s="543" t="n"/>
      <c r="AA233" s="543" t="n"/>
      <c r="AB233" s="543" t="n"/>
      <c r="AC233" s="543" t="n"/>
      <c r="AD233" s="543" t="n"/>
      <c r="AE233" s="543" t="n"/>
      <c r="AF233" s="543" t="n"/>
      <c r="AG233" s="543" t="n"/>
      <c r="AH233" s="543" t="n"/>
      <c r="AI233" s="543" t="n"/>
      <c r="AJ233" s="543" t="n"/>
      <c r="AK233" s="543" t="n"/>
      <c r="AL233" s="543" t="n"/>
      <c r="AM233" s="543" t="n"/>
      <c r="AN233" s="543" t="n"/>
      <c r="AO233" s="543" t="n"/>
      <c r="AP233" s="543" t="n"/>
      <c r="AQ233" s="543" t="n"/>
      <c r="AR233" s="543" t="n"/>
      <c r="AS233" s="543" t="n"/>
      <c r="AT233" s="543" t="n"/>
      <c r="AU233" s="543" t="n"/>
      <c r="AV233" s="543" t="n"/>
      <c r="AW233" s="543" t="n"/>
      <c r="AX233" s="543" t="n"/>
      <c r="AY233" s="543" t="n"/>
      <c r="AZ233" s="543" t="n"/>
      <c r="BA233" s="543" t="n"/>
      <c r="BB233" s="543" t="n"/>
      <c r="BC233" s="543" t="n"/>
      <c r="BD233" s="543" t="n"/>
      <c r="BE233" s="543" t="n"/>
      <c r="BF233" s="543" t="n"/>
      <c r="BG233" s="543" t="n"/>
      <c r="BH233" s="543" t="n"/>
      <c r="BI233" s="543" t="n"/>
      <c r="BJ233" s="543" t="n"/>
      <c r="BK233" s="543" t="n"/>
      <c r="BL233" s="543" t="n"/>
      <c r="BM233" s="543" t="n"/>
      <c r="BN233" s="543" t="n"/>
      <c r="BO233" s="543" t="n"/>
      <c r="BP233" s="543" t="n"/>
      <c r="BQ233" s="543" t="n"/>
      <c r="BR233" s="543" t="n"/>
      <c r="BS233" s="543" t="n"/>
      <c r="BT233" s="543" t="n"/>
      <c r="BU233" s="543" t="n"/>
      <c r="BV233" s="543" t="n"/>
      <c r="BW233" s="543" t="n"/>
      <c r="BX233" s="543" t="n"/>
      <c r="BY233" s="543" t="n"/>
      <c r="BZ233" s="543" t="n"/>
      <c r="CA233" s="543" t="n"/>
      <c r="CB233" s="543" t="n"/>
      <c r="CC233" s="543" t="n"/>
      <c r="CD233" s="543" t="n"/>
      <c r="CE233" s="543" t="n"/>
      <c r="CF233" s="543" t="n"/>
      <c r="CG233" s="543" t="n"/>
      <c r="CH233" s="543" t="n"/>
      <c r="CI233" s="543" t="n"/>
      <c r="CJ233" s="543" t="n"/>
      <c r="CK233" s="543" t="n"/>
      <c r="CL233" s="543" t="n"/>
      <c r="CM233" s="543" t="n"/>
      <c r="CN233" s="543" t="n"/>
      <c r="CO233" s="543" t="n"/>
      <c r="CP233" s="543" t="n"/>
      <c r="CQ233" s="543" t="n"/>
      <c r="CR233" s="543" t="n"/>
      <c r="CS233" s="543" t="n"/>
      <c r="CT233" s="543" t="n"/>
      <c r="CU233" s="543" t="n"/>
      <c r="CV233" s="543" t="n"/>
      <c r="CW233" s="543" t="n"/>
      <c r="CX233" s="543" t="n"/>
      <c r="CY233" s="543" t="n"/>
      <c r="CZ233" s="543" t="n"/>
      <c r="DA233" s="543" t="n"/>
      <c r="DB233" s="543" t="n"/>
      <c r="DC233" s="543" t="n"/>
      <c r="DD233" s="543" t="n"/>
      <c r="DE233" s="543" t="n"/>
      <c r="DF233" s="543" t="n"/>
      <c r="DG233" s="543" t="n"/>
      <c r="DH233" s="543" t="n"/>
      <c r="DI233" s="543" t="n"/>
      <c r="DJ233" s="543" t="n"/>
      <c r="DK233" s="543" t="n"/>
      <c r="DL233" s="543" t="n"/>
      <c r="DM233" s="543" t="n"/>
      <c r="DN233" s="543" t="n"/>
      <c r="DO233" s="543" t="n"/>
      <c r="DP233" s="543" t="n"/>
      <c r="DQ233" s="543" t="n"/>
      <c r="DR233" s="543" t="n"/>
      <c r="DS233" s="543" t="n"/>
      <c r="DT233" s="543" t="n"/>
      <c r="DU233" s="543" t="n"/>
    </row>
    <row r="234" ht="13" customHeight="1">
      <c r="F234" t="n">
        <v>2025</v>
      </c>
      <c r="G234" s="543" t="n"/>
      <c r="H234" s="543" t="n"/>
      <c r="I234" s="543" t="n"/>
      <c r="J234" s="543" t="n"/>
      <c r="K234" s="543" t="n"/>
      <c r="L234" s="543" t="n"/>
      <c r="M234" s="543" t="n"/>
      <c r="N234" s="543" t="n"/>
      <c r="O234" s="543" t="n"/>
      <c r="P234" s="543" t="n"/>
      <c r="Q234" s="543" t="n"/>
      <c r="R234" s="543" t="n"/>
      <c r="S234" s="543" t="n"/>
      <c r="T234" s="543" t="n"/>
      <c r="U234" s="543" t="n"/>
      <c r="V234" s="543" t="n"/>
      <c r="W234" s="543" t="n"/>
      <c r="X234" s="543" t="n"/>
      <c r="Y234" s="543" t="n"/>
      <c r="Z234" s="543" t="n"/>
      <c r="AA234" s="543" t="n"/>
      <c r="AB234" s="543" t="n"/>
      <c r="AC234" s="543" t="n"/>
      <c r="AD234" s="543" t="n"/>
      <c r="AE234" s="543" t="n"/>
      <c r="AF234" s="543" t="n"/>
      <c r="AG234" s="543" t="n"/>
      <c r="AH234" s="543" t="n"/>
      <c r="AI234" s="543" t="n"/>
      <c r="AJ234" s="543" t="n"/>
      <c r="AK234" s="543" t="n"/>
      <c r="AL234" s="543" t="n"/>
      <c r="AM234" s="543" t="n"/>
      <c r="AN234" s="543" t="n"/>
      <c r="AO234" s="543" t="n"/>
      <c r="AP234" s="543" t="n"/>
      <c r="AQ234" s="543" t="n"/>
      <c r="AR234" s="543" t="n"/>
      <c r="AS234" s="543" t="n"/>
      <c r="AT234" s="543" t="n"/>
      <c r="AU234" s="543" t="n"/>
      <c r="AV234" s="543" t="n"/>
      <c r="AW234" s="543" t="n"/>
      <c r="AX234" s="543" t="n"/>
      <c r="AY234" s="543" t="n"/>
      <c r="AZ234" s="543" t="n"/>
      <c r="BA234" s="543" t="n"/>
      <c r="BB234" s="543" t="n"/>
      <c r="BC234" s="543" t="n"/>
      <c r="BD234" s="543" t="n"/>
      <c r="BE234" s="543" t="n"/>
      <c r="BF234" s="543" t="n"/>
      <c r="BG234" s="543" t="n"/>
      <c r="BH234" s="543" t="n"/>
      <c r="BI234" s="543" t="n"/>
      <c r="BJ234" s="543" t="n"/>
      <c r="BK234" s="543" t="n"/>
      <c r="BL234" s="543" t="n"/>
      <c r="BM234" s="543" t="n"/>
      <c r="BN234" s="543" t="n"/>
      <c r="BO234" s="543" t="n"/>
      <c r="BP234" s="543" t="n"/>
      <c r="BQ234" s="543" t="n"/>
      <c r="BR234" s="543" t="n"/>
      <c r="BS234" s="543" t="n"/>
      <c r="BT234" s="543" t="n"/>
      <c r="BU234" s="543" t="n"/>
      <c r="BV234" s="543" t="n"/>
      <c r="BW234" s="543" t="n"/>
      <c r="BX234" s="543" t="n"/>
      <c r="BY234" s="543" t="n"/>
      <c r="BZ234" s="543" t="n"/>
      <c r="CA234" s="543" t="n"/>
      <c r="CB234" s="543" t="n"/>
      <c r="CC234" s="543" t="n"/>
      <c r="CD234" s="543" t="n"/>
      <c r="CE234" s="543" t="n"/>
      <c r="CF234" s="543" t="n"/>
      <c r="CG234" s="543" t="n"/>
      <c r="CH234" s="543" t="n"/>
      <c r="CI234" s="543" t="n"/>
      <c r="CJ234" s="543" t="n"/>
      <c r="CK234" s="543" t="n"/>
      <c r="CL234" s="543" t="n"/>
      <c r="CM234" s="543" t="n"/>
      <c r="CN234" s="543" t="n"/>
      <c r="CO234" s="543" t="n"/>
      <c r="CP234" s="543" t="n"/>
      <c r="CQ234" s="543" t="n"/>
      <c r="CR234" s="543" t="n"/>
      <c r="CS234" s="543" t="n"/>
      <c r="CT234" s="543" t="n"/>
      <c r="CU234" s="543" t="n"/>
      <c r="CV234" s="543" t="n"/>
      <c r="CW234" s="543" t="n"/>
      <c r="CX234" s="543" t="n"/>
      <c r="CY234" s="543" t="n"/>
      <c r="CZ234" s="543" t="n"/>
      <c r="DA234" s="543" t="n"/>
      <c r="DB234" s="543" t="n"/>
      <c r="DC234" s="543" t="n"/>
      <c r="DD234" s="543" t="n"/>
      <c r="DE234" s="543" t="n"/>
      <c r="DF234" s="543" t="n"/>
      <c r="DG234" s="543" t="n"/>
      <c r="DH234" s="543" t="n"/>
      <c r="DI234" s="543" t="n"/>
      <c r="DJ234" s="543" t="n"/>
      <c r="DK234" s="543" t="n"/>
      <c r="DL234" s="543" t="n"/>
      <c r="DM234" s="543" t="n"/>
      <c r="DN234" s="543" t="n"/>
      <c r="DO234" s="543" t="n"/>
      <c r="DP234" s="543" t="n"/>
      <c r="DQ234" s="543" t="n"/>
      <c r="DR234" s="543" t="n"/>
      <c r="DS234" s="543" t="n"/>
      <c r="DT234" s="543" t="n"/>
      <c r="DU234" s="543" t="n"/>
    </row>
    <row r="235" ht="13" customHeight="1">
      <c r="F235" t="n">
        <v>2026</v>
      </c>
      <c r="G235" s="543" t="n"/>
      <c r="H235" s="543" t="n"/>
      <c r="I235" s="543" t="n"/>
      <c r="J235" s="543" t="n"/>
      <c r="K235" s="543" t="n"/>
      <c r="L235" s="543" t="n"/>
      <c r="M235" s="543" t="n"/>
      <c r="N235" s="543" t="n"/>
      <c r="O235" s="543" t="n"/>
      <c r="P235" s="543" t="n"/>
      <c r="Q235" s="543" t="n"/>
      <c r="R235" s="543" t="n"/>
      <c r="S235" s="543" t="n"/>
      <c r="T235" s="543" t="n"/>
      <c r="U235" s="543" t="n"/>
      <c r="V235" s="543" t="n"/>
      <c r="W235" s="543" t="n"/>
      <c r="X235" s="543" t="n"/>
      <c r="Y235" s="543" t="n"/>
      <c r="Z235" s="543" t="n"/>
      <c r="AA235" s="543" t="n"/>
      <c r="AB235" s="543" t="n"/>
      <c r="AC235" s="543" t="n"/>
      <c r="AD235" s="543" t="n"/>
      <c r="AE235" s="543" t="n"/>
      <c r="AF235" s="543" t="n"/>
      <c r="AG235" s="543" t="n"/>
      <c r="AH235" s="543" t="n"/>
      <c r="AI235" s="543" t="n"/>
      <c r="AJ235" s="543" t="n"/>
      <c r="AK235" s="543" t="n"/>
      <c r="AL235" s="543" t="n"/>
      <c r="AM235" s="543" t="n"/>
      <c r="AN235" s="543" t="n"/>
      <c r="AO235" s="543" t="n"/>
      <c r="AP235" s="543" t="n"/>
      <c r="AQ235" s="543" t="n"/>
      <c r="AR235" s="543" t="n"/>
      <c r="AS235" s="543" t="n"/>
      <c r="AT235" s="543" t="n"/>
      <c r="AU235" s="543" t="n"/>
      <c r="AV235" s="543" t="n"/>
      <c r="AW235" s="543" t="n"/>
      <c r="AX235" s="543" t="n"/>
      <c r="AY235" s="543" t="n"/>
      <c r="AZ235" s="543" t="n"/>
      <c r="BA235" s="543" t="n"/>
      <c r="BB235" s="543" t="n"/>
      <c r="BC235" s="543" t="n"/>
      <c r="BD235" s="543" t="n"/>
      <c r="BE235" s="543" t="n"/>
      <c r="BF235" s="543" t="n"/>
      <c r="BG235" s="543" t="n"/>
      <c r="BH235" s="543" t="n"/>
      <c r="BI235" s="543" t="n"/>
      <c r="BJ235" s="543" t="n"/>
      <c r="BK235" s="543" t="n"/>
      <c r="BL235" s="543" t="n"/>
      <c r="BM235" s="543" t="n"/>
      <c r="BN235" s="543" t="n"/>
      <c r="BO235" s="543" t="n"/>
      <c r="BP235" s="543" t="n"/>
      <c r="BQ235" s="543" t="n"/>
      <c r="BR235" s="543" t="n"/>
      <c r="BS235" s="543" t="n"/>
      <c r="BT235" s="543" t="n"/>
      <c r="BU235" s="543" t="n"/>
      <c r="BV235" s="543" t="n"/>
      <c r="BW235" s="543" t="n"/>
      <c r="BX235" s="543" t="n"/>
      <c r="BY235" s="543" t="n"/>
      <c r="BZ235" s="543" t="n"/>
      <c r="CA235" s="543" t="n"/>
      <c r="CB235" s="543" t="n"/>
      <c r="CC235" s="543" t="n"/>
      <c r="CD235" s="543" t="n"/>
      <c r="CE235" s="543" t="n"/>
      <c r="CF235" s="543" t="n"/>
      <c r="CG235" s="543" t="n"/>
      <c r="CH235" s="543" t="n"/>
      <c r="CI235" s="543" t="n"/>
      <c r="CJ235" s="543" t="n"/>
      <c r="CK235" s="543" t="n"/>
      <c r="CL235" s="543" t="n"/>
      <c r="CM235" s="543" t="n"/>
      <c r="CN235" s="543" t="n"/>
      <c r="CO235" s="543" t="n"/>
      <c r="CP235" s="543" t="n"/>
      <c r="CQ235" s="543" t="n"/>
      <c r="CR235" s="543" t="n"/>
      <c r="CS235" s="543" t="n"/>
      <c r="CT235" s="543" t="n"/>
      <c r="CU235" s="543" t="n"/>
      <c r="CV235" s="543" t="n"/>
      <c r="CW235" s="543" t="n"/>
      <c r="CX235" s="543" t="n"/>
      <c r="CY235" s="543" t="n"/>
      <c r="CZ235" s="543" t="n"/>
      <c r="DA235" s="543" t="n"/>
      <c r="DB235" s="543" t="n"/>
      <c r="DC235" s="543" t="n"/>
      <c r="DD235" s="543" t="n"/>
      <c r="DE235" s="543" t="n"/>
      <c r="DF235" s="543" t="n"/>
      <c r="DG235" s="543" t="n"/>
      <c r="DH235" s="543" t="n"/>
      <c r="DI235" s="543" t="n"/>
      <c r="DJ235" s="543" t="n"/>
      <c r="DK235" s="543" t="n"/>
      <c r="DL235" s="543" t="n"/>
      <c r="DM235" s="543" t="n"/>
      <c r="DN235" s="543" t="n"/>
      <c r="DO235" s="543" t="n"/>
      <c r="DP235" s="543" t="n"/>
      <c r="DQ235" s="543" t="n"/>
      <c r="DR235" s="543" t="n"/>
      <c r="DS235" s="543" t="n"/>
      <c r="DT235" s="543" t="n"/>
      <c r="DU235" s="543" t="n"/>
    </row>
    <row r="236" ht="13" customHeight="1">
      <c r="F236" t="n">
        <v>2027</v>
      </c>
    </row>
    <row r="237" ht="13" customHeight="1">
      <c r="F237" t="n">
        <v>2028</v>
      </c>
    </row>
    <row r="238" ht="13" customHeight="1">
      <c r="F238" t="n">
        <v>2029</v>
      </c>
    </row>
    <row r="239" ht="13" customHeight="1">
      <c r="F239" t="n">
        <v>2030</v>
      </c>
    </row>
    <row r="240" ht="13" customHeight="1">
      <c r="F240" t="inlineStr">
        <is>
          <t xml:space="preserve"> </t>
        </is>
      </c>
    </row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2.75" customHeight="1"/>
    <row r="260" ht="12.75" customHeight="1"/>
    <row r="261" ht="12.75" customFormat="1" customHeight="1" s="19"/>
    <row r="262" ht="12.75" customFormat="1" customHeight="1" s="19"/>
    <row r="263" ht="12.75" customFormat="1" customHeight="1" s="19"/>
    <row r="264" ht="12.75" customFormat="1" customHeight="1" s="19"/>
    <row r="265" ht="12.75" customHeight="1"/>
    <row r="266" ht="12.75" customFormat="1" customHeight="1" s="19"/>
    <row r="267" ht="12.75" customHeight="1"/>
    <row r="268" ht="12.75" customFormat="1" customHeight="1" s="19"/>
    <row r="269" ht="12.75" customFormat="1" customHeight="1" s="19"/>
    <row r="270" ht="12.75" customFormat="1" customHeight="1" s="19"/>
    <row r="271" ht="12.75" customFormat="1" customHeight="1" s="19"/>
    <row r="272" ht="12.75" customFormat="1" customHeight="1" s="19"/>
    <row r="273" ht="12.75" customFormat="1" customHeight="1" s="19"/>
    <row r="274" ht="12.75" customFormat="1" customHeight="1" s="19"/>
    <row r="275" ht="12.75" customFormat="1" customHeight="1" s="19"/>
    <row r="276" ht="2.25" customFormat="1" customHeight="1" s="19"/>
    <row r="277" ht="12.75" customFormat="1" customHeight="1" s="19"/>
    <row r="278" ht="12.75" customFormat="1" customHeight="1" s="20"/>
    <row r="279" ht="12.75" customFormat="1" customHeight="1" s="20"/>
    <row r="280" ht="12.75" customFormat="1" customHeight="1" s="20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Format="1" customHeight="1" s="19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>
      <c r="B317" s="2" t="n"/>
      <c r="C317" s="15" t="n"/>
      <c r="D317" s="21" t="n"/>
      <c r="F317" s="1429" t="n"/>
    </row>
    <row r="318" ht="12.75" customHeight="1">
      <c r="B318" s="2" t="n"/>
      <c r="C318" s="15" t="n"/>
      <c r="D318" s="21" t="n"/>
      <c r="F318" s="1429" t="n"/>
    </row>
    <row r="319">
      <c r="B319" s="2" t="n"/>
      <c r="C319" s="15" t="n"/>
      <c r="D319" s="21" t="n"/>
      <c r="F319" s="1429" t="n"/>
    </row>
    <row r="320">
      <c r="B320" s="2" t="n"/>
      <c r="C320" s="15" t="n"/>
      <c r="D320" s="21" t="n"/>
      <c r="F320" s="1429" t="n"/>
    </row>
    <row r="321">
      <c r="B321" s="2" t="n"/>
      <c r="C321" s="15" t="n"/>
      <c r="D321" s="21" t="n"/>
      <c r="F321" s="1429" t="n"/>
    </row>
    <row r="322">
      <c r="B322" s="2" t="n"/>
      <c r="C322" s="15" t="n"/>
      <c r="D322" s="21" t="n"/>
      <c r="F322" s="1429" t="n"/>
    </row>
    <row r="323">
      <c r="F323" s="1430" t="n"/>
    </row>
    <row r="324">
      <c r="F324" s="1430" t="n"/>
    </row>
    <row r="325">
      <c r="F325" s="1430" t="n"/>
    </row>
    <row r="326">
      <c r="F326" s="1430" t="n"/>
    </row>
    <row r="327">
      <c r="F327" s="1430" t="n"/>
    </row>
    <row r="328">
      <c r="F328" s="1430" t="n"/>
    </row>
    <row r="329">
      <c r="F329" s="1430" t="n"/>
    </row>
    <row r="330">
      <c r="F330" s="1430" t="n"/>
    </row>
  </sheetData>
  <mergeCells count="40">
    <mergeCell ref="AW218:BH218"/>
    <mergeCell ref="U218:AF218"/>
    <mergeCell ref="AI217:AT217"/>
    <mergeCell ref="U225:AF225"/>
    <mergeCell ref="AI222:AT222"/>
    <mergeCell ref="AW226:BH226"/>
    <mergeCell ref="AW221:BH221"/>
    <mergeCell ref="G220:R220"/>
    <mergeCell ref="AW223:BH223"/>
    <mergeCell ref="AI218:AT218"/>
    <mergeCell ref="G222:R222"/>
    <mergeCell ref="G225:R225"/>
    <mergeCell ref="U224:AF224"/>
    <mergeCell ref="U220:AF220"/>
    <mergeCell ref="AI223:AT223"/>
    <mergeCell ref="AW222:BH222"/>
    <mergeCell ref="AI220:AT220"/>
    <mergeCell ref="AW224:BH224"/>
    <mergeCell ref="G218:R218"/>
    <mergeCell ref="AI219:AT219"/>
    <mergeCell ref="G221:R221"/>
    <mergeCell ref="G217:R217"/>
    <mergeCell ref="G226:R226"/>
    <mergeCell ref="AI224:AT224"/>
    <mergeCell ref="AI226:AT226"/>
    <mergeCell ref="U221:AF221"/>
    <mergeCell ref="G223:R223"/>
    <mergeCell ref="AW220:BH220"/>
    <mergeCell ref="AW217:BH217"/>
    <mergeCell ref="AW219:BH219"/>
    <mergeCell ref="AI225:AT225"/>
    <mergeCell ref="U223:AF223"/>
    <mergeCell ref="U217:AF217"/>
    <mergeCell ref="U226:AF226"/>
    <mergeCell ref="AI221:AT221"/>
    <mergeCell ref="U222:AF222"/>
    <mergeCell ref="AW225:BH225"/>
    <mergeCell ref="G219:R219"/>
    <mergeCell ref="G224:R224"/>
    <mergeCell ref="U219:AF219"/>
  </mergeCells>
  <conditionalFormatting sqref="F3">
    <cfRule type="cellIs" priority="1" operator="equal" dxfId="2" stopIfTrue="1">
      <formula>"actual"</formula>
    </cfRule>
    <cfRule type="cellIs" priority="2" operator="equal" dxfId="1" stopIfTrue="1">
      <formula>"act/fcst"</formula>
    </cfRule>
    <cfRule type="cellIs" priority="3" operator="equal" dxfId="0" stopIfTrue="1">
      <formula>"budget"</formula>
    </cfRule>
  </conditionalFormatting>
  <dataValidations disablePrompts="1" count="1">
    <dataValidation sqref="F3" showDropDown="0" showInputMessage="1" showErrorMessage="1" allowBlank="1" type="list">
      <formula1>data_type</formula1>
    </dataValidation>
  </dataValidation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4:P35"/>
  <sheetViews>
    <sheetView topLeftCell="A5" workbookViewId="0">
      <selection activeCell="C27" sqref="C27"/>
    </sheetView>
  </sheetViews>
  <sheetFormatPr baseColWidth="10" defaultColWidth="10.6640625" defaultRowHeight="15"/>
  <cols>
    <col width="32.83203125" bestFit="1" customWidth="1" min="2" max="2"/>
    <col width="20" bestFit="1" customWidth="1" min="3" max="3"/>
    <col width="1.83203125" customWidth="1" min="4" max="4"/>
    <col width="20.5" bestFit="1" customWidth="1" min="5" max="5"/>
    <col width="1.6640625" customWidth="1" min="6" max="6"/>
    <col width="20.5" bestFit="1" customWidth="1" min="7" max="7"/>
    <col width="2.33203125" customWidth="1" min="8" max="8"/>
    <col width="20" bestFit="1" customWidth="1" min="9" max="9"/>
  </cols>
  <sheetData>
    <row r="4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</row>
    <row r="5" ht="22" customHeight="1" thickBot="1">
      <c r="B5" s="226" t="inlineStr">
        <is>
          <t xml:space="preserve"> </t>
        </is>
      </c>
      <c r="C5" s="759" t="n">
        <v>2025</v>
      </c>
      <c r="D5" s="759" t="n"/>
      <c r="E5" s="759" t="n">
        <v>2026</v>
      </c>
      <c r="F5" s="759" t="n"/>
      <c r="G5" s="759" t="n">
        <v>2027</v>
      </c>
      <c r="H5" s="759" t="n"/>
      <c r="I5" s="759" t="n">
        <v>2028</v>
      </c>
      <c r="J5" s="135" t="n"/>
      <c r="K5" s="46" t="n"/>
      <c r="L5" s="46" t="n"/>
      <c r="M5" s="46" t="n"/>
      <c r="N5" s="46" t="n"/>
      <c r="O5" s="46" t="n"/>
      <c r="P5" s="46" t="n"/>
    </row>
    <row r="6" ht="8" customHeight="1">
      <c r="B6" s="226" t="n"/>
      <c r="C6" s="760" t="n"/>
      <c r="D6" s="760" t="n"/>
      <c r="E6" s="760" t="n"/>
      <c r="F6" s="760" t="n"/>
      <c r="G6" s="760" t="n"/>
      <c r="H6" s="760" t="n"/>
      <c r="I6" s="760" t="n"/>
      <c r="J6" s="135" t="n"/>
      <c r="K6" s="46" t="n"/>
      <c r="L6" s="46" t="n"/>
      <c r="M6" s="46" t="n"/>
      <c r="N6" s="46" t="n"/>
      <c r="O6" s="46" t="n"/>
      <c r="P6" s="46" t="n"/>
    </row>
    <row r="7" ht="21" customHeight="1">
      <c r="B7" s="226" t="inlineStr">
        <is>
          <t xml:space="preserve">Revenue </t>
        </is>
      </c>
      <c r="C7" s="1431">
        <f>'P&amp;L Projections'!S24</f>
        <v/>
      </c>
      <c r="D7" s="1431" t="n"/>
      <c r="E7" s="1431">
        <f>'P&amp;L Projections'!AG24</f>
        <v/>
      </c>
      <c r="F7" s="1431" t="n"/>
      <c r="G7" s="1431">
        <f>'P&amp;L Projections'!AU24</f>
        <v/>
      </c>
      <c r="H7" s="1431" t="n"/>
      <c r="I7" s="1431">
        <f>'P&amp;L Projections'!BI24</f>
        <v/>
      </c>
      <c r="J7" s="135" t="n"/>
      <c r="K7" s="46" t="n"/>
      <c r="L7" s="46" t="n"/>
      <c r="M7" s="46" t="n"/>
      <c r="N7" s="46" t="n"/>
      <c r="O7" s="46" t="n"/>
      <c r="P7" s="46" t="n"/>
    </row>
    <row r="8" ht="21" customHeight="1">
      <c r="B8" s="398" t="inlineStr">
        <is>
          <t>Cost of Sales</t>
        </is>
      </c>
      <c r="C8" s="1432">
        <f>'P&amp;L Projections'!S46</f>
        <v/>
      </c>
      <c r="D8" s="1432" t="n"/>
      <c r="E8" s="1432">
        <f>'P&amp;L Projections'!AG46</f>
        <v/>
      </c>
      <c r="F8" s="1432" t="n"/>
      <c r="G8" s="1432">
        <f>'P&amp;L Projections'!AU46</f>
        <v/>
      </c>
      <c r="H8" s="1432" t="n"/>
      <c r="I8" s="1432">
        <f>'P&amp;L Projections'!BI46</f>
        <v/>
      </c>
      <c r="J8" s="135" t="n"/>
      <c r="K8" s="46" t="n"/>
      <c r="L8" s="46" t="n"/>
      <c r="M8" s="46" t="n"/>
      <c r="N8" s="46" t="n"/>
      <c r="O8" s="46" t="n"/>
      <c r="P8" s="46" t="n"/>
    </row>
    <row r="9" ht="21" customHeight="1">
      <c r="B9" s="226" t="inlineStr">
        <is>
          <t>Revenue before Expenses</t>
        </is>
      </c>
      <c r="C9" s="1433">
        <f>C7-C8</f>
        <v/>
      </c>
      <c r="D9" s="1433" t="n"/>
      <c r="E9" s="1433">
        <f>E7-E8</f>
        <v/>
      </c>
      <c r="F9" s="1433" t="n"/>
      <c r="G9" s="1433">
        <f>G7-G8</f>
        <v/>
      </c>
      <c r="H9" s="1433" t="n"/>
      <c r="I9" s="1433">
        <f>I7-I8</f>
        <v/>
      </c>
      <c r="J9" s="135" t="n"/>
      <c r="K9" s="46" t="n"/>
      <c r="L9" s="46" t="n"/>
      <c r="M9" s="46" t="n"/>
      <c r="N9" s="46" t="n"/>
      <c r="O9" s="46" t="n"/>
      <c r="P9" s="46" t="n"/>
    </row>
    <row r="10" ht="21" customHeight="1">
      <c r="B10" s="398" t="inlineStr">
        <is>
          <t xml:space="preserve">Expenses </t>
        </is>
      </c>
      <c r="C10" s="1432">
        <f>'P&amp;L Projections'!S211</f>
        <v/>
      </c>
      <c r="D10" s="1432" t="n"/>
      <c r="E10" s="1432">
        <f>'P&amp;L Projections'!AG211</f>
        <v/>
      </c>
      <c r="F10" s="1432" t="n"/>
      <c r="G10" s="1432">
        <f>'P&amp;L Projections'!AU211</f>
        <v/>
      </c>
      <c r="H10" s="1432" t="n"/>
      <c r="I10" s="1432">
        <f>'P&amp;L Projections'!BI211</f>
        <v/>
      </c>
      <c r="J10" s="135" t="n"/>
      <c r="K10" s="1434" t="inlineStr">
        <is>
          <t xml:space="preserve"> </t>
        </is>
      </c>
      <c r="L10" s="46" t="n"/>
      <c r="M10" s="46" t="n"/>
      <c r="N10" s="46" t="n"/>
      <c r="O10" s="46" t="n"/>
      <c r="P10" s="46" t="n"/>
    </row>
    <row r="11" ht="21" customHeight="1">
      <c r="B11" s="226" t="inlineStr">
        <is>
          <t>NOI</t>
        </is>
      </c>
      <c r="C11" s="1433">
        <f>C9-C10</f>
        <v/>
      </c>
      <c r="D11" s="1433">
        <f>D9-D10</f>
        <v/>
      </c>
      <c r="E11" s="1433">
        <f>E9-E10</f>
        <v/>
      </c>
      <c r="F11" s="1433">
        <f>F9-F10</f>
        <v/>
      </c>
      <c r="G11" s="1433">
        <f>G9-G10</f>
        <v/>
      </c>
      <c r="H11" s="1433" t="n"/>
      <c r="I11" s="1433">
        <f>I9-I10</f>
        <v/>
      </c>
      <c r="J11" s="135" t="n"/>
      <c r="K11" s="46" t="n"/>
      <c r="L11" s="46" t="n"/>
      <c r="M11" s="46" t="n"/>
      <c r="N11" s="46" t="n"/>
      <c r="O11" s="46" t="n"/>
      <c r="P11" s="46" t="n"/>
    </row>
    <row r="12" ht="21" customHeight="1">
      <c r="B12" s="226" t="n"/>
      <c r="C12" s="1433" t="n"/>
      <c r="D12" s="1433" t="n"/>
      <c r="E12" s="1433" t="n"/>
      <c r="F12" s="1433" t="n"/>
      <c r="G12" s="1433" t="n"/>
      <c r="H12" s="1433" t="n"/>
      <c r="I12" s="1433" t="n"/>
      <c r="J12" s="135" t="n"/>
      <c r="K12" s="46" t="n"/>
      <c r="L12" s="46" t="n"/>
      <c r="M12" s="46" t="n"/>
      <c r="N12" s="46" t="n"/>
      <c r="O12" s="46" t="n"/>
      <c r="P12" s="46" t="n"/>
    </row>
    <row r="13" ht="21" customHeight="1">
      <c r="B13" s="226" t="n"/>
      <c r="C13" s="226" t="n"/>
      <c r="D13" s="226" t="n"/>
      <c r="E13" s="226" t="n"/>
      <c r="F13" s="226" t="n"/>
      <c r="G13" s="226" t="n"/>
      <c r="H13" s="226" t="n"/>
      <c r="I13" s="226" t="n"/>
      <c r="J13" s="135" t="n"/>
      <c r="K13" s="46" t="n"/>
      <c r="L13" s="46" t="n"/>
      <c r="M13" s="46" t="n"/>
      <c r="N13" s="46" t="n"/>
      <c r="O13" s="46" t="n"/>
      <c r="P13" s="46" t="n"/>
    </row>
    <row r="14" ht="21" customHeight="1">
      <c r="B14" s="226" t="inlineStr">
        <is>
          <t xml:space="preserve">Revenue Growth </t>
        </is>
      </c>
      <c r="C14" s="1433">
        <f>C7</f>
        <v/>
      </c>
      <c r="D14" s="226" t="n"/>
      <c r="E14" s="1433">
        <f>E7-C7</f>
        <v/>
      </c>
      <c r="F14" s="226" t="n"/>
      <c r="G14" s="1433">
        <f>G7-E7</f>
        <v/>
      </c>
      <c r="H14" s="1433" t="n"/>
      <c r="I14" s="1433">
        <f>I7-G7</f>
        <v/>
      </c>
      <c r="J14" s="135" t="n"/>
      <c r="K14" s="46" t="n"/>
      <c r="L14" s="46" t="n"/>
      <c r="M14" s="46" t="n"/>
      <c r="N14" s="46" t="n"/>
      <c r="O14" s="46" t="n"/>
      <c r="P14" s="46" t="n"/>
    </row>
    <row r="15" ht="21" customHeight="1">
      <c r="B15" s="398" t="inlineStr">
        <is>
          <t>Revenue Growth %</t>
        </is>
      </c>
      <c r="C15" s="878" t="inlineStr">
        <is>
          <t xml:space="preserve"> </t>
        </is>
      </c>
      <c r="D15" s="226" t="n"/>
      <c r="E15" s="231">
        <f>(E7-C7)/C7</f>
        <v/>
      </c>
      <c r="F15" s="226" t="n"/>
      <c r="G15" s="231">
        <f>(G7-E7)/E7</f>
        <v/>
      </c>
      <c r="H15" s="231" t="n"/>
      <c r="I15" s="231">
        <f>(I7-G7)/G7</f>
        <v/>
      </c>
      <c r="J15" s="135" t="n"/>
      <c r="K15" s="46" t="n"/>
      <c r="L15" s="46" t="n"/>
      <c r="M15" s="46" t="n"/>
      <c r="N15" s="46" t="n"/>
      <c r="O15" s="46" t="n"/>
      <c r="P15" s="46" t="n"/>
    </row>
    <row r="16" ht="21" customHeight="1">
      <c r="B16" s="135" t="n"/>
      <c r="C16" s="226" t="n"/>
      <c r="D16" s="226" t="n"/>
      <c r="E16" s="226" t="n"/>
      <c r="F16" s="226" t="n"/>
      <c r="G16" s="226" t="n"/>
      <c r="H16" s="226" t="n"/>
      <c r="I16" s="226" t="n"/>
      <c r="J16" s="135" t="n"/>
      <c r="K16" s="46" t="n"/>
      <c r="L16" s="46" t="n"/>
      <c r="M16" s="46" t="n"/>
      <c r="N16" s="46" t="n"/>
      <c r="O16" s="46" t="n"/>
      <c r="P16" s="46" t="n"/>
    </row>
    <row r="17" ht="21" customHeight="1">
      <c r="B17" s="226" t="inlineStr">
        <is>
          <t>NOI Growth</t>
        </is>
      </c>
      <c r="C17" s="1433">
        <f>C7</f>
        <v/>
      </c>
      <c r="D17" s="1435" t="n"/>
      <c r="E17" s="1433">
        <f>E7</f>
        <v/>
      </c>
      <c r="F17" s="1435" t="n"/>
      <c r="G17" s="1433">
        <f>G7</f>
        <v/>
      </c>
      <c r="H17" s="1433" t="n"/>
      <c r="I17" s="1433">
        <f>I7</f>
        <v/>
      </c>
      <c r="J17" s="135" t="n"/>
      <c r="K17" s="46" t="n"/>
      <c r="L17" s="46" t="n"/>
      <c r="M17" s="46" t="n"/>
      <c r="N17" s="46" t="n"/>
      <c r="O17" s="46" t="n"/>
      <c r="P17" s="46" t="n"/>
    </row>
    <row r="18" ht="21" customHeight="1">
      <c r="B18" s="398" t="inlineStr">
        <is>
          <t>NOI % Growth</t>
        </is>
      </c>
      <c r="C18" s="231" t="inlineStr">
        <is>
          <t xml:space="preserve"> </t>
        </is>
      </c>
      <c r="D18" s="231" t="n"/>
      <c r="E18" s="231">
        <f>(E17-C17)/C17</f>
        <v/>
      </c>
      <c r="F18" s="231" t="n"/>
      <c r="G18" s="231">
        <f>(G17-E17)/E17</f>
        <v/>
      </c>
      <c r="H18" s="231" t="n"/>
      <c r="I18" s="231">
        <f>(I17-G17)/G17</f>
        <v/>
      </c>
      <c r="J18" s="135" t="n"/>
      <c r="K18" s="46" t="n"/>
      <c r="L18" s="46" t="n"/>
      <c r="M18" s="46" t="n"/>
      <c r="N18" s="46" t="n"/>
      <c r="O18" s="46" t="n"/>
      <c r="P18" s="46" t="n"/>
    </row>
    <row r="19" ht="21" customHeight="1">
      <c r="B19" s="135" t="n"/>
      <c r="C19" s="226" t="n"/>
      <c r="D19" s="226" t="n"/>
      <c r="E19" s="226" t="n"/>
      <c r="F19" s="226" t="n"/>
      <c r="G19" s="226" t="n"/>
      <c r="H19" s="226" t="n"/>
      <c r="I19" s="226" t="n"/>
      <c r="J19" s="135" t="n"/>
      <c r="K19" s="46" t="n"/>
      <c r="L19" s="46" t="n"/>
      <c r="M19" s="46" t="n"/>
      <c r="N19" s="46" t="n"/>
      <c r="O19" s="46" t="n"/>
      <c r="P19" s="46" t="n"/>
    </row>
    <row r="20" ht="21" customHeight="1">
      <c r="B20" s="226" t="inlineStr">
        <is>
          <t>Profit Margin</t>
        </is>
      </c>
      <c r="C20" s="231">
        <f>C9/C7</f>
        <v/>
      </c>
      <c r="D20" s="231" t="inlineStr">
        <is>
          <t xml:space="preserve"> </t>
        </is>
      </c>
      <c r="E20" s="231">
        <f>E9/E7</f>
        <v/>
      </c>
      <c r="F20" s="231" t="inlineStr">
        <is>
          <t xml:space="preserve"> </t>
        </is>
      </c>
      <c r="G20" s="231">
        <f>G9/G7</f>
        <v/>
      </c>
      <c r="H20" s="231" t="n"/>
      <c r="I20" s="231">
        <f>I9/I7</f>
        <v/>
      </c>
      <c r="J20" s="135" t="n"/>
      <c r="K20" s="46" t="n"/>
      <c r="L20" s="46" t="n"/>
      <c r="M20" s="46" t="n"/>
      <c r="N20" s="46" t="n"/>
      <c r="O20" s="46" t="n"/>
      <c r="P20" s="46" t="n"/>
    </row>
    <row r="21" ht="21" customHeight="1">
      <c r="B21" s="226" t="n"/>
      <c r="C21" s="226" t="n"/>
      <c r="D21" s="226" t="n"/>
      <c r="E21" s="226" t="n"/>
      <c r="F21" s="226" t="n"/>
      <c r="G21" s="226" t="n"/>
      <c r="H21" s="226" t="n"/>
      <c r="I21" s="226" t="n"/>
      <c r="J21" s="135" t="n"/>
      <c r="K21" s="46" t="n"/>
      <c r="L21" s="46" t="n"/>
      <c r="M21" s="46" t="n"/>
      <c r="N21" s="46" t="n"/>
      <c r="O21" s="46" t="n"/>
      <c r="P21" s="46" t="n"/>
    </row>
    <row r="22" ht="21" customHeight="1">
      <c r="B22" s="226" t="inlineStr">
        <is>
          <t>Expenses / Revenue</t>
        </is>
      </c>
      <c r="C22" s="231">
        <f>C10/C7</f>
        <v/>
      </c>
      <c r="D22" s="231" t="n"/>
      <c r="E22" s="231">
        <f>E10/E7</f>
        <v/>
      </c>
      <c r="F22" s="231" t="n"/>
      <c r="G22" s="231">
        <f>G10/G7</f>
        <v/>
      </c>
      <c r="H22" s="231" t="n"/>
      <c r="I22" s="231">
        <f>I10/I7</f>
        <v/>
      </c>
      <c r="J22" s="46" t="n"/>
      <c r="K22" s="46" t="n"/>
      <c r="L22" s="46" t="n"/>
      <c r="M22" s="46" t="n"/>
      <c r="N22" s="46" t="n"/>
      <c r="O22" s="46" t="n"/>
      <c r="P22" s="46" t="n"/>
    </row>
    <row r="23" ht="21" customHeight="1">
      <c r="B23" s="46" t="n"/>
      <c r="C23" s="226" t="n"/>
      <c r="D23" s="226" t="n"/>
      <c r="E23" s="226" t="n"/>
      <c r="F23" s="226" t="n"/>
      <c r="G23" s="226" t="n"/>
      <c r="H23" s="226" t="n"/>
      <c r="I23" s="226" t="n"/>
      <c r="J23" s="46" t="n"/>
      <c r="K23" s="46" t="n"/>
      <c r="L23" s="46" t="n"/>
      <c r="M23" s="46" t="n"/>
      <c r="N23" s="46" t="n"/>
      <c r="O23" s="46" t="n"/>
      <c r="P23" s="46" t="n"/>
    </row>
    <row r="24" ht="21" customHeight="1">
      <c r="B24" s="226" t="inlineStr">
        <is>
          <t xml:space="preserve">Users </t>
        </is>
      </c>
      <c r="C24" s="226">
        <f>'Revenue 2025'!P169</f>
        <v/>
      </c>
      <c r="D24" s="226" t="n"/>
      <c r="E24" s="226">
        <f>'Revenue 2026'!P175</f>
        <v/>
      </c>
      <c r="F24" s="226" t="n"/>
      <c r="G24" s="226">
        <f>'Revenue 2027'!P175</f>
        <v/>
      </c>
      <c r="H24" s="226" t="n"/>
      <c r="I24" s="226">
        <f>'Revenue 2028'!P174</f>
        <v/>
      </c>
      <c r="J24" s="46" t="n"/>
      <c r="K24" s="46" t="n"/>
      <c r="L24" s="46" t="n"/>
      <c r="M24" s="46" t="n"/>
      <c r="N24" s="46" t="n"/>
      <c r="O24" s="46" t="n"/>
      <c r="P24" s="46" t="n"/>
    </row>
    <row r="25" ht="21" customHeight="1">
      <c r="B25" s="398" t="inlineStr">
        <is>
          <t>User Growth</t>
        </is>
      </c>
      <c r="C25" s="231" t="inlineStr">
        <is>
          <t xml:space="preserve"> </t>
        </is>
      </c>
      <c r="D25" s="226" t="n"/>
      <c r="E25" s="231">
        <f>(E24-C24)/C24</f>
        <v/>
      </c>
      <c r="F25" s="226" t="n"/>
      <c r="G25" s="231">
        <f>(G24-E24)/E24</f>
        <v/>
      </c>
      <c r="H25" s="231" t="n"/>
      <c r="I25" s="231">
        <f>(I24-G24)/G24</f>
        <v/>
      </c>
      <c r="J25" s="46" t="n"/>
      <c r="K25" s="46" t="n"/>
      <c r="L25" s="46" t="n"/>
      <c r="M25" s="46" t="n"/>
      <c r="N25" s="46" t="n"/>
      <c r="O25" s="46" t="n"/>
      <c r="P25" s="46" t="n"/>
    </row>
    <row r="26" ht="21" customHeight="1">
      <c r="B26" s="46" t="n"/>
      <c r="C26" s="226" t="n"/>
      <c r="D26" s="226" t="n"/>
      <c r="E26" s="226" t="n"/>
      <c r="F26" s="226" t="n"/>
      <c r="G26" s="226" t="n"/>
      <c r="H26" s="226" t="n"/>
      <c r="I26" s="226" t="n"/>
      <c r="J26" s="46" t="n"/>
      <c r="K26" s="46" t="n"/>
      <c r="L26" s="46" t="n"/>
      <c r="M26" s="46" t="n"/>
      <c r="N26" s="46" t="n"/>
      <c r="O26" s="46" t="n"/>
      <c r="P26" s="46" t="n"/>
    </row>
    <row r="27" ht="21" customHeight="1">
      <c r="B27" s="226" t="inlineStr">
        <is>
          <t xml:space="preserve">Revenue by team member </t>
        </is>
      </c>
      <c r="C27" s="1436">
        <f>C9/'Salaries &amp; Wages'!AR27</f>
        <v/>
      </c>
      <c r="D27" s="226" t="n"/>
      <c r="E27" s="1436">
        <f>E9/'Salaries &amp; Wages'!BF27</f>
        <v/>
      </c>
      <c r="F27" s="226" t="n"/>
      <c r="G27" s="1436">
        <f>G9/'Salaries &amp; Wages'!BT27</f>
        <v/>
      </c>
      <c r="H27" s="226" t="n"/>
      <c r="I27" s="1436">
        <f>I9/'Salaries &amp; Wages'!CH27</f>
        <v/>
      </c>
      <c r="J27" s="46" t="n"/>
      <c r="K27" s="46" t="n"/>
      <c r="L27" s="46" t="n"/>
      <c r="M27" s="46" t="n"/>
      <c r="N27" s="46" t="n"/>
      <c r="O27" s="46" t="n"/>
      <c r="P27" s="46" t="n"/>
    </row>
    <row r="28"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</row>
    <row r="29"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</row>
    <row r="30"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</row>
    <row r="31"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</row>
    <row r="32"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</row>
    <row r="33"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</row>
    <row r="34"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</row>
    <row r="35"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M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13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4" customWidth="1" min="10" max="10"/>
    <col width="12" customWidth="1" min="11" max="11"/>
    <col width="46" customWidth="1" min="12" max="12"/>
  </cols>
  <sheetData>
    <row r="2">
      <c r="B2" s="1461" t="inlineStr">
        <is>
          <t>Ignite Sequence, LLC — Cap Table</t>
        </is>
      </c>
    </row>
    <row r="3">
      <c r="B3" s="1462" t="inlineStr">
        <is>
          <t>Current, executed ownership per the signed Operating Agreement and Unit Award Letters, plus pending changes not yet executed. Rebuilt 2026.09.20.</t>
        </is>
      </c>
    </row>
    <row r="5">
      <c r="B5" s="133" t="inlineStr">
        <is>
          <t>Current — Executed</t>
        </is>
      </c>
    </row>
    <row r="7">
      <c r="B7" s="1475" t="inlineStr">
        <is>
          <t>Member</t>
        </is>
      </c>
      <c r="C7" s="1475" t="inlineStr">
        <is>
          <t>Role</t>
        </is>
      </c>
      <c r="D7" s="1475" t="inlineStr">
        <is>
          <t>Unit Class</t>
        </is>
      </c>
      <c r="E7" s="1475" t="inlineStr">
        <is>
          <t>Units Issued</t>
        </is>
      </c>
      <c r="F7" s="1475" t="inlineStr">
        <is>
          <t>% Fully Diluted</t>
        </is>
      </c>
      <c r="G7" s="1475" t="inlineStr">
        <is>
          <t>Grant Date</t>
        </is>
      </c>
      <c r="H7" s="1475" t="inlineStr">
        <is>
          <t>Vesting Start</t>
        </is>
      </c>
      <c r="I7" s="1475" t="inlineStr">
        <is>
          <t>Cliff</t>
        </is>
      </c>
      <c r="J7" s="1475" t="inlineStr">
        <is>
          <t>Vest Period</t>
        </is>
      </c>
      <c r="K7" s="1475" t="inlineStr">
        <is>
          <t>Vested at Grant</t>
        </is>
      </c>
      <c r="L7" s="1475" t="inlineStr">
        <is>
          <t>Capital Contributed</t>
        </is>
      </c>
    </row>
    <row r="8">
      <c r="B8" s="84" t="inlineStr">
        <is>
          <t>Kathleen (“Kate”) Burda</t>
        </is>
      </c>
      <c r="C8" s="84" t="inlineStr">
        <is>
          <t>Founder / CEO</t>
        </is>
      </c>
      <c r="D8" s="84" t="inlineStr">
        <is>
          <t>Preferred</t>
        </is>
      </c>
      <c r="E8" s="1476" t="n">
        <v>700000</v>
      </c>
      <c r="F8" s="1477">
        <f>E8/1000000</f>
        <v/>
      </c>
      <c r="G8" s="84" t="inlineStr">
        <is>
          <t>—</t>
        </is>
      </c>
      <c r="H8" s="84" t="inlineStr">
        <is>
          <t>—</t>
        </is>
      </c>
      <c r="I8" s="84" t="inlineStr">
        <is>
          <t>—</t>
        </is>
      </c>
      <c r="J8" s="84" t="inlineStr">
        <is>
          <t>100% vested at grant</t>
        </is>
      </c>
      <c r="K8" s="84" t="inlineStr">
        <is>
          <t>700,000 (100%)</t>
        </is>
      </c>
      <c r="L8" s="1465" t="n">
        <v>225000</v>
      </c>
      <c r="M8" s="1478" t="inlineStr">
        <is>
          <t>Founder capital contribution.</t>
        </is>
      </c>
    </row>
    <row r="9">
      <c r="B9" s="84" t="inlineStr">
        <is>
          <t>Mark Edward Westerfield (“Eddie”)</t>
        </is>
      </c>
      <c r="C9" s="84" t="inlineStr">
        <is>
          <t>Head of Product</t>
        </is>
      </c>
      <c r="D9" s="84" t="inlineStr">
        <is>
          <t>Preferred</t>
        </is>
      </c>
      <c r="E9" s="1476" t="n">
        <v>150000</v>
      </c>
      <c r="F9" s="1477">
        <f>E9/1000000</f>
        <v/>
      </c>
      <c r="G9" s="84" t="inlineStr">
        <is>
          <t>2026-01-21</t>
        </is>
      </c>
      <c r="H9" s="84" t="inlineStr">
        <is>
          <t>2023-01-21</t>
        </is>
      </c>
      <c r="I9" s="84" t="inlineStr">
        <is>
          <t>1 yr</t>
        </is>
      </c>
      <c r="J9" s="84" t="inlineStr">
        <is>
          <t>4 yrs</t>
        </is>
      </c>
      <c r="K9" s="84" t="inlineStr">
        <is>
          <t>112,500 (75%)</t>
        </is>
      </c>
      <c r="L9" s="1465" t="n">
        <v>0</v>
      </c>
      <c r="M9" s="1478" t="inlineStr">
        <is>
          <t>Remaining 37,500 Units vest monthly through 2027-01-21.</t>
        </is>
      </c>
    </row>
    <row r="10">
      <c r="B10" s="84" t="inlineStr">
        <is>
          <t>Recardo Poole (“Rick”)</t>
        </is>
      </c>
      <c r="C10" s="84" t="inlineStr">
        <is>
          <t>UX / Design</t>
        </is>
      </c>
      <c r="D10" s="84" t="inlineStr">
        <is>
          <t>Preferred</t>
        </is>
      </c>
      <c r="E10" s="1476" t="n">
        <v>50000</v>
      </c>
      <c r="F10" s="1477">
        <f>E10/1000000</f>
        <v/>
      </c>
      <c r="G10" s="84" t="inlineStr">
        <is>
          <t>2026-01-21</t>
        </is>
      </c>
      <c r="H10" s="84" t="inlineStr">
        <is>
          <t>2025-01-21</t>
        </is>
      </c>
      <c r="I10" s="84" t="inlineStr">
        <is>
          <t>1 yr</t>
        </is>
      </c>
      <c r="J10" s="84" t="inlineStr">
        <is>
          <t>4 yrs</t>
        </is>
      </c>
      <c r="K10" s="84" t="inlineStr">
        <is>
          <t>12,500 (25%)</t>
        </is>
      </c>
      <c r="L10" s="1465" t="n">
        <v>0</v>
      </c>
      <c r="M10" s="1478" t="inlineStr">
        <is>
          <t>Remaining 37,500 Units vest monthly through 2029-01-21. See Pending below — +50,000 Units not yet executed.</t>
        </is>
      </c>
    </row>
    <row r="11">
      <c r="B11" s="84" t="inlineStr">
        <is>
          <t>Tristan Carty</t>
        </is>
      </c>
      <c r="C11" s="84" t="inlineStr">
        <is>
          <t>Operations</t>
        </is>
      </c>
      <c r="D11" s="84" t="inlineStr">
        <is>
          <t>Preferred</t>
        </is>
      </c>
      <c r="E11" s="1476" t="n">
        <v>20000</v>
      </c>
      <c r="F11" s="1477">
        <f>E11/1000000</f>
        <v/>
      </c>
      <c r="G11" s="84" t="inlineStr">
        <is>
          <t>2026-01-21</t>
        </is>
      </c>
      <c r="H11" s="84" t="inlineStr">
        <is>
          <t>2026-01-21</t>
        </is>
      </c>
      <c r="I11" s="84" t="inlineStr">
        <is>
          <t>1 yr</t>
        </is>
      </c>
      <c r="J11" s="84" t="inlineStr">
        <is>
          <t>4 yrs</t>
        </is>
      </c>
      <c r="K11" s="84" t="inlineStr">
        <is>
          <t>0 (0%)</t>
        </is>
      </c>
      <c r="L11" s="1465" t="n">
        <v>0</v>
      </c>
      <c r="M11" s="1478" t="inlineStr">
        <is>
          <t>Full 20,000 Units vest monthly through 2030-01-21.</t>
        </is>
      </c>
    </row>
    <row r="12">
      <c r="B12" s="84" t="inlineStr">
        <is>
          <t>Unissued / Available Pool</t>
        </is>
      </c>
      <c r="C12" s="84" t="inlineStr">
        <is>
          <t>—</t>
        </is>
      </c>
      <c r="D12" s="84" t="inlineStr">
        <is>
          <t>—</t>
        </is>
      </c>
      <c r="E12" s="1476" t="n">
        <v>80000</v>
      </c>
      <c r="F12" s="1477">
        <f>E12/1000000</f>
        <v/>
      </c>
      <c r="G12" s="84" t="inlineStr">
        <is>
          <t>—</t>
        </is>
      </c>
      <c r="H12" s="84" t="inlineStr">
        <is>
          <t>—</t>
        </is>
      </c>
      <c r="I12" s="84" t="inlineStr">
        <is>
          <t>—</t>
        </is>
      </c>
      <c r="J12" s="84" t="inlineStr">
        <is>
          <t>—</t>
        </is>
      </c>
      <c r="K12" s="84" t="inlineStr">
        <is>
          <t>—</t>
        </is>
      </c>
      <c r="L12" s="84" t="inlineStr">
        <is>
          <t>—</t>
        </is>
      </c>
      <c r="M12" s="1478" t="inlineStr">
        <is>
          <t>30,000 originally unallocated + 50,000 never issued to Krzysztof Wurst (listed in the Operating Agreement, never executed — he was never a Member).</t>
        </is>
      </c>
    </row>
    <row r="13">
      <c r="B13" s="1479" t="inlineStr">
        <is>
          <t>Total</t>
        </is>
      </c>
      <c r="C13" s="1470" t="n"/>
      <c r="D13" s="1470" t="n"/>
      <c r="E13" s="1480">
        <f>SUM(E8:E12)</f>
        <v/>
      </c>
      <c r="F13" s="1481">
        <f>SUM(F8:F12)</f>
        <v/>
      </c>
      <c r="G13" s="1470" t="n"/>
      <c r="H13" s="1470" t="n"/>
      <c r="I13" s="1470" t="n"/>
      <c r="J13" s="1470" t="n"/>
      <c r="K13" s="1470" t="n"/>
      <c r="L13" s="1482">
        <f>SUM(L8:L12)</f>
        <v/>
      </c>
    </row>
    <row r="15">
      <c r="B15" s="133" t="inlineStr">
        <is>
          <t>Pending — Not Yet Executed</t>
        </is>
      </c>
    </row>
    <row r="16">
      <c r="B16" s="1478" t="inlineStr">
        <is>
          <t>Awaiting Eddie Westerfield's Manager consent and signatures (Section 2.5 of the Operating Agreement) before this is real.</t>
        </is>
      </c>
    </row>
    <row r="18">
      <c r="B18" s="1483" t="inlineStr">
        <is>
          <t>Member</t>
        </is>
      </c>
      <c r="C18" s="1483" t="inlineStr">
        <is>
          <t>Change</t>
        </is>
      </c>
      <c r="D18" s="1483" t="inlineStr">
        <is>
          <t>From</t>
        </is>
      </c>
      <c r="E18" s="1483" t="inlineStr">
        <is>
          <t>To</t>
        </is>
      </c>
      <c r="F18" s="1483" t="inlineStr">
        <is>
          <t>Source</t>
        </is>
      </c>
      <c r="G18" s="1483" t="inlineStr">
        <is>
          <t>Status</t>
        </is>
      </c>
    </row>
    <row r="19">
      <c r="B19" s="84" t="inlineStr">
        <is>
          <t>Recardo Poole (“Rick”)</t>
        </is>
      </c>
      <c r="C19" s="84" t="inlineStr">
        <is>
          <t>+50,000 Units</t>
        </is>
      </c>
      <c r="D19" s="84" t="inlineStr">
        <is>
          <t>50,000 (5%)</t>
        </is>
      </c>
      <c r="E19" s="84" t="inlineStr">
        <is>
          <t>100,000 (10%)</t>
        </is>
      </c>
      <c r="F19" s="84" t="inlineStr">
        <is>
          <t>Unissued pool (Krzysztof Wurst's never-executed allocation)</t>
        </is>
      </c>
      <c r="G19" s="84" t="inlineStr">
        <is>
          <t>Draft Amendment No. 1 prepared 2026.09.20, not signed</t>
        </is>
      </c>
    </row>
    <row r="20">
      <c r="B20" s="1478" t="inlineStr">
        <is>
          <t>Vesting on increase:</t>
        </is>
      </c>
      <c r="C20" s="1473" t="inlineStr">
        <is>
          <t>Not a separate schedule — the additional 50,000 Units join Rick's existing schedule (service credit from 2025-01-21), per Kate's direction 2026.09.20.</t>
        </is>
      </c>
    </row>
  </sheetData>
  <mergeCells count="2">
    <mergeCell ref="C20:G20"/>
    <mergeCell ref="B3:L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BU5"/>
  <sheetViews>
    <sheetView topLeftCell="F1" zoomScale="159" zoomScaleNormal="159" workbookViewId="0">
      <selection activeCell="BJ5" sqref="BJ5"/>
    </sheetView>
  </sheetViews>
  <sheetFormatPr baseColWidth="10" defaultRowHeight="15"/>
  <sheetData>
    <row r="1">
      <c r="B1" t="n">
        <v>2025</v>
      </c>
      <c r="N1" t="n">
        <v>2026</v>
      </c>
      <c r="Z1" t="n">
        <v>2027</v>
      </c>
      <c r="AL1" t="n">
        <v>2028</v>
      </c>
      <c r="AX1" t="n">
        <v>2029</v>
      </c>
      <c r="BJ1" t="n">
        <v>2030</v>
      </c>
    </row>
    <row r="2"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April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Sept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Jan</t>
        </is>
      </c>
      <c r="O2" t="inlineStr">
        <is>
          <t>Feb</t>
        </is>
      </c>
      <c r="P2" t="inlineStr">
        <is>
          <t>Mar</t>
        </is>
      </c>
      <c r="Q2" t="inlineStr">
        <is>
          <t>April</t>
        </is>
      </c>
      <c r="R2" t="inlineStr">
        <is>
          <t>may</t>
        </is>
      </c>
      <c r="S2" t="inlineStr">
        <is>
          <t>jun</t>
        </is>
      </c>
      <c r="T2" t="inlineStr">
        <is>
          <t>Jul</t>
        </is>
      </c>
      <c r="U2" t="inlineStr">
        <is>
          <t>Aug</t>
        </is>
      </c>
      <c r="V2" t="inlineStr">
        <is>
          <t>Sept</t>
        </is>
      </c>
      <c r="W2" t="inlineStr">
        <is>
          <t>Oct</t>
        </is>
      </c>
      <c r="X2" t="inlineStr">
        <is>
          <t>Nov</t>
        </is>
      </c>
      <c r="Y2" t="inlineStr">
        <is>
          <t>Dec</t>
        </is>
      </c>
      <c r="Z2" t="inlineStr">
        <is>
          <t>Jan</t>
        </is>
      </c>
      <c r="AA2" t="inlineStr">
        <is>
          <t>Feb</t>
        </is>
      </c>
      <c r="AB2" t="inlineStr">
        <is>
          <t>Mar</t>
        </is>
      </c>
      <c r="AC2" t="inlineStr">
        <is>
          <t>April</t>
        </is>
      </c>
      <c r="AD2" t="inlineStr">
        <is>
          <t>may</t>
        </is>
      </c>
      <c r="AE2" t="inlineStr">
        <is>
          <t>jun</t>
        </is>
      </c>
      <c r="AF2" t="inlineStr">
        <is>
          <t>Jul</t>
        </is>
      </c>
      <c r="AG2" t="inlineStr">
        <is>
          <t>Aug</t>
        </is>
      </c>
      <c r="AH2" t="inlineStr">
        <is>
          <t>Sept</t>
        </is>
      </c>
      <c r="AI2" t="inlineStr">
        <is>
          <t>Oct</t>
        </is>
      </c>
      <c r="AJ2" t="inlineStr">
        <is>
          <t>Nov</t>
        </is>
      </c>
      <c r="AK2" t="inlineStr">
        <is>
          <t>Dec</t>
        </is>
      </c>
      <c r="AL2" t="inlineStr">
        <is>
          <t>Jan</t>
        </is>
      </c>
      <c r="AM2" t="inlineStr">
        <is>
          <t>Feb</t>
        </is>
      </c>
      <c r="AN2" t="inlineStr">
        <is>
          <t>Mar</t>
        </is>
      </c>
      <c r="AO2" t="inlineStr">
        <is>
          <t>April</t>
        </is>
      </c>
      <c r="AP2" t="inlineStr">
        <is>
          <t>may</t>
        </is>
      </c>
      <c r="AQ2" t="inlineStr">
        <is>
          <t>jun</t>
        </is>
      </c>
      <c r="AR2" t="inlineStr">
        <is>
          <t>Jul</t>
        </is>
      </c>
      <c r="AS2" t="inlineStr">
        <is>
          <t>Aug</t>
        </is>
      </c>
      <c r="AT2" t="inlineStr">
        <is>
          <t>Sept</t>
        </is>
      </c>
      <c r="AU2" t="inlineStr">
        <is>
          <t>Oct</t>
        </is>
      </c>
      <c r="AV2" t="inlineStr">
        <is>
          <t>Nov</t>
        </is>
      </c>
      <c r="AW2" t="inlineStr">
        <is>
          <t>Dec</t>
        </is>
      </c>
      <c r="AX2" t="inlineStr">
        <is>
          <t>Jan</t>
        </is>
      </c>
      <c r="AY2" t="inlineStr">
        <is>
          <t>Feb</t>
        </is>
      </c>
      <c r="AZ2" t="inlineStr">
        <is>
          <t>Mar</t>
        </is>
      </c>
      <c r="BA2" t="inlineStr">
        <is>
          <t>April</t>
        </is>
      </c>
      <c r="BB2" t="inlineStr">
        <is>
          <t>may</t>
        </is>
      </c>
      <c r="BC2" t="inlineStr">
        <is>
          <t>jun</t>
        </is>
      </c>
      <c r="BD2" t="inlineStr">
        <is>
          <t>Jul</t>
        </is>
      </c>
      <c r="BE2" t="inlineStr">
        <is>
          <t>Aug</t>
        </is>
      </c>
      <c r="BF2" t="inlineStr">
        <is>
          <t>Sept</t>
        </is>
      </c>
      <c r="BG2" t="inlineStr">
        <is>
          <t>Oct</t>
        </is>
      </c>
      <c r="BH2" t="inlineStr">
        <is>
          <t>Nov</t>
        </is>
      </c>
      <c r="BI2" t="inlineStr">
        <is>
          <t>Dec</t>
        </is>
      </c>
      <c r="BJ2" t="inlineStr">
        <is>
          <t>Jan</t>
        </is>
      </c>
      <c r="BK2" t="inlineStr">
        <is>
          <t>Feb</t>
        </is>
      </c>
      <c r="BL2" t="inlineStr">
        <is>
          <t>Mar</t>
        </is>
      </c>
      <c r="BM2" t="inlineStr">
        <is>
          <t>April</t>
        </is>
      </c>
      <c r="BN2" t="inlineStr">
        <is>
          <t>may</t>
        </is>
      </c>
      <c r="BO2" t="inlineStr">
        <is>
          <t>jun</t>
        </is>
      </c>
      <c r="BP2" t="inlineStr">
        <is>
          <t>Jul</t>
        </is>
      </c>
      <c r="BQ2" t="inlineStr">
        <is>
          <t>Aug</t>
        </is>
      </c>
      <c r="BR2" t="inlineStr">
        <is>
          <t>Sept</t>
        </is>
      </c>
      <c r="BS2" t="inlineStr">
        <is>
          <t>Oct</t>
        </is>
      </c>
      <c r="BT2" t="inlineStr">
        <is>
          <t>Nov</t>
        </is>
      </c>
      <c r="BU2" t="inlineStr">
        <is>
          <t>Dec</t>
        </is>
      </c>
    </row>
    <row r="4">
      <c r="B4" t="n">
        <v>1</v>
      </c>
      <c r="C4" t="inlineStr">
        <is>
          <t xml:space="preserve"> </t>
        </is>
      </c>
      <c r="D4" t="inlineStr">
        <is>
          <t xml:space="preserve"> </t>
        </is>
      </c>
      <c r="E4" t="n">
        <v>4</v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n">
        <v>8</v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 xml:space="preserve"> </t>
        </is>
      </c>
      <c r="M4" t="n">
        <v>12</v>
      </c>
      <c r="N4" t="inlineStr">
        <is>
          <t xml:space="preserve"> </t>
        </is>
      </c>
      <c r="O4" t="inlineStr">
        <is>
          <t xml:space="preserve"> </t>
        </is>
      </c>
      <c r="P4" t="inlineStr">
        <is>
          <t xml:space="preserve"> </t>
        </is>
      </c>
      <c r="Q4" t="n">
        <v>16</v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 xml:space="preserve"> </t>
        </is>
      </c>
      <c r="U4" t="n">
        <v>20</v>
      </c>
      <c r="V4" t="inlineStr">
        <is>
          <t xml:space="preserve"> </t>
        </is>
      </c>
      <c r="W4" t="inlineStr">
        <is>
          <t xml:space="preserve"> </t>
        </is>
      </c>
      <c r="X4" t="inlineStr">
        <is>
          <t xml:space="preserve"> </t>
        </is>
      </c>
      <c r="Y4" t="n">
        <v>24</v>
      </c>
      <c r="Z4" t="inlineStr">
        <is>
          <t xml:space="preserve"> </t>
        </is>
      </c>
      <c r="AA4" t="inlineStr">
        <is>
          <t xml:space="preserve"> </t>
        </is>
      </c>
      <c r="AB4" t="inlineStr">
        <is>
          <t xml:space="preserve"> </t>
        </is>
      </c>
      <c r="AC4" t="n">
        <v>28</v>
      </c>
      <c r="AD4" t="inlineStr">
        <is>
          <t xml:space="preserve"> </t>
        </is>
      </c>
      <c r="AE4" t="inlineStr">
        <is>
          <t xml:space="preserve"> </t>
        </is>
      </c>
      <c r="AF4" t="inlineStr">
        <is>
          <t xml:space="preserve"> </t>
        </is>
      </c>
      <c r="AG4" t="n">
        <v>32</v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  <c r="AK4" t="n">
        <v>36</v>
      </c>
      <c r="AL4" t="inlineStr">
        <is>
          <t xml:space="preserve"> </t>
        </is>
      </c>
      <c r="AM4" t="inlineStr">
        <is>
          <t xml:space="preserve"> </t>
        </is>
      </c>
      <c r="AN4" t="inlineStr">
        <is>
          <t xml:space="preserve"> </t>
        </is>
      </c>
      <c r="AO4" t="n">
        <v>40</v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n">
        <v>44</v>
      </c>
      <c r="AT4" t="inlineStr">
        <is>
          <t xml:space="preserve"> </t>
        </is>
      </c>
      <c r="AU4" t="inlineStr">
        <is>
          <t xml:space="preserve"> </t>
        </is>
      </c>
      <c r="AV4" t="inlineStr">
        <is>
          <t xml:space="preserve"> </t>
        </is>
      </c>
      <c r="AW4" t="n">
        <v>48</v>
      </c>
      <c r="AX4" t="inlineStr">
        <is>
          <t xml:space="preserve"> </t>
        </is>
      </c>
      <c r="AY4" t="inlineStr">
        <is>
          <t xml:space="preserve"> </t>
        </is>
      </c>
      <c r="AZ4" t="inlineStr">
        <is>
          <t xml:space="preserve"> </t>
        </is>
      </c>
      <c r="BA4" t="n">
        <v>52</v>
      </c>
      <c r="BB4" t="inlineStr">
        <is>
          <t xml:space="preserve"> </t>
        </is>
      </c>
      <c r="BC4" t="inlineStr">
        <is>
          <t xml:space="preserve"> </t>
        </is>
      </c>
      <c r="BD4" t="inlineStr">
        <is>
          <t xml:space="preserve"> </t>
        </is>
      </c>
      <c r="BE4" t="n">
        <v>56</v>
      </c>
      <c r="BF4" t="inlineStr">
        <is>
          <t xml:space="preserve"> </t>
        </is>
      </c>
      <c r="BG4" t="inlineStr">
        <is>
          <t xml:space="preserve"> </t>
        </is>
      </c>
      <c r="BH4" t="inlineStr">
        <is>
          <t xml:space="preserve"> </t>
        </is>
      </c>
      <c r="BI4" t="n">
        <v>60</v>
      </c>
      <c r="BJ4" t="inlineStr">
        <is>
          <t xml:space="preserve"> </t>
        </is>
      </c>
      <c r="BK4" t="inlineStr">
        <is>
          <t xml:space="preserve"> </t>
        </is>
      </c>
      <c r="BL4" t="inlineStr">
        <is>
          <t xml:space="preserve"> </t>
        </is>
      </c>
      <c r="BM4" t="n">
        <v>64</v>
      </c>
      <c r="BN4" t="inlineStr">
        <is>
          <t xml:space="preserve"> </t>
        </is>
      </c>
      <c r="BO4" t="inlineStr">
        <is>
          <t xml:space="preserve"> </t>
        </is>
      </c>
      <c r="BP4" t="inlineStr">
        <is>
          <t xml:space="preserve"> </t>
        </is>
      </c>
      <c r="BQ4" t="n">
        <v>68</v>
      </c>
      <c r="BR4" t="inlineStr">
        <is>
          <t xml:space="preserve"> </t>
        </is>
      </c>
      <c r="BS4" t="inlineStr">
        <is>
          <t xml:space="preserve"> </t>
        </is>
      </c>
      <c r="BT4" t="inlineStr">
        <is>
          <t xml:space="preserve"> </t>
        </is>
      </c>
      <c r="BU4" t="n">
        <v>70</v>
      </c>
    </row>
    <row r="5" ht="16" customHeight="1">
      <c r="B5" s="1437">
        <f>'Revenue 2025'!D169</f>
        <v/>
      </c>
      <c r="C5" s="1437">
        <f>'Revenue 2025'!E169</f>
        <v/>
      </c>
      <c r="D5" s="1437">
        <f>'Revenue 2025'!F169</f>
        <v/>
      </c>
      <c r="E5" s="1437">
        <f>'Revenue 2025'!G169</f>
        <v/>
      </c>
      <c r="F5" s="1437">
        <f>'Revenue 2025'!H169</f>
        <v/>
      </c>
      <c r="G5" s="1437">
        <f>'Revenue 2025'!I169</f>
        <v/>
      </c>
      <c r="H5" s="1437">
        <f>'Revenue 2025'!J169</f>
        <v/>
      </c>
      <c r="I5" s="1437">
        <f>'Revenue 2025'!K169</f>
        <v/>
      </c>
      <c r="J5" s="1437">
        <f>'Revenue 2025'!L169</f>
        <v/>
      </c>
      <c r="K5" s="1437">
        <f>'Revenue 2025'!M169</f>
        <v/>
      </c>
      <c r="L5" s="1437">
        <f>'Revenue 2025'!N169</f>
        <v/>
      </c>
      <c r="M5" s="1437">
        <f>'Revenue 2025'!O169</f>
        <v/>
      </c>
      <c r="N5">
        <f>'Revenue 2026'!D175</f>
        <v/>
      </c>
      <c r="O5">
        <f>'Revenue 2026'!E175</f>
        <v/>
      </c>
      <c r="P5">
        <f>'Revenue 2026'!F175</f>
        <v/>
      </c>
      <c r="Q5">
        <f>'Revenue 2026'!G175</f>
        <v/>
      </c>
      <c r="R5">
        <f>'Revenue 2026'!H175</f>
        <v/>
      </c>
      <c r="S5">
        <f>'Revenue 2026'!I175</f>
        <v/>
      </c>
      <c r="T5">
        <f>'Revenue 2026'!J175</f>
        <v/>
      </c>
      <c r="U5">
        <f>'Revenue 2026'!K175</f>
        <v/>
      </c>
      <c r="V5">
        <f>'Revenue 2026'!L175</f>
        <v/>
      </c>
      <c r="W5">
        <f>'Revenue 2026'!M175</f>
        <v/>
      </c>
      <c r="X5">
        <f>'Revenue 2026'!N175</f>
        <v/>
      </c>
      <c r="Y5">
        <f>'Revenue 2026'!O175</f>
        <v/>
      </c>
      <c r="Z5">
        <f>'Revenue 2027'!D175</f>
        <v/>
      </c>
      <c r="AA5">
        <f>'Revenue 2027'!E175</f>
        <v/>
      </c>
      <c r="AB5">
        <f>'Revenue 2027'!F175</f>
        <v/>
      </c>
      <c r="AC5">
        <f>'Revenue 2027'!G175</f>
        <v/>
      </c>
      <c r="AD5">
        <f>'Revenue 2027'!H175</f>
        <v/>
      </c>
      <c r="AE5">
        <f>'Revenue 2027'!I175</f>
        <v/>
      </c>
      <c r="AF5">
        <f>'Revenue 2027'!J175</f>
        <v/>
      </c>
      <c r="AG5">
        <f>'Revenue 2027'!K175</f>
        <v/>
      </c>
      <c r="AH5">
        <f>'Revenue 2027'!L175</f>
        <v/>
      </c>
      <c r="AI5">
        <f>'Revenue 2027'!M175</f>
        <v/>
      </c>
      <c r="AJ5">
        <f>'Revenue 2027'!N175</f>
        <v/>
      </c>
      <c r="AK5">
        <f>'Revenue 2027'!O175</f>
        <v/>
      </c>
      <c r="AL5" s="888">
        <f>'Revenue 2028'!D174</f>
        <v/>
      </c>
      <c r="AM5" s="888">
        <f>'Revenue 2028'!E174</f>
        <v/>
      </c>
      <c r="AN5" s="888">
        <f>'Revenue 2028'!F174</f>
        <v/>
      </c>
      <c r="AO5" s="888">
        <f>'Revenue 2028'!G174</f>
        <v/>
      </c>
      <c r="AP5" s="888">
        <f>'Revenue 2028'!H174</f>
        <v/>
      </c>
      <c r="AQ5" s="888">
        <f>'Revenue 2028'!I174</f>
        <v/>
      </c>
      <c r="AR5" s="888">
        <f>'Revenue 2028'!J174</f>
        <v/>
      </c>
      <c r="AS5" s="888">
        <f>'Revenue 2028'!K174</f>
        <v/>
      </c>
      <c r="AT5" s="888">
        <f>'Revenue 2028'!L174</f>
        <v/>
      </c>
      <c r="AU5" s="888">
        <f>'Revenue 2028'!M174</f>
        <v/>
      </c>
      <c r="AV5" s="888">
        <f>'Revenue 2028'!N174</f>
        <v/>
      </c>
      <c r="AW5" s="888">
        <f>'Revenue 2028'!O174</f>
        <v/>
      </c>
      <c r="AX5">
        <f>'Revenue 2029'!D175</f>
        <v/>
      </c>
      <c r="AY5">
        <f>'Revenue 2029'!E175</f>
        <v/>
      </c>
      <c r="AZ5">
        <f>'Revenue 2029'!F175</f>
        <v/>
      </c>
      <c r="BA5">
        <f>'Revenue 2029'!G175</f>
        <v/>
      </c>
      <c r="BB5">
        <f>'Revenue 2029'!H175</f>
        <v/>
      </c>
      <c r="BC5">
        <f>'Revenue 2029'!I175</f>
        <v/>
      </c>
      <c r="BD5">
        <f>'Revenue 2029'!J175</f>
        <v/>
      </c>
      <c r="BE5">
        <f>'Revenue 2029'!K175</f>
        <v/>
      </c>
      <c r="BF5">
        <f>'Revenue 2029'!L175</f>
        <v/>
      </c>
      <c r="BG5">
        <f>'Revenue 2029'!M175</f>
        <v/>
      </c>
      <c r="BH5">
        <f>'Revenue 2029'!N175</f>
        <v/>
      </c>
      <c r="BI5">
        <f>'Revenue 2029'!O175</f>
        <v/>
      </c>
      <c r="BJ5">
        <f>'Revenue 2030'!D175</f>
        <v/>
      </c>
      <c r="BK5">
        <f>'Revenue 2030'!E175</f>
        <v/>
      </c>
      <c r="BL5">
        <f>'Revenue 2030'!F175</f>
        <v/>
      </c>
      <c r="BM5">
        <f>'Revenue 2030'!G175</f>
        <v/>
      </c>
      <c r="BN5">
        <f>'Revenue 2030'!H175</f>
        <v/>
      </c>
      <c r="BO5">
        <f>'Revenue 2030'!I175</f>
        <v/>
      </c>
      <c r="BP5">
        <f>'Revenue 2030'!J175</f>
        <v/>
      </c>
      <c r="BQ5">
        <f>'Revenue 2030'!K175</f>
        <v/>
      </c>
      <c r="BR5">
        <f>'Revenue 2030'!L175</f>
        <v/>
      </c>
      <c r="BS5">
        <f>'Revenue 2030'!M175</f>
        <v/>
      </c>
      <c r="BT5">
        <f>'Revenue 2030'!N175</f>
        <v/>
      </c>
      <c r="BU5">
        <f>'Revenue 2030'!O175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G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6" customWidth="1" min="4" max="4"/>
    <col width="4" customWidth="1" min="5" max="5"/>
  </cols>
  <sheetData>
    <row r="2">
      <c r="B2" s="1461" t="inlineStr">
        <is>
          <t>Ignite — Beta Phase Cash Need</t>
        </is>
      </c>
    </row>
    <row r="3">
      <c r="B3" s="1462" t="inlineStr">
        <is>
          <t>Six-month cash requirement for the beta launch, solved back to a price-per-partner. Session 3A, September 2026.</t>
        </is>
      </c>
    </row>
    <row r="5">
      <c r="B5" s="133" t="inlineStr">
        <is>
          <t>Assumptions</t>
        </is>
      </c>
    </row>
    <row r="6">
      <c r="B6" s="84" t="inlineStr">
        <is>
          <t>Beta partner count</t>
        </is>
      </c>
      <c r="C6" s="76" t="n">
        <v>5</v>
      </c>
    </row>
    <row r="7">
      <c r="B7" s="84" t="inlineStr">
        <is>
          <t>Beta window (months)</t>
        </is>
      </c>
      <c r="C7" s="76" t="n">
        <v>6</v>
      </c>
    </row>
    <row r="8">
      <c r="B8" s="84" t="inlineStr">
        <is>
          <t>Existing per-partner price band</t>
        </is>
      </c>
      <c r="C8" s="76" t="inlineStr">
        <is>
          <t>$15,000 – $25,000</t>
        </is>
      </c>
      <c r="F8" t="n">
        <v>15000</v>
      </c>
      <c r="G8" t="n">
        <v>25000</v>
      </c>
    </row>
    <row r="10">
      <c r="B10" s="133" t="inlineStr">
        <is>
          <t>Cash Need — 6-Month Beta Window</t>
        </is>
      </c>
    </row>
    <row r="12">
      <c r="B12" s="1463" t="inlineStr">
        <is>
          <t>Line Item</t>
        </is>
      </c>
      <c r="C12" s="1464" t="inlineStr">
        <is>
          <t>Monthly</t>
        </is>
      </c>
      <c r="D12" s="1464" t="inlineStr">
        <is>
          <t>6-Month Total</t>
        </is>
      </c>
    </row>
    <row r="13">
      <c r="B13" s="76" t="inlineStr">
        <is>
          <t>Team Salaries</t>
        </is>
      </c>
    </row>
    <row r="14">
      <c r="B14" s="84" t="inlineStr">
        <is>
          <t xml:space="preserve">   Kate  (1)</t>
        </is>
      </c>
      <c r="C14" s="1465" t="n">
        <v>0</v>
      </c>
      <c r="D14" s="1465">
        <f>C14*C7</f>
        <v/>
      </c>
    </row>
    <row r="15">
      <c r="B15" s="84" t="inlineStr">
        <is>
          <t xml:space="preserve">   Eddie</t>
        </is>
      </c>
      <c r="C15" s="1465" t="n">
        <v>0</v>
      </c>
      <c r="D15" s="1465">
        <f>C15*C7</f>
        <v/>
      </c>
    </row>
    <row r="16">
      <c r="B16" s="84" t="inlineStr">
        <is>
          <t xml:space="preserve">   Recardo</t>
        </is>
      </c>
      <c r="C16" s="1465" t="n">
        <v>0</v>
      </c>
      <c r="D16" s="1465">
        <f>C16*C7</f>
        <v/>
      </c>
    </row>
    <row r="17">
      <c r="B17" s="84" t="inlineStr">
        <is>
          <t xml:space="preserve">   Tristan</t>
        </is>
      </c>
      <c r="C17" s="1465" t="n">
        <v>0</v>
      </c>
      <c r="D17" s="1465">
        <f>C17*C7</f>
        <v/>
      </c>
    </row>
    <row r="18">
      <c r="B18" s="1466" t="inlineStr">
        <is>
          <t>Subtotal</t>
        </is>
      </c>
      <c r="C18" s="1467" t="n"/>
      <c r="D18" s="1468">
        <f>SUM(D14:D17)</f>
        <v/>
      </c>
    </row>
    <row r="20">
      <c r="B20" s="76" t="inlineStr">
        <is>
          <t>Marketing Tooling</t>
        </is>
      </c>
    </row>
    <row r="21">
      <c r="B21" s="84" t="inlineStr">
        <is>
          <t xml:space="preserve">   Search Atlas (existing subscription)  (2)</t>
        </is>
      </c>
      <c r="C21" s="1465" t="n">
        <v>0</v>
      </c>
      <c r="D21" s="1465">
        <f>C21*C7</f>
        <v/>
      </c>
    </row>
    <row r="22">
      <c r="B22" s="1466" t="inlineStr">
        <is>
          <t>Subtotal</t>
        </is>
      </c>
      <c r="C22" s="1467" t="n"/>
      <c r="D22" s="1468">
        <f>SUM(D21:D21)</f>
        <v/>
      </c>
    </row>
    <row r="24">
      <c r="B24" s="76" t="inlineStr">
        <is>
          <t>Conferences</t>
        </is>
      </c>
    </row>
    <row r="25">
      <c r="B25" s="84" t="inlineStr">
        <is>
          <t xml:space="preserve">   NYU (Nov 2026)  (3)</t>
        </is>
      </c>
      <c r="D25" s="1465" t="n">
        <v>3000</v>
      </c>
    </row>
    <row r="26">
      <c r="B26" s="84" t="inlineStr">
        <is>
          <t xml:space="preserve">   AHLA (Jan 2027)  (4)</t>
        </is>
      </c>
      <c r="D26" s="1465" t="n">
        <v>10000</v>
      </c>
    </row>
    <row r="27">
      <c r="B27" s="84" t="inlineStr">
        <is>
          <t xml:space="preserve">   Hunter (Mar 2027)  (5)</t>
        </is>
      </c>
      <c r="D27" s="1465" t="n">
        <v>3000</v>
      </c>
    </row>
    <row r="28">
      <c r="B28" s="1466" t="inlineStr">
        <is>
          <t>Subtotal</t>
        </is>
      </c>
      <c r="C28" s="1467" t="n"/>
      <c r="D28" s="1468">
        <f>SUM(D25:D27)</f>
        <v/>
      </c>
    </row>
    <row r="30">
      <c r="B30" s="76" t="inlineStr">
        <is>
          <t>Travel</t>
        </is>
      </c>
    </row>
    <row r="31">
      <c r="B31" s="1474" t="inlineStr">
        <is>
          <t xml:space="preserve">   Per-trip assumptions</t>
        </is>
      </c>
    </row>
    <row r="32">
      <c r="B32" s="84" t="inlineStr">
        <is>
          <t xml:space="preserve">   Flight (round trip)</t>
        </is>
      </c>
      <c r="C32" s="1472" t="n">
        <v>600</v>
      </c>
    </row>
    <row r="33">
      <c r="B33" s="84" t="inlineStr">
        <is>
          <t xml:space="preserve">   Hotel, per night</t>
        </is>
      </c>
      <c r="C33" s="1472" t="n">
        <v>300</v>
      </c>
    </row>
    <row r="34">
      <c r="B34" s="84" t="inlineStr">
        <is>
          <t xml:space="preserve">   Nights</t>
        </is>
      </c>
      <c r="C34" s="76" t="n">
        <v>2</v>
      </c>
    </row>
    <row r="35">
      <c r="B35" s="84" t="inlineStr">
        <is>
          <t xml:space="preserve">   Meals, per day</t>
        </is>
      </c>
      <c r="C35" s="1472" t="n">
        <v>150</v>
      </c>
    </row>
    <row r="36">
      <c r="B36" s="84" t="inlineStr">
        <is>
          <t xml:space="preserve">   Atlanta</t>
        </is>
      </c>
      <c r="D36" s="1465">
        <f>C32+C33*C34+C35*C34</f>
        <v/>
      </c>
    </row>
    <row r="37">
      <c r="B37" s="84" t="inlineStr">
        <is>
          <t xml:space="preserve">   Boston</t>
        </is>
      </c>
      <c r="D37" s="1465">
        <f>C32+C33*C34+C35*C34</f>
        <v/>
      </c>
    </row>
    <row r="38">
      <c r="B38" s="84" t="inlineStr">
        <is>
          <t xml:space="preserve">   New Orleans</t>
        </is>
      </c>
      <c r="D38" s="1465">
        <f>C32+C33*C34+C35*C34</f>
        <v/>
      </c>
    </row>
    <row r="39">
      <c r="B39" s="1466" t="inlineStr">
        <is>
          <t>Subtotal</t>
        </is>
      </c>
      <c r="C39" s="1467" t="n"/>
      <c r="D39" s="1468">
        <f>SUM(D36:D38)</f>
        <v/>
      </c>
    </row>
    <row r="41">
      <c r="B41" s="76" t="inlineStr">
        <is>
          <t>Legal</t>
        </is>
      </c>
    </row>
    <row r="42">
      <c r="B42" s="84" t="inlineStr">
        <is>
          <t xml:space="preserve">   Pilot / beta agreement review  (7)</t>
        </is>
      </c>
      <c r="D42" s="1465" t="n">
        <v>3000</v>
      </c>
    </row>
    <row r="43">
      <c r="B43" s="1466" t="inlineStr">
        <is>
          <t>Subtotal</t>
        </is>
      </c>
      <c r="C43" s="1467" t="n"/>
      <c r="D43" s="1468">
        <f>SUM(D42:D42)</f>
        <v/>
      </c>
    </row>
    <row r="45">
      <c r="B45" s="76" t="inlineStr">
        <is>
          <t>Development / Infrastructure</t>
        </is>
      </c>
    </row>
    <row r="46">
      <c r="B46" s="84" t="inlineStr">
        <is>
          <t xml:space="preserve">   —</t>
        </is>
      </c>
      <c r="D46" s="1465" t="n">
        <v>0</v>
      </c>
    </row>
    <row r="47">
      <c r="B47" s="84" t="inlineStr">
        <is>
          <t xml:space="preserve">   —</t>
        </is>
      </c>
      <c r="D47" s="1465" t="n">
        <v>0</v>
      </c>
    </row>
    <row r="48">
      <c r="B48" s="84" t="inlineStr">
        <is>
          <t xml:space="preserve">   —</t>
        </is>
      </c>
      <c r="D48" s="1465" t="n">
        <v>0</v>
      </c>
    </row>
    <row r="49">
      <c r="B49" s="84" t="inlineStr">
        <is>
          <t xml:space="preserve">   —</t>
        </is>
      </c>
      <c r="D49" s="1465" t="n">
        <v>0</v>
      </c>
    </row>
    <row r="50">
      <c r="B50" s="84" t="inlineStr">
        <is>
          <t xml:space="preserve">   —</t>
        </is>
      </c>
      <c r="D50" s="1465" t="n">
        <v>0</v>
      </c>
    </row>
    <row r="51">
      <c r="B51" s="1466" t="inlineStr">
        <is>
          <t>Subtotal</t>
        </is>
      </c>
      <c r="C51" s="1467" t="n"/>
      <c r="D51" s="1468">
        <f>SUM(D46:D50)</f>
        <v/>
      </c>
    </row>
    <row r="54">
      <c r="B54" s="1469" t="inlineStr">
        <is>
          <t>Total 6-Month Cash Need</t>
        </is>
      </c>
      <c r="C54" s="1470" t="n"/>
      <c r="D54" s="1471">
        <f>D18+D22+D28+D39+D43+D51</f>
        <v/>
      </c>
    </row>
    <row r="56">
      <c r="B56" s="133" t="inlineStr">
        <is>
          <t>Price-Back Solve</t>
        </is>
      </c>
    </row>
    <row r="57">
      <c r="B57" s="84" t="inlineStr">
        <is>
          <t>Price needed per partner</t>
        </is>
      </c>
      <c r="D57" s="1472">
        <f>D54/C6</f>
        <v/>
      </c>
    </row>
    <row r="58">
      <c r="B58" s="84" t="inlineStr">
        <is>
          <t>Vs. existing price band</t>
        </is>
      </c>
      <c r="D58" s="76">
        <f>IF(D57&lt;F8,"Below band",IF(D57&gt;G8,"Above band",IF(D57&lt;=(F8+G8)/2,"Inside band, lower half","Inside band, upper half")))</f>
        <v/>
      </c>
    </row>
    <row r="60">
      <c r="B60" s="133" t="inlineStr">
        <is>
          <t>Notes</t>
        </is>
      </c>
    </row>
    <row r="61">
      <c r="B61" s="1473" t="inlineStr">
        <is>
          <t>(1)  No salary drawn during the beta window, confirmed 2026.09.20.</t>
        </is>
      </c>
    </row>
    <row r="62">
      <c r="B62" s="1473" t="inlineStr">
        <is>
          <t>(2)  Verified against the live account, 2026.09.20: OTTO SEO active on 5 sites; Website Studio unused (0 projects). $0 incremental — subscription already in hand.</t>
        </is>
      </c>
    </row>
    <row r="63">
      <c r="B63" s="1473" t="inlineStr">
        <is>
          <t>(3)  Sourced from the Departmental Expenses tab, row 55.</t>
        </is>
      </c>
    </row>
    <row r="64">
      <c r="B64" s="1473" t="inlineStr">
        <is>
          <t>(4)  Sourced from the Departmental Expenses tab, row 57.</t>
        </is>
      </c>
    </row>
    <row r="65">
      <c r="B65" s="1473" t="inlineStr">
        <is>
          <t>(5)  Sourced from the Departmental Expenses tab, row 54.</t>
        </is>
      </c>
    </row>
    <row r="66">
      <c r="B66" s="1473" t="inlineStr">
        <is>
          <t>(6)  Per-trip cost = flight + (hotel x nights) + (meals x nights), one traveler. Confirm real itinerary once travel is booked.</t>
        </is>
      </c>
    </row>
    <row r="67">
      <c r="B67" s="1473" t="inlineStr">
        <is>
          <t>(7)  Estimate — lawyer not yet named. Confirm quote once named.</t>
        </is>
      </c>
    </row>
    <row r="68">
      <c r="B68" s="1473" t="inlineStr">
        <is>
          <t>(8)  Five open line items awaiting Eddie's development/infrastructure breakdown — replace label and amount on each row as they're confirmed.</t>
        </is>
      </c>
    </row>
  </sheetData>
  <mergeCells count="9">
    <mergeCell ref="B3:D3"/>
    <mergeCell ref="B66:D66"/>
    <mergeCell ref="B67:D67"/>
    <mergeCell ref="B63:D63"/>
    <mergeCell ref="B61:D61"/>
    <mergeCell ref="B65:D65"/>
    <mergeCell ref="B62:D62"/>
    <mergeCell ref="B68:D68"/>
    <mergeCell ref="B64:D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Burda, Kate</dc:creator>
  <dcterms:created xmlns:dcterms="http://purl.org/dc/terms/" xmlns:xsi="http://www.w3.org/2001/XMLSchema-instance" xsi:type="dcterms:W3CDTF">2021-01-05T19:49:55Z</dcterms:created>
  <dcterms:modified xmlns:dcterms="http://purl.org/dc/terms/" xmlns:xsi="http://www.w3.org/2001/XMLSchema-instance" xsi:type="dcterms:W3CDTF">2026-09-20T21:17:37Z</dcterms:modified>
  <cp:lastModifiedBy>Kate Burda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0x01010075409FC017C7BF40961EF880411E08B5</vt:lpwstr>
  </property>
  <property name="Order" fmtid="{D5CDD505-2E9C-101B-9397-08002B2CF9AE}" pid="3">
    <vt:r8 xmlns:vt="http://schemas.openxmlformats.org/officeDocument/2006/docPropsVTypes">3366400</vt:r8>
  </property>
  <property name="_ExtendedDescription" fmtid="{D5CDD505-2E9C-101B-9397-08002B2CF9AE}" pid="4">
    <vt:lpwstr xmlns:vt="http://schemas.openxmlformats.org/officeDocument/2006/docPropsVTypes"/>
  </property>
  <property name="TriggerFlowInfo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</Properties>
</file>