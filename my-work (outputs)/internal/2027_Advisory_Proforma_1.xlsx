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620" windowWidth="28500" windowHeight="16640" tabRatio="500" firstSheet="4" activeTab="7" autoFilterDateGrouping="1"/>
  </bookViews>
  <sheets>
    <sheet xmlns:r="http://schemas.openxmlformats.org/officeDocument/2006/relationships" name="KB Co Assumptions" sheetId="1" state="visible" r:id="rId1"/>
    <sheet xmlns:r="http://schemas.openxmlformats.org/officeDocument/2006/relationships" name="Jan-Dec Cash Flow" sheetId="2" state="visible" r:id="rId2"/>
    <sheet xmlns:r="http://schemas.openxmlformats.org/officeDocument/2006/relationships" name="Kate Co Breakdown" sheetId="3" state="visible" r:id="rId3"/>
    <sheet xmlns:r="http://schemas.openxmlformats.org/officeDocument/2006/relationships" name="Annual Subscriptions" sheetId="4" state="visible" r:id="rId4"/>
    <sheet xmlns:r="http://schemas.openxmlformats.org/officeDocument/2006/relationships" name="Personal Budget Assumptions" sheetId="5" state="visible" r:id="rId5"/>
    <sheet xmlns:r="http://schemas.openxmlformats.org/officeDocument/2006/relationships" name="Personal Jan-Dec" sheetId="6" state="visible" r:id="rId6"/>
    <sheet xmlns:r="http://schemas.openxmlformats.org/officeDocument/2006/relationships" name="Breakdown" sheetId="7" state="visible" r:id="rId7"/>
    <sheet xmlns:r="http://schemas.openxmlformats.org/officeDocument/2006/relationships" name="Monthly Spending" sheetId="8" state="visible" r:id="rId8"/>
    <sheet xmlns:r="http://schemas.openxmlformats.org/officeDocument/2006/relationships" name="Chicago" sheetId="9" state="visible" r:id="rId9"/>
    <sheet xmlns:r="http://schemas.openxmlformats.org/officeDocument/2006/relationships" name="Scottsdale" sheetId="10" state="visible" r:id="rId10"/>
  </sheets>
  <externalReferences>
    <externalReference xmlns:r="http://schemas.openxmlformats.org/officeDocument/2006/relationships" r:id="rId11"/>
  </externalReferences>
  <definedNames>
    <definedName name="_xlnm.Print_Area" localSheetId="2">'Kate Co Breakdown'!$C$4:$N$65</definedName>
    <definedName name="_xlnm.Print_Area" localSheetId="3">'Annual Subscriptions'!$B$6:$E$28</definedName>
    <definedName name="_xlnm.Print_Area" localSheetId="6">'Breakdown'!$C$2:$K$34</definedName>
    <definedName name="_xlnm.Print_Area" localSheetId="7">'Monthly Spending'!$B$1:$N$39</definedName>
    <definedName name="_xlnm.Print_Area" localSheetId="8">'Chicago'!$B$1:$I$14</definedName>
    <definedName name="_xlnm.Print_Area" localSheetId="9">'Scottsdale'!$B$3:$N$16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\$#,##0_);[Red]&quot;($&quot;#,##0\)"/>
    <numFmt numFmtId="165" formatCode="0.000"/>
    <numFmt numFmtId="166" formatCode="\$#,##0"/>
    <numFmt numFmtId="167" formatCode="0.0"/>
    <numFmt numFmtId="168" formatCode="\$#,##0.00"/>
    <numFmt numFmtId="169" formatCode="0.0%"/>
    <numFmt numFmtId="170" formatCode="&quot;$&quot;#,##0"/>
  </numFmts>
  <fonts count="68">
    <font>
      <name val="Arial"/>
      <charset val="1"/>
      <sz val="10"/>
    </font>
    <font>
      <name val="Arial"/>
      <charset val="1"/>
      <family val="2"/>
      <sz val="11"/>
    </font>
    <font>
      <name val="Arial"/>
      <charset val="1"/>
      <family val="2"/>
      <b val="1"/>
      <sz val="12"/>
    </font>
    <font>
      <name val="Arial"/>
      <charset val="1"/>
      <family val="2"/>
      <sz val="10"/>
    </font>
    <font>
      <name val="Arial"/>
      <charset val="1"/>
      <family val="2"/>
      <sz val="10"/>
      <u val="single"/>
    </font>
    <font>
      <name val="Franklin Gothic Book"/>
      <charset val="1"/>
      <family val="2"/>
      <b val="1"/>
      <i val="1"/>
      <sz val="12"/>
      <u val="single"/>
    </font>
    <font>
      <name val="Franklin Gothic Book"/>
      <charset val="1"/>
      <family val="2"/>
      <sz val="12"/>
    </font>
    <font>
      <name val="Franklin Gothic Book"/>
      <charset val="1"/>
      <family val="2"/>
      <color theme="1"/>
      <sz val="12"/>
    </font>
    <font>
      <name val="Franklin Gothic Book"/>
      <charset val="1"/>
      <family val="2"/>
      <b val="1"/>
      <sz val="12"/>
    </font>
    <font>
      <name val="Franklin Gothic Book"/>
      <charset val="1"/>
      <family val="2"/>
      <b val="1"/>
      <i val="1"/>
      <sz val="12"/>
    </font>
    <font>
      <name val="Franklin Gothic Book"/>
      <charset val="1"/>
      <family val="2"/>
      <i val="1"/>
      <sz val="12"/>
    </font>
    <font>
      <name val="Arial"/>
      <charset val="1"/>
      <family val="2"/>
      <sz val="12"/>
    </font>
    <font>
      <name val="Franklin Gothic Book"/>
      <charset val="1"/>
      <family val="2"/>
      <color theme="9" tint="0.7998901333658864"/>
      <sz val="12"/>
    </font>
    <font>
      <name val="Franklin Gothic Book"/>
      <charset val="1"/>
      <family val="2"/>
      <color rgb="FFFF0000"/>
      <sz val="12"/>
    </font>
    <font>
      <name val="Aileron"/>
      <sz val="12"/>
    </font>
    <font>
      <name val="Aileron"/>
      <i val="1"/>
      <sz val="12"/>
    </font>
    <font>
      <name val="Aileron"/>
      <color rgb="FFB52372"/>
      <sz val="16"/>
    </font>
    <font>
      <name val="Arial"/>
      <charset val="1"/>
      <family val="2"/>
      <color rgb="FFB52372"/>
      <sz val="10"/>
    </font>
    <font>
      <name val="Aileron"/>
      <sz val="14"/>
    </font>
    <font>
      <name val="Cambria"/>
      <charset val="1"/>
      <family val="1"/>
      <sz val="10"/>
    </font>
    <font>
      <name val="Franklin Gothic Book"/>
      <charset val="1"/>
      <family val="2"/>
      <sz val="10"/>
    </font>
    <font>
      <name val="Franklin Gothic Book"/>
      <charset val="1"/>
      <family val="2"/>
      <b val="1"/>
      <i val="1"/>
      <sz val="11"/>
      <u val="single"/>
    </font>
    <font>
      <name val="Franklin Gothic Book"/>
      <charset val="1"/>
      <family val="2"/>
      <sz val="11"/>
    </font>
    <font>
      <name val="Franklin Gothic Book"/>
      <charset val="1"/>
      <family val="2"/>
      <i val="1"/>
      <sz val="10"/>
    </font>
    <font>
      <name val="Franklin Gothic Book"/>
      <charset val="1"/>
      <family val="2"/>
      <b val="1"/>
      <sz val="11"/>
    </font>
    <font>
      <name val="Franklin Gothic Book"/>
      <charset val="1"/>
      <family val="2"/>
      <b val="1"/>
      <i val="1"/>
      <sz val="11"/>
    </font>
    <font>
      <name val="Franklin Gothic Book"/>
      <charset val="1"/>
      <family val="2"/>
      <i val="1"/>
      <sz val="11"/>
    </font>
    <font>
      <name val="Franklin Gothic Book"/>
      <charset val="1"/>
      <family val="2"/>
      <color theme="0" tint="-0.499984740745262"/>
      <sz val="10"/>
    </font>
    <font>
      <name val="Franklin Gothic Book"/>
      <charset val="1"/>
      <family val="2"/>
      <color rgb="FFFF0000"/>
      <sz val="10"/>
    </font>
    <font>
      <name val="Cambria"/>
      <charset val="1"/>
      <family val="1"/>
      <color rgb="FFFF0000"/>
      <sz val="10"/>
    </font>
    <font>
      <name val="바탕"/>
      <charset val="1"/>
      <family val="1"/>
      <sz val="10"/>
    </font>
    <font>
      <name val="바탕"/>
      <charset val="1"/>
      <family val="1"/>
      <sz val="11"/>
    </font>
    <font>
      <name val="바탕"/>
      <charset val="1"/>
      <family val="1"/>
      <sz val="12"/>
    </font>
    <font>
      <name val="Cambria"/>
      <charset val="1"/>
      <family val="1"/>
      <sz val="12"/>
    </font>
    <font>
      <name val="Cambria"/>
      <charset val="1"/>
      <family val="1"/>
      <sz val="14"/>
    </font>
    <font>
      <name val="Cambria"/>
      <charset val="1"/>
      <family val="1"/>
      <i val="1"/>
      <sz val="14"/>
    </font>
    <font>
      <name val="Cambria"/>
      <charset val="1"/>
      <family val="1"/>
      <color theme="4" tint="0.7998901333658864"/>
      <sz val="14"/>
    </font>
    <font>
      <name val="Arial"/>
      <charset val="1"/>
      <family val="2"/>
      <color rgb="FFD51067"/>
      <sz val="10"/>
    </font>
    <font>
      <name val="Franklin Gothic Book"/>
      <family val="2"/>
      <color rgb="FF262729"/>
      <sz val="10"/>
    </font>
    <font>
      <name val="Franklin Gothic Medium"/>
      <family val="2"/>
      <b val="1"/>
      <color rgb="FFB52372"/>
      <sz val="14"/>
    </font>
    <font>
      <name val="Franklin Gothic Medium"/>
      <family val="2"/>
      <b val="1"/>
      <color rgb="FFFFFFFF"/>
      <sz val="11"/>
    </font>
    <font>
      <name val="Franklin Gothic Book"/>
      <family val="2"/>
      <color rgb="FF262729"/>
      <sz val="11"/>
    </font>
    <font>
      <name val="Franklin Gothic Medium"/>
      <family val="2"/>
      <b val="1"/>
      <color rgb="FFB52372"/>
      <sz val="11"/>
    </font>
    <font>
      <name val="Arial"/>
      <family val="2"/>
      <sz val="11"/>
    </font>
    <font>
      <name val="Franklin Gothic Book"/>
      <family val="2"/>
      <b val="1"/>
      <color rgb="FF262729"/>
      <sz val="11"/>
    </font>
    <font>
      <name val="Franklin Gothic Medium"/>
      <family val="2"/>
      <b val="1"/>
      <color rgb="FFB52372"/>
      <sz val="12"/>
    </font>
    <font>
      <name val="Franklin Gothic Book"/>
      <family val="2"/>
      <color rgb="FF262729"/>
      <sz val="12"/>
    </font>
    <font>
      <name val="Franklin Gothic Medium"/>
      <family val="2"/>
      <b val="1"/>
      <color rgb="FFFFFFFF"/>
      <sz val="12"/>
    </font>
    <font>
      <name val="바탕"/>
      <charset val="1"/>
      <family val="1"/>
      <color theme="1"/>
      <sz val="14"/>
    </font>
    <font>
      <name val="Arial"/>
      <family val="2"/>
      <color theme="1"/>
      <sz val="10"/>
    </font>
    <font>
      <name val="Franklin Gothic Book"/>
      <family val="2"/>
      <b val="1"/>
      <color rgb="FFB52372"/>
      <sz val="12"/>
    </font>
    <font>
      <name val="Arial"/>
      <family val="2"/>
      <sz val="12"/>
    </font>
    <font>
      <name val="Arial"/>
      <family val="2"/>
      <sz val="14"/>
    </font>
    <font>
      <name val="Franklin Gothic Book"/>
      <family val="2"/>
      <color theme="0"/>
      <sz val="12"/>
    </font>
    <font>
      <name val="Franklin Gothic Medium"/>
      <family val="2"/>
      <color rgb="FFFFFFFF"/>
      <sz val="12"/>
    </font>
    <font>
      <name val="Franklin Gothic Medium"/>
      <family val="2"/>
      <color rgb="FFB52372"/>
      <sz val="12"/>
    </font>
    <font>
      <name val="Franklin Gothic Book"/>
      <family val="2"/>
      <color rgb="FFB52372"/>
      <sz val="12"/>
    </font>
    <font>
      <name val="Franklin Gothic Medium"/>
      <family val="2"/>
      <b val="1"/>
      <color rgb="FFB52372"/>
      <sz val="16"/>
    </font>
    <font>
      <name val="Arial"/>
      <family val="2"/>
      <sz val="10"/>
    </font>
    <font>
      <name val="Franklin Gothic Book"/>
      <color rgb="FF262729"/>
      <sz val="12"/>
    </font>
    <font>
      <name val="Franklin Gothic Medium"/>
      <b val="1"/>
      <color rgb="FFFFFFFF"/>
      <sz val="12"/>
    </font>
    <font>
      <name val="Franklin Gothic Medium"/>
      <b val="1"/>
      <color rgb="FFB52372"/>
      <sz val="12"/>
    </font>
    <font>
      <name val="Franklin Gothic Medium"/>
      <b val="1"/>
      <color rgb="FFB52372"/>
      <sz val="11"/>
    </font>
    <font>
      <name val="Franklin Gothic Medium"/>
      <b val="1"/>
      <color rgb="FF1155CC"/>
      <sz val="12"/>
    </font>
    <font>
      <name val="Franklin Gothic Book"/>
      <b val="1"/>
      <color rgb="FF262729"/>
      <sz val="11"/>
    </font>
    <font>
      <name val="Franklin Gothic Medium"/>
      <b val="1"/>
      <color rgb="FFFFFFFF"/>
      <sz val="11"/>
    </font>
    <font>
      <name val="Franklin Gothic Book"/>
      <color rgb="FF262729"/>
      <sz val="11"/>
    </font>
    <font>
      <name val="Arial"/>
      <sz val="12"/>
    </font>
  </fonts>
  <fills count="43">
    <fill>
      <patternFill/>
    </fill>
    <fill>
      <patternFill patternType="gray125"/>
    </fill>
    <fill>
      <patternFill patternType="solid">
        <fgColor theme="9" tint="0.7998901333658864"/>
        <bgColor rgb="FFE0EBF6"/>
      </patternFill>
    </fill>
    <fill>
      <patternFill patternType="solid">
        <fgColor rgb="FFD6E4F0"/>
        <bgColor rgb="FFDAE0EF"/>
      </patternFill>
    </fill>
    <fill>
      <patternFill patternType="solid">
        <fgColor theme="0" tint="-0.249977111117893"/>
        <bgColor rgb="FFA9CCE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EBEA99"/>
        <bgColor rgb="FFEBE9EC"/>
      </patternFill>
    </fill>
    <fill>
      <patternFill patternType="solid">
        <fgColor rgb="FFB52372"/>
        <bgColor rgb="FFB52372"/>
      </patternFill>
    </fill>
    <fill>
      <patternFill patternType="solid">
        <fgColor rgb="FFE7E1E6"/>
        <bgColor rgb="FFE7E1E6"/>
      </patternFill>
    </fill>
    <fill>
      <patternFill patternType="solid">
        <fgColor theme="0" tint="-0.1499984740745262"/>
        <bgColor rgb="FF2B5259"/>
      </patternFill>
    </fill>
    <fill>
      <patternFill patternType="solid">
        <fgColor theme="0" tint="-0.1499984740745262"/>
        <bgColor rgb="FFE0EBF6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rgb="FFACCBF9"/>
      </patternFill>
    </fill>
    <fill>
      <patternFill patternType="solid">
        <fgColor theme="0" tint="-0.0499893185216834"/>
        <bgColor rgb="FFE0EBF6"/>
      </patternFill>
    </fill>
    <fill>
      <patternFill patternType="solid">
        <fgColor theme="0" tint="-0.0499893185216834"/>
        <bgColor rgb="FFDAE0E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2B5259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E0EBF6"/>
      </patternFill>
    </fill>
    <fill>
      <patternFill patternType="solid">
        <fgColor theme="5" tint="0.7999816888943144"/>
        <bgColor rgb="FF5AA2AE"/>
      </patternFill>
    </fill>
    <fill>
      <patternFill patternType="solid">
        <fgColor theme="5" tint="0.7999816888943144"/>
        <bgColor rgb="FFE0EBF6"/>
      </patternFill>
    </fill>
    <fill>
      <patternFill patternType="solid">
        <fgColor theme="5" tint="0.7999816888943144"/>
        <bgColor rgb="FFA9CCEE"/>
      </patternFill>
    </fill>
    <fill>
      <patternFill patternType="solid">
        <fgColor theme="4" tint="0.7999816888943144"/>
        <bgColor rgb="FFA9CCEE"/>
      </patternFill>
    </fill>
    <fill>
      <patternFill patternType="solid">
        <fgColor theme="4" tint="0.7999816888943144"/>
        <bgColor rgb="FFE0EBF6"/>
      </patternFill>
    </fill>
    <fill>
      <patternFill patternType="solid">
        <fgColor theme="4" tint="0.7999816888943144"/>
        <bgColor rgb="FFD6E4F0"/>
      </patternFill>
    </fill>
    <fill>
      <patternFill patternType="solid">
        <fgColor theme="4" tint="0.7999816888943144"/>
        <bgColor rgb="FF80808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rgb="FFA9CCEE"/>
      </patternFill>
    </fill>
    <fill>
      <patternFill patternType="solid">
        <fgColor theme="5" tint="0.7999816888943144"/>
        <bgColor rgb="FFACCBF9"/>
      </patternFill>
    </fill>
    <fill>
      <patternFill patternType="solid">
        <fgColor theme="0"/>
        <bgColor rgb="FFE0EBF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52372"/>
      </patternFill>
    </fill>
    <fill>
      <patternFill patternType="solid">
        <fgColor theme="0"/>
        <bgColor rgb="FFF5F3F5"/>
      </patternFill>
    </fill>
    <fill>
      <patternFill patternType="solid">
        <fgColor theme="0"/>
        <bgColor rgb="FFE7E1E6"/>
      </patternFill>
    </fill>
    <fill>
      <patternFill patternType="solid">
        <fgColor rgb="FF1F4E79"/>
        <bgColor rgb="FF2B5259"/>
      </patternFill>
    </fill>
    <fill>
      <patternFill patternType="solid">
        <fgColor theme="9" tint="0.7999816888943144"/>
        <bgColor rgb="FFF5F3F5"/>
      </patternFill>
    </fill>
    <fill>
      <patternFill patternType="solid">
        <fgColor theme="9" tint="0.7999816888943144"/>
        <bgColor rgb="FFE7E1E6"/>
      </patternFill>
    </fill>
    <fill>
      <patternFill patternType="solid">
        <fgColor theme="8" tint="0.7999816888943144"/>
        <bgColor rgb="FFDAE0EF"/>
      </patternFill>
    </fill>
    <fill>
      <patternFill patternType="solid">
        <fgColor rgb="FFB52372"/>
        <bgColor rgb="FFE0EBF6"/>
      </patternFill>
    </fill>
    <fill>
      <patternFill patternType="solid">
        <fgColor rgb="FFB52372"/>
      </patternFill>
    </fill>
    <fill>
      <patternFill patternType="solid">
        <fgColor rgb="FFE7E1E6"/>
      </patternFill>
    </fill>
    <fill>
      <patternFill patternType="solid">
        <fgColor rgb="FFFFF2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theme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DashDot">
        <color rgb="FFB52372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/>
      <right/>
      <top style="mediumDashDot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2" borderId="0"/>
  </cellStyleXfs>
  <cellXfs count="411"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6" fillId="2" borderId="0" pivotButton="0" quotePrefix="0" xfId="0"/>
    <xf numFmtId="0" fontId="6" fillId="2" borderId="2" pivotButton="0" quotePrefix="0" xfId="0"/>
    <xf numFmtId="0" fontId="7" fillId="5" borderId="3" pivotButton="0" quotePrefix="0" xfId="0"/>
    <xf numFmtId="0" fontId="8" fillId="6" borderId="4" pivotButton="0" quotePrefix="0" xfId="0"/>
    <xf numFmtId="0" fontId="6" fillId="6" borderId="0" pivotButton="0" quotePrefix="0" xfId="0"/>
    <xf numFmtId="0" fontId="6" fillId="6" borderId="5" pivotButton="0" quotePrefix="0" xfId="0"/>
    <xf numFmtId="1" fontId="6" fillId="2" borderId="6" pivotButton="0" quotePrefix="0" xfId="0"/>
    <xf numFmtId="0" fontId="10" fillId="2" borderId="7" pivotButton="0" quotePrefix="0" xfId="0"/>
    <xf numFmtId="0" fontId="6" fillId="6" borderId="4" pivotButton="0" quotePrefix="0" xfId="0"/>
    <xf numFmtId="1" fontId="6" fillId="6" borderId="5" pivotButton="0" quotePrefix="0" xfId="0"/>
    <xf numFmtId="1" fontId="6" fillId="2" borderId="8" pivotButton="0" quotePrefix="0" xfId="0"/>
    <xf numFmtId="1" fontId="6" fillId="2" borderId="0" pivotButton="0" quotePrefix="0" xfId="0"/>
    <xf numFmtId="0" fontId="6" fillId="2" borderId="6" pivotButton="0" quotePrefix="0" xfId="0"/>
    <xf numFmtId="0" fontId="6" fillId="2" borderId="8" pivotButton="0" quotePrefix="0" xfId="0"/>
    <xf numFmtId="0" fontId="6" fillId="4" borderId="9" pivotButton="0" quotePrefix="0" xfId="0"/>
    <xf numFmtId="0" fontId="6" fillId="4" borderId="10" pivotButton="0" quotePrefix="0" xfId="0"/>
    <xf numFmtId="1" fontId="6" fillId="6" borderId="0" pivotButton="0" quotePrefix="0" xfId="0"/>
    <xf numFmtId="3" fontId="6" fillId="2" borderId="11" pivotButton="0" quotePrefix="0" xfId="0"/>
    <xf numFmtId="0" fontId="6" fillId="2" borderId="12" pivotButton="0" quotePrefix="0" xfId="0"/>
    <xf numFmtId="0" fontId="10" fillId="2" borderId="0" pivotButton="0" quotePrefix="0" xfId="0"/>
    <xf numFmtId="0" fontId="6" fillId="6" borderId="4" applyAlignment="1" pivotButton="0" quotePrefix="0" xfId="0">
      <alignment wrapText="1"/>
    </xf>
    <xf numFmtId="164" fontId="6" fillId="6" borderId="5" pivotButton="0" quotePrefix="0" xfId="0"/>
    <xf numFmtId="1" fontId="6" fillId="0" borderId="0" pivotButton="0" quotePrefix="0" xfId="0"/>
    <xf numFmtId="0" fontId="11" fillId="2" borderId="0" pivotButton="0" quotePrefix="0" xfId="0"/>
    <xf numFmtId="165" fontId="6" fillId="2" borderId="0" pivotButton="0" quotePrefix="0" xfId="0"/>
    <xf numFmtId="0" fontId="10" fillId="2" borderId="0" applyAlignment="1" pivotButton="0" quotePrefix="0" xfId="0">
      <alignment horizontal="left"/>
    </xf>
    <xf numFmtId="1" fontId="11" fillId="2" borderId="0" pivotButton="0" quotePrefix="0" xfId="0"/>
    <xf numFmtId="0" fontId="6" fillId="6" borderId="4" applyAlignment="1" pivotButton="0" quotePrefix="0" xfId="0">
      <alignment horizontal="left" vertical="center" wrapText="1"/>
    </xf>
    <xf numFmtId="165" fontId="6" fillId="2" borderId="0" applyAlignment="1" pivotButton="0" quotePrefix="0" xfId="0">
      <alignment horizontal="right"/>
    </xf>
    <xf numFmtId="0" fontId="6" fillId="2" borderId="0" applyAlignment="1" pivotButton="0" quotePrefix="0" xfId="0">
      <alignment horizontal="right"/>
    </xf>
    <xf numFmtId="2" fontId="6" fillId="2" borderId="0" applyAlignment="1" pivotButton="0" quotePrefix="0" xfId="0">
      <alignment horizontal="right"/>
    </xf>
    <xf numFmtId="0" fontId="6" fillId="2" borderId="2" applyAlignment="1" pivotButton="0" quotePrefix="0" xfId="0">
      <alignment horizontal="right"/>
    </xf>
    <xf numFmtId="2" fontId="6" fillId="2" borderId="2" applyAlignment="1" pivotButton="0" quotePrefix="0" xfId="0">
      <alignment horizontal="right"/>
    </xf>
    <xf numFmtId="0" fontId="10" fillId="2" borderId="0" applyAlignment="1" pivotButton="0" quotePrefix="0" xfId="0">
      <alignment horizontal="right"/>
    </xf>
    <xf numFmtId="165" fontId="6" fillId="2" borderId="0" applyAlignment="1" pivotButton="0" quotePrefix="0" xfId="0">
      <alignment horizontal="center"/>
    </xf>
    <xf numFmtId="0" fontId="12" fillId="2" borderId="0" pivotButton="0" quotePrefix="0" xfId="0"/>
    <xf numFmtId="0" fontId="6" fillId="6" borderId="11" pivotButton="0" quotePrefix="0" xfId="0"/>
    <xf numFmtId="1" fontId="6" fillId="6" borderId="13" pivotButton="0" quotePrefix="0" xfId="0"/>
    <xf numFmtId="0" fontId="6" fillId="6" borderId="12" pivotButton="0" quotePrefix="0" xfId="0"/>
    <xf numFmtId="0" fontId="3" fillId="2" borderId="2" pivotButton="0" quotePrefix="0" xfId="0"/>
    <xf numFmtId="1" fontId="3" fillId="2" borderId="2" pivotButton="0" quotePrefix="0" xfId="0"/>
    <xf numFmtId="1" fontId="3" fillId="2" borderId="0" pivotButton="0" quotePrefix="0" xfId="0"/>
    <xf numFmtId="0" fontId="14" fillId="2" borderId="0" pivotButton="0" quotePrefix="0" xfId="0"/>
    <xf numFmtId="1" fontId="14" fillId="2" borderId="0" pivotButton="0" quotePrefix="0" xfId="0"/>
    <xf numFmtId="0" fontId="14" fillId="2" borderId="6" pivotButton="0" quotePrefix="0" xfId="0"/>
    <xf numFmtId="0" fontId="14" fillId="2" borderId="14" pivotButton="0" quotePrefix="0" xfId="0"/>
    <xf numFmtId="0" fontId="15" fillId="2" borderId="14" pivotButton="0" quotePrefix="0" xfId="0"/>
    <xf numFmtId="1" fontId="14" fillId="2" borderId="14" pivotButton="0" quotePrefix="0" xfId="0"/>
    <xf numFmtId="1" fontId="11" fillId="2" borderId="7" pivotButton="0" quotePrefix="0" xfId="0"/>
    <xf numFmtId="0" fontId="14" fillId="2" borderId="4" pivotButton="0" quotePrefix="0" xfId="0"/>
    <xf numFmtId="0" fontId="15" fillId="2" borderId="0" pivotButton="0" quotePrefix="0" xfId="0"/>
    <xf numFmtId="0" fontId="11" fillId="2" borderId="5" pivotButton="0" quotePrefix="0" xfId="0"/>
    <xf numFmtId="0" fontId="14" fillId="2" borderId="11" pivotButton="0" quotePrefix="0" xfId="0"/>
    <xf numFmtId="0" fontId="14" fillId="2" borderId="15" pivotButton="0" quotePrefix="0" xfId="0"/>
    <xf numFmtId="0" fontId="15" fillId="2" borderId="15" pivotButton="0" quotePrefix="0" xfId="0"/>
    <xf numFmtId="1" fontId="14" fillId="2" borderId="15" pivotButton="0" quotePrefix="0" xfId="0"/>
    <xf numFmtId="1" fontId="11" fillId="2" borderId="12" pivotButton="0" quotePrefix="0" xfId="0"/>
    <xf numFmtId="0" fontId="17" fillId="2" borderId="0" pivotButton="0" quotePrefix="0" xfId="0"/>
    <xf numFmtId="0" fontId="18" fillId="2" borderId="0" pivotButton="0" quotePrefix="0" xfId="0"/>
    <xf numFmtId="166" fontId="18" fillId="2" borderId="0" pivotButton="0" quotePrefix="0" xfId="0"/>
    <xf numFmtId="0" fontId="19" fillId="2" borderId="0" pivotButton="0" quotePrefix="0" xfId="0"/>
    <xf numFmtId="0" fontId="20" fillId="2" borderId="0" pivotButton="0" quotePrefix="0" xfId="0"/>
    <xf numFmtId="0" fontId="21" fillId="4" borderId="16" applyAlignment="1" pivotButton="0" quotePrefix="0" xfId="0">
      <alignment horizontal="center"/>
    </xf>
    <xf numFmtId="0" fontId="22" fillId="2" borderId="0" pivotButton="0" quotePrefix="0" xfId="0"/>
    <xf numFmtId="0" fontId="23" fillId="2" borderId="0" pivotButton="0" quotePrefix="0" xfId="0"/>
    <xf numFmtId="0" fontId="22" fillId="2" borderId="4" pivotButton="0" quotePrefix="0" xfId="0"/>
    <xf numFmtId="1" fontId="22" fillId="2" borderId="17" pivotButton="0" quotePrefix="0" xfId="0"/>
    <xf numFmtId="0" fontId="22" fillId="2" borderId="5" pivotButton="0" quotePrefix="0" xfId="0"/>
    <xf numFmtId="0" fontId="22" fillId="2" borderId="0" applyAlignment="1" pivotButton="0" quotePrefix="0" xfId="0">
      <alignment horizontal="center"/>
    </xf>
    <xf numFmtId="0" fontId="22" fillId="2" borderId="0" applyAlignment="1" pivotButton="0" quotePrefix="0" xfId="0">
      <alignment horizontal="center" vertical="center"/>
    </xf>
    <xf numFmtId="0" fontId="22" fillId="2" borderId="6" pivotButton="0" quotePrefix="0" xfId="0"/>
    <xf numFmtId="0" fontId="26" fillId="2" borderId="7" pivotButton="0" quotePrefix="0" xfId="0"/>
    <xf numFmtId="1" fontId="22" fillId="7" borderId="18" applyAlignment="1" pivotButton="0" quotePrefix="0" xfId="0">
      <alignment horizontal="center"/>
    </xf>
    <xf numFmtId="1" fontId="22" fillId="2" borderId="0" pivotButton="0" quotePrefix="0" xfId="0"/>
    <xf numFmtId="1" fontId="22" fillId="2" borderId="5" pivotButton="0" quotePrefix="0" xfId="0"/>
    <xf numFmtId="0" fontId="26" fillId="2" borderId="5" pivotButton="0" quotePrefix="0" xfId="0"/>
    <xf numFmtId="0" fontId="23" fillId="2" borderId="20" pivotButton="0" quotePrefix="0" xfId="0"/>
    <xf numFmtId="0" fontId="22" fillId="4" borderId="4" pivotButton="0" quotePrefix="0" xfId="0"/>
    <xf numFmtId="0" fontId="22" fillId="4" borderId="5" pivotButton="0" quotePrefix="0" xfId="0"/>
    <xf numFmtId="1" fontId="22" fillId="2" borderId="4" pivotButton="0" quotePrefix="0" xfId="0"/>
    <xf numFmtId="1" fontId="22" fillId="2" borderId="11" pivotButton="0" quotePrefix="0" xfId="0"/>
    <xf numFmtId="0" fontId="22" fillId="2" borderId="12" pivotButton="0" quotePrefix="0" xfId="0"/>
    <xf numFmtId="0" fontId="26" fillId="2" borderId="0" applyAlignment="1" pivotButton="0" quotePrefix="0" xfId="0">
      <alignment horizontal="left"/>
    </xf>
    <xf numFmtId="165" fontId="22" fillId="2" borderId="0" pivotButton="0" quotePrefix="0" xfId="0"/>
    <xf numFmtId="0" fontId="22" fillId="2" borderId="1" pivotButton="0" quotePrefix="0" xfId="0"/>
    <xf numFmtId="0" fontId="22" fillId="2" borderId="15" pivotButton="0" quotePrefix="0" xfId="0"/>
    <xf numFmtId="1" fontId="22" fillId="2" borderId="21" pivotButton="0" quotePrefix="0" xfId="0"/>
    <xf numFmtId="0" fontId="22" fillId="2" borderId="21" pivotButton="0" quotePrefix="0" xfId="0"/>
    <xf numFmtId="1" fontId="27" fillId="2" borderId="0" pivotButton="0" quotePrefix="0" xfId="0"/>
    <xf numFmtId="0" fontId="30" fillId="2" borderId="0" pivotButton="0" quotePrefix="0" xfId="0"/>
    <xf numFmtId="0" fontId="33" fillId="2" borderId="0" pivotButton="0" quotePrefix="0" xfId="0"/>
    <xf numFmtId="0" fontId="37" fillId="2" borderId="0" pivotButton="0" quotePrefix="0" xfId="0"/>
    <xf numFmtId="0" fontId="38" fillId="0" borderId="0" pivotButton="0" quotePrefix="0" xfId="0"/>
    <xf numFmtId="0" fontId="40" fillId="8" borderId="0" pivotButton="0" quotePrefix="0" xfId="0"/>
    <xf numFmtId="166" fontId="40" fillId="8" borderId="0" applyAlignment="1" pivotButton="0" quotePrefix="0" xfId="0">
      <alignment horizontal="right"/>
    </xf>
    <xf numFmtId="0" fontId="40" fillId="8" borderId="0" applyAlignment="1" pivotButton="0" quotePrefix="0" xfId="0">
      <alignment horizontal="center"/>
    </xf>
    <xf numFmtId="166" fontId="38" fillId="0" borderId="0" applyAlignment="1" pivotButton="0" quotePrefix="0" xfId="0">
      <alignment horizontal="right"/>
    </xf>
    <xf numFmtId="0" fontId="38" fillId="0" borderId="0" applyAlignment="1" pivotButton="0" quotePrefix="0" xfId="0">
      <alignment horizontal="center"/>
    </xf>
    <xf numFmtId="0" fontId="41" fillId="2" borderId="0" pivotButton="0" quotePrefix="0" xfId="0"/>
    <xf numFmtId="3" fontId="41" fillId="2" borderId="0" pivotButton="0" quotePrefix="0" xfId="0"/>
    <xf numFmtId="0" fontId="42" fillId="9" borderId="0" pivotButton="0" quotePrefix="0" xfId="0"/>
    <xf numFmtId="0" fontId="43" fillId="0" borderId="0" pivotButton="0" quotePrefix="0" xfId="0"/>
    <xf numFmtId="0" fontId="41" fillId="0" borderId="0" pivotButton="0" quotePrefix="0" xfId="0"/>
    <xf numFmtId="0" fontId="41" fillId="16" borderId="0" pivotButton="0" quotePrefix="0" xfId="0"/>
    <xf numFmtId="3" fontId="41" fillId="14" borderId="0" pivotButton="0" quotePrefix="0" xfId="0"/>
    <xf numFmtId="166" fontId="41" fillId="0" borderId="0" applyAlignment="1" pivotButton="0" quotePrefix="0" xfId="0">
      <alignment horizontal="right"/>
    </xf>
    <xf numFmtId="166" fontId="38" fillId="0" borderId="0" pivotButton="0" quotePrefix="0" xfId="0"/>
    <xf numFmtId="0" fontId="44" fillId="17" borderId="0" pivotButton="0" quotePrefix="0" xfId="0"/>
    <xf numFmtId="0" fontId="44" fillId="17" borderId="0" applyAlignment="1" pivotButton="0" quotePrefix="0" xfId="0">
      <alignment horizontal="center"/>
    </xf>
    <xf numFmtId="0" fontId="44" fillId="2" borderId="0" applyAlignment="1" pivotButton="0" quotePrefix="0" xfId="0">
      <alignment horizontal="center"/>
    </xf>
    <xf numFmtId="0" fontId="41" fillId="15" borderId="0" pivotButton="0" quotePrefix="0" xfId="0"/>
    <xf numFmtId="3" fontId="41" fillId="15" borderId="0" pivotButton="0" quotePrefix="0" xfId="0"/>
    <xf numFmtId="3" fontId="41" fillId="16" borderId="0" pivotButton="0" quotePrefix="0" xfId="0"/>
    <xf numFmtId="3" fontId="42" fillId="9" borderId="0" applyAlignment="1" pivotButton="0" quotePrefix="0" xfId="0">
      <alignment horizontal="right"/>
    </xf>
    <xf numFmtId="3" fontId="42" fillId="9" borderId="0" pivotButton="0" quotePrefix="0" xfId="0"/>
    <xf numFmtId="3" fontId="41" fillId="2" borderId="0" applyAlignment="1" pivotButton="0" quotePrefix="0" xfId="0">
      <alignment horizontal="right"/>
    </xf>
    <xf numFmtId="3" fontId="41" fillId="0" borderId="0" pivotButton="0" quotePrefix="0" xfId="0"/>
    <xf numFmtId="166" fontId="41" fillId="0" borderId="0" pivotButton="0" quotePrefix="0" xfId="0"/>
    <xf numFmtId="3" fontId="41" fillId="0" borderId="0" applyAlignment="1" pivotButton="0" quotePrefix="0" xfId="0">
      <alignment horizontal="right"/>
    </xf>
    <xf numFmtId="0" fontId="0" fillId="14" borderId="0" pivotButton="0" quotePrefix="0" xfId="0"/>
    <xf numFmtId="0" fontId="0" fillId="16" borderId="0" pivotButton="0" quotePrefix="0" xfId="0"/>
    <xf numFmtId="0" fontId="0" fillId="18" borderId="0" pivotButton="0" quotePrefix="0" xfId="0"/>
    <xf numFmtId="0" fontId="0" fillId="19" borderId="0" pivotButton="0" quotePrefix="0" xfId="0"/>
    <xf numFmtId="1" fontId="6" fillId="19" borderId="0" pivotButton="0" quotePrefix="0" xfId="0"/>
    <xf numFmtId="0" fontId="10" fillId="19" borderId="0" applyAlignment="1" pivotButton="0" quotePrefix="0" xfId="0">
      <alignment horizontal="left"/>
    </xf>
    <xf numFmtId="0" fontId="6" fillId="19" borderId="0" pivotButton="0" quotePrefix="0" xfId="0"/>
    <xf numFmtId="0" fontId="10" fillId="19" borderId="0" pivotButton="0" quotePrefix="0" xfId="0"/>
    <xf numFmtId="3" fontId="13" fillId="19" borderId="0" applyAlignment="1" pivotButton="0" quotePrefix="0" xfId="0">
      <alignment horizontal="center"/>
    </xf>
    <xf numFmtId="0" fontId="46" fillId="12" borderId="0" pivotButton="0" quotePrefix="0" xfId="0"/>
    <xf numFmtId="0" fontId="46" fillId="10" borderId="0" pivotButton="0" quotePrefix="0" xfId="0"/>
    <xf numFmtId="0" fontId="46" fillId="10" borderId="0" applyAlignment="1" pivotButton="0" quotePrefix="0" xfId="0">
      <alignment horizontal="center"/>
    </xf>
    <xf numFmtId="0" fontId="46" fillId="11" borderId="0" pivotButton="0" quotePrefix="0" xfId="0"/>
    <xf numFmtId="0" fontId="46" fillId="0" borderId="0" pivotButton="0" quotePrefix="0" xfId="0"/>
    <xf numFmtId="0" fontId="47" fillId="8" borderId="0" pivotButton="0" quotePrefix="0" xfId="0"/>
    <xf numFmtId="0" fontId="46" fillId="2" borderId="0" pivotButton="0" quotePrefix="0" xfId="0"/>
    <xf numFmtId="3" fontId="46" fillId="2" borderId="0" applyAlignment="1" pivotButton="0" quotePrefix="0" xfId="0">
      <alignment horizontal="right"/>
    </xf>
    <xf numFmtId="3" fontId="46" fillId="2" borderId="0" pivotButton="0" quotePrefix="0" xfId="0"/>
    <xf numFmtId="0" fontId="45" fillId="9" borderId="0" pivotButton="0" quotePrefix="0" xfId="0"/>
    <xf numFmtId="3" fontId="45" fillId="9" borderId="0" applyAlignment="1" pivotButton="0" quotePrefix="0" xfId="0">
      <alignment horizontal="right"/>
    </xf>
    <xf numFmtId="3" fontId="45" fillId="9" borderId="0" pivotButton="0" quotePrefix="0" xfId="0"/>
    <xf numFmtId="166" fontId="46" fillId="0" borderId="0" applyAlignment="1" pivotButton="0" quotePrefix="0" xfId="0">
      <alignment horizontal="right"/>
    </xf>
    <xf numFmtId="166" fontId="47" fillId="8" borderId="0" applyAlignment="1" pivotButton="0" quotePrefix="0" xfId="0">
      <alignment horizontal="right"/>
    </xf>
    <xf numFmtId="0" fontId="46" fillId="13" borderId="0" pivotButton="0" quotePrefix="0" xfId="0"/>
    <xf numFmtId="3" fontId="46" fillId="13" borderId="0" applyAlignment="1" pivotButton="0" quotePrefix="0" xfId="0">
      <alignment horizontal="right"/>
    </xf>
    <xf numFmtId="3" fontId="46" fillId="14" borderId="0" pivotButton="0" quotePrefix="0" xfId="0"/>
    <xf numFmtId="0" fontId="46" fillId="14" borderId="0" pivotButton="0" quotePrefix="0" xfId="0"/>
    <xf numFmtId="0" fontId="13" fillId="2" borderId="14" applyAlignment="1" pivotButton="0" quotePrefix="0" xfId="0">
      <alignment horizontal="center"/>
    </xf>
    <xf numFmtId="1" fontId="6" fillId="2" borderId="7" applyAlignment="1" pivotButton="0" quotePrefix="0" xfId="0">
      <alignment horizontal="center"/>
    </xf>
    <xf numFmtId="0" fontId="22" fillId="2" borderId="31" pivotButton="0" quotePrefix="0" xfId="0"/>
    <xf numFmtId="0" fontId="22" fillId="2" borderId="32" pivotButton="0" quotePrefix="0" xfId="0"/>
    <xf numFmtId="0" fontId="22" fillId="19" borderId="0" pivotButton="0" quotePrefix="0" xfId="0"/>
    <xf numFmtId="0" fontId="22" fillId="19" borderId="17" pivotButton="0" quotePrefix="0" xfId="0"/>
    <xf numFmtId="0" fontId="20" fillId="19" borderId="0" pivotButton="0" quotePrefix="0" xfId="0"/>
    <xf numFmtId="3" fontId="28" fillId="19" borderId="0" applyAlignment="1" pivotButton="0" quotePrefix="0" xfId="0">
      <alignment horizontal="center"/>
    </xf>
    <xf numFmtId="0" fontId="19" fillId="19" borderId="0" pivotButton="0" quotePrefix="0" xfId="0"/>
    <xf numFmtId="0" fontId="3" fillId="19" borderId="0" pivotButton="0" quotePrefix="0" xfId="0"/>
    <xf numFmtId="3" fontId="29" fillId="19" borderId="0" applyAlignment="1" pivotButton="0" quotePrefix="0" xfId="0">
      <alignment horizontal="center"/>
    </xf>
    <xf numFmtId="17" fontId="28" fillId="19" borderId="0" pivotButton="0" quotePrefix="0" xfId="0"/>
    <xf numFmtId="2" fontId="19" fillId="19" borderId="0" pivotButton="0" quotePrefix="0" xfId="0"/>
    <xf numFmtId="2" fontId="20" fillId="19" borderId="0" pivotButton="0" quotePrefix="0" xfId="0"/>
    <xf numFmtId="0" fontId="9" fillId="20" borderId="2" pivotButton="0" quotePrefix="0" xfId="0"/>
    <xf numFmtId="0" fontId="6" fillId="21" borderId="0" pivotButton="0" quotePrefix="0" xfId="0"/>
    <xf numFmtId="0" fontId="5" fillId="20" borderId="0" pivotButton="0" quotePrefix="0" xfId="0"/>
    <xf numFmtId="0" fontId="31" fillId="14" borderId="0" pivotButton="0" quotePrefix="0" xfId="0"/>
    <xf numFmtId="0" fontId="1" fillId="14" borderId="0" pivotButton="0" quotePrefix="0" xfId="0"/>
    <xf numFmtId="0" fontId="31" fillId="14" borderId="7" pivotButton="0" quotePrefix="0" xfId="0"/>
    <xf numFmtId="0" fontId="31" fillId="14" borderId="4" pivotButton="0" quotePrefix="0" xfId="0"/>
    <xf numFmtId="0" fontId="31" fillId="14" borderId="5" pivotButton="0" quotePrefix="0" xfId="0"/>
    <xf numFmtId="0" fontId="3" fillId="14" borderId="4" pivotButton="0" quotePrefix="0" xfId="0"/>
    <xf numFmtId="0" fontId="0" fillId="14" borderId="5" pivotButton="0" quotePrefix="0" xfId="0"/>
    <xf numFmtId="0" fontId="0" fillId="14" borderId="23" pivotButton="0" quotePrefix="0" xfId="0"/>
    <xf numFmtId="1" fontId="31" fillId="14" borderId="0" pivotButton="0" quotePrefix="0" xfId="0"/>
    <xf numFmtId="0" fontId="0" fillId="14" borderId="11" pivotButton="0" quotePrefix="0" xfId="0"/>
    <xf numFmtId="0" fontId="0" fillId="14" borderId="15" pivotButton="0" quotePrefix="0" xfId="0"/>
    <xf numFmtId="0" fontId="0" fillId="14" borderId="12" pivotButton="0" quotePrefix="0" xfId="0"/>
    <xf numFmtId="0" fontId="22" fillId="14" borderId="4" applyAlignment="1" pivotButton="0" quotePrefix="0" xfId="0">
      <alignment horizontal="left" indent="2"/>
    </xf>
    <xf numFmtId="2" fontId="22" fillId="14" borderId="5" pivotButton="0" quotePrefix="0" xfId="0"/>
    <xf numFmtId="0" fontId="3" fillId="14" borderId="0" pivotButton="0" quotePrefix="0" xfId="0"/>
    <xf numFmtId="2" fontId="3" fillId="14" borderId="0" pivotButton="0" quotePrefix="0" xfId="0"/>
    <xf numFmtId="0" fontId="0" fillId="14" borderId="4" pivotButton="0" quotePrefix="0" xfId="0"/>
    <xf numFmtId="2" fontId="3" fillId="14" borderId="24" pivotButton="0" quotePrefix="0" xfId="0"/>
    <xf numFmtId="0" fontId="22" fillId="14" borderId="5" pivotButton="0" quotePrefix="0" xfId="0"/>
    <xf numFmtId="0" fontId="31" fillId="14" borderId="15" pivotButton="0" quotePrefix="0" xfId="0"/>
    <xf numFmtId="2" fontId="0" fillId="14" borderId="0" pivotButton="0" quotePrefix="0" xfId="0"/>
    <xf numFmtId="2" fontId="22" fillId="14" borderId="23" pivotButton="0" quotePrefix="0" xfId="0"/>
    <xf numFmtId="0" fontId="31" fillId="14" borderId="11" pivotButton="0" quotePrefix="0" xfId="0"/>
    <xf numFmtId="0" fontId="31" fillId="14" borderId="12" pivotButton="0" quotePrefix="0" xfId="0"/>
    <xf numFmtId="0" fontId="3" fillId="14" borderId="9" pivotButton="0" quotePrefix="0" xfId="0"/>
    <xf numFmtId="2" fontId="0" fillId="14" borderId="10" pivotButton="0" quotePrefix="0" xfId="0"/>
    <xf numFmtId="0" fontId="3" fillId="14" borderId="0" applyAlignment="1" pivotButton="0" quotePrefix="0" xfId="0">
      <alignment horizontal="center"/>
    </xf>
    <xf numFmtId="2" fontId="0" fillId="14" borderId="5" pivotButton="0" quotePrefix="0" xfId="0"/>
    <xf numFmtId="0" fontId="3" fillId="14" borderId="0" applyAlignment="1" pivotButton="0" quotePrefix="0" xfId="0">
      <alignment horizontal="center" textRotation="90"/>
    </xf>
    <xf numFmtId="0" fontId="0" fillId="14" borderId="24" pivotButton="0" quotePrefix="0" xfId="0"/>
    <xf numFmtId="0" fontId="30" fillId="14" borderId="0" pivotButton="0" quotePrefix="0" xfId="0"/>
    <xf numFmtId="0" fontId="0" fillId="14" borderId="0" applyAlignment="1" pivotButton="0" quotePrefix="0" xfId="0">
      <alignment horizontal="right"/>
    </xf>
    <xf numFmtId="0" fontId="0" fillId="14" borderId="2" pivotButton="0" quotePrefix="0" xfId="0"/>
    <xf numFmtId="1" fontId="0" fillId="14" borderId="0" applyAlignment="1" pivotButton="0" quotePrefix="0" xfId="0">
      <alignment horizontal="left" indent="3"/>
    </xf>
    <xf numFmtId="1" fontId="0" fillId="14" borderId="0" pivotButton="0" quotePrefix="0" xfId="0"/>
    <xf numFmtId="0" fontId="31" fillId="24" borderId="6" pivotButton="0" quotePrefix="0" xfId="0"/>
    <xf numFmtId="0" fontId="31" fillId="24" borderId="22" pivotButton="0" quotePrefix="0" xfId="0"/>
    <xf numFmtId="0" fontId="22" fillId="25" borderId="1" applyAlignment="1" pivotButton="0" quotePrefix="0" xfId="0">
      <alignment horizontal="center"/>
    </xf>
    <xf numFmtId="0" fontId="22" fillId="14" borderId="6" applyAlignment="1" pivotButton="0" quotePrefix="0" xfId="0">
      <alignment horizontal="left" indent="2"/>
    </xf>
    <xf numFmtId="2" fontId="22" fillId="14" borderId="7" pivotButton="0" quotePrefix="0" xfId="0"/>
    <xf numFmtId="0" fontId="22" fillId="14" borderId="31" pivotButton="0" quotePrefix="0" xfId="0"/>
    <xf numFmtId="1" fontId="22" fillId="14" borderId="32" pivotButton="0" quotePrefix="0" xfId="0"/>
    <xf numFmtId="0" fontId="3" fillId="25" borderId="1" applyAlignment="1" pivotButton="0" quotePrefix="0" xfId="0">
      <alignment horizontal="center"/>
    </xf>
    <xf numFmtId="0" fontId="3" fillId="14" borderId="6" pivotButton="0" quotePrefix="0" xfId="0"/>
    <xf numFmtId="0" fontId="0" fillId="14" borderId="14" pivotButton="0" quotePrefix="0" xfId="0"/>
    <xf numFmtId="0" fontId="0" fillId="14" borderId="7" pivotButton="0" quotePrefix="0" xfId="0"/>
    <xf numFmtId="0" fontId="0" fillId="14" borderId="31" pivotButton="0" quotePrefix="0" xfId="0"/>
    <xf numFmtId="0" fontId="0" fillId="14" borderId="32" pivotButton="0" quotePrefix="0" xfId="0"/>
    <xf numFmtId="2" fontId="3" fillId="14" borderId="6" pivotButton="0" quotePrefix="0" xfId="0"/>
    <xf numFmtId="0" fontId="3" fillId="14" borderId="14" pivotButton="0" quotePrefix="0" xfId="0"/>
    <xf numFmtId="2" fontId="0" fillId="14" borderId="31" pivotButton="0" quotePrefix="0" xfId="0"/>
    <xf numFmtId="0" fontId="11" fillId="14" borderId="0" pivotButton="0" quotePrefix="0" xfId="0"/>
    <xf numFmtId="0" fontId="32" fillId="14" borderId="0" applyAlignment="1" pivotButton="0" quotePrefix="0" xfId="0">
      <alignment horizontal="center" vertical="center"/>
    </xf>
    <xf numFmtId="0" fontId="32" fillId="14" borderId="0" applyAlignment="1" pivotButton="0" quotePrefix="0" xfId="0">
      <alignment horizontal="left"/>
    </xf>
    <xf numFmtId="0" fontId="30" fillId="14" borderId="0" applyAlignment="1" pivotButton="0" quotePrefix="0" xfId="0">
      <alignment horizontal="center" vertical="center"/>
    </xf>
    <xf numFmtId="0" fontId="30" fillId="14" borderId="0" applyAlignment="1" pivotButton="0" quotePrefix="0" xfId="0">
      <alignment horizontal="left"/>
    </xf>
    <xf numFmtId="164" fontId="30" fillId="14" borderId="0" applyAlignment="1" pivotButton="0" quotePrefix="0" xfId="0">
      <alignment horizontal="right"/>
    </xf>
    <xf numFmtId="0" fontId="30" fillId="14" borderId="0" applyAlignment="1" pivotButton="0" quotePrefix="0" xfId="0">
      <alignment horizontal="right"/>
    </xf>
    <xf numFmtId="0" fontId="32" fillId="14" borderId="0" pivotButton="0" quotePrefix="0" xfId="0"/>
    <xf numFmtId="1" fontId="30" fillId="14" borderId="0" applyAlignment="1" pivotButton="0" quotePrefix="0" xfId="0">
      <alignment horizontal="right"/>
    </xf>
    <xf numFmtId="0" fontId="11" fillId="14" borderId="0" applyAlignment="1" pivotButton="0" quotePrefix="0" xfId="0">
      <alignment horizontal="right"/>
    </xf>
    <xf numFmtId="0" fontId="48" fillId="26" borderId="6" applyAlignment="1" pivotButton="0" quotePrefix="0" xfId="0">
      <alignment horizontal="left"/>
    </xf>
    <xf numFmtId="0" fontId="48" fillId="26" borderId="14" applyAlignment="1" pivotButton="0" quotePrefix="0" xfId="0">
      <alignment horizontal="center" vertical="center"/>
    </xf>
    <xf numFmtId="0" fontId="49" fillId="27" borderId="14" pivotButton="0" quotePrefix="0" xfId="0"/>
    <xf numFmtId="0" fontId="48" fillId="26" borderId="7" pivotButton="0" quotePrefix="0" xfId="0"/>
    <xf numFmtId="0" fontId="48" fillId="26" borderId="4" applyAlignment="1" pivotButton="0" quotePrefix="0" xfId="0">
      <alignment horizontal="left"/>
    </xf>
    <xf numFmtId="0" fontId="48" fillId="26" borderId="0" applyAlignment="1" pivotButton="0" quotePrefix="0" xfId="0">
      <alignment horizontal="left"/>
    </xf>
    <xf numFmtId="0" fontId="48" fillId="26" borderId="0" pivotButton="0" quotePrefix="0" xfId="0"/>
    <xf numFmtId="164" fontId="48" fillId="26" borderId="0" applyAlignment="1" pivotButton="0" quotePrefix="0" xfId="0">
      <alignment horizontal="right"/>
    </xf>
    <xf numFmtId="0" fontId="48" fillId="26" borderId="5" pivotButton="0" quotePrefix="0" xfId="0"/>
    <xf numFmtId="1" fontId="48" fillId="26" borderId="0" applyAlignment="1" pivotButton="0" quotePrefix="0" xfId="0">
      <alignment horizontal="right"/>
    </xf>
    <xf numFmtId="0" fontId="48" fillId="26" borderId="0" applyAlignment="1" pivotButton="0" quotePrefix="0" xfId="0">
      <alignment horizontal="right"/>
    </xf>
    <xf numFmtId="0" fontId="48" fillId="26" borderId="4" pivotButton="0" quotePrefix="0" xfId="0"/>
    <xf numFmtId="166" fontId="48" fillId="26" borderId="0" applyAlignment="1" pivotButton="0" quotePrefix="0" xfId="0">
      <alignment horizontal="right"/>
    </xf>
    <xf numFmtId="0" fontId="48" fillId="26" borderId="31" pivotButton="0" quotePrefix="0" xfId="0"/>
    <xf numFmtId="0" fontId="48" fillId="26" borderId="15" pivotButton="0" quotePrefix="0" xfId="0"/>
    <xf numFmtId="0" fontId="48" fillId="26" borderId="15" applyAlignment="1" pivotButton="0" quotePrefix="0" xfId="0">
      <alignment horizontal="right"/>
    </xf>
    <xf numFmtId="0" fontId="48" fillId="26" borderId="32" pivotButton="0" quotePrefix="0" xfId="0"/>
    <xf numFmtId="0" fontId="33" fillId="19" borderId="0" pivotButton="0" quotePrefix="0" xfId="0"/>
    <xf numFmtId="0" fontId="34" fillId="19" borderId="0" pivotButton="0" quotePrefix="0" xfId="0"/>
    <xf numFmtId="1" fontId="0" fillId="19" borderId="0" pivotButton="0" quotePrefix="0" xfId="0"/>
    <xf numFmtId="0" fontId="11" fillId="19" borderId="0" pivotButton="0" quotePrefix="0" xfId="0"/>
    <xf numFmtId="0" fontId="34" fillId="28" borderId="6" applyAlignment="1" pivotButton="0" quotePrefix="0" xfId="0">
      <alignment horizontal="left"/>
    </xf>
    <xf numFmtId="0" fontId="34" fillId="28" borderId="14" applyAlignment="1" pivotButton="0" quotePrefix="0" xfId="0">
      <alignment horizontal="center" vertical="center"/>
    </xf>
    <xf numFmtId="0" fontId="0" fillId="11" borderId="14" pivotButton="0" quotePrefix="0" xfId="0"/>
    <xf numFmtId="0" fontId="0" fillId="12" borderId="14" pivotButton="0" quotePrefix="0" xfId="0"/>
    <xf numFmtId="0" fontId="34" fillId="28" borderId="7" pivotButton="0" quotePrefix="0" xfId="0"/>
    <xf numFmtId="0" fontId="34" fillId="28" borderId="4" applyAlignment="1" pivotButton="0" quotePrefix="0" xfId="0">
      <alignment horizontal="left"/>
    </xf>
    <xf numFmtId="0" fontId="34" fillId="28" borderId="0" applyAlignment="1" pivotButton="0" quotePrefix="0" xfId="0">
      <alignment horizontal="left"/>
    </xf>
    <xf numFmtId="0" fontId="34" fillId="28" borderId="0" pivotButton="0" quotePrefix="0" xfId="0"/>
    <xf numFmtId="164" fontId="34" fillId="28" borderId="0" applyAlignment="1" pivotButton="0" quotePrefix="0" xfId="0">
      <alignment horizontal="right"/>
    </xf>
    <xf numFmtId="0" fontId="34" fillId="28" borderId="5" pivotButton="0" quotePrefix="0" xfId="0"/>
    <xf numFmtId="1" fontId="34" fillId="28" borderId="0" applyAlignment="1" pivotButton="0" quotePrefix="0" xfId="0">
      <alignment horizontal="right"/>
    </xf>
    <xf numFmtId="0" fontId="34" fillId="28" borderId="3" applyAlignment="1" pivotButton="0" quotePrefix="0" xfId="0">
      <alignment horizontal="right"/>
    </xf>
    <xf numFmtId="0" fontId="34" fillId="28" borderId="0" applyAlignment="1" pivotButton="0" quotePrefix="0" xfId="0">
      <alignment horizontal="right"/>
    </xf>
    <xf numFmtId="0" fontId="34" fillId="28" borderId="4" pivotButton="0" quotePrefix="0" xfId="0"/>
    <xf numFmtId="0" fontId="34" fillId="28" borderId="2" pivotButton="0" quotePrefix="0" xfId="0"/>
    <xf numFmtId="164" fontId="36" fillId="28" borderId="0" pivotButton="0" quotePrefix="0" xfId="0"/>
    <xf numFmtId="0" fontId="34" fillId="28" borderId="31" pivotButton="0" quotePrefix="0" xfId="0"/>
    <xf numFmtId="0" fontId="34" fillId="28" borderId="15" pivotButton="0" quotePrefix="0" xfId="0"/>
    <xf numFmtId="1" fontId="34" fillId="28" borderId="15" applyAlignment="1" pivotButton="0" quotePrefix="0" xfId="0">
      <alignment horizontal="right"/>
    </xf>
    <xf numFmtId="0" fontId="34" fillId="28" borderId="32" pivotButton="0" quotePrefix="0" xfId="0"/>
    <xf numFmtId="0" fontId="34" fillId="11" borderId="25" pivotButton="0" quotePrefix="0" xfId="0"/>
    <xf numFmtId="0" fontId="34" fillId="11" borderId="26" applyAlignment="1" pivotButton="0" quotePrefix="0" xfId="0">
      <alignment horizontal="center"/>
    </xf>
    <xf numFmtId="0" fontId="34" fillId="11" borderId="27" pivotButton="0" quotePrefix="0" xfId="0"/>
    <xf numFmtId="0" fontId="34" fillId="11" borderId="28" applyAlignment="1" pivotButton="0" quotePrefix="0" xfId="0">
      <alignment horizontal="right"/>
    </xf>
    <xf numFmtId="0" fontId="34" fillId="11" borderId="28" pivotButton="0" quotePrefix="0" xfId="0"/>
    <xf numFmtId="1" fontId="34" fillId="11" borderId="28" pivotButton="0" quotePrefix="0" xfId="0"/>
    <xf numFmtId="0" fontId="34" fillId="11" borderId="29" pivotButton="0" quotePrefix="0" xfId="0"/>
    <xf numFmtId="167" fontId="34" fillId="11" borderId="30" pivotButton="0" quotePrefix="0" xfId="0"/>
    <xf numFmtId="0" fontId="35" fillId="11" borderId="28" pivotButton="0" quotePrefix="0" xfId="0"/>
    <xf numFmtId="0" fontId="25" fillId="20" borderId="1" pivotButton="0" quotePrefix="0" xfId="0"/>
    <xf numFmtId="0" fontId="24" fillId="29" borderId="1" applyAlignment="1" pivotButton="0" quotePrefix="0" xfId="0">
      <alignment horizontal="center"/>
    </xf>
    <xf numFmtId="0" fontId="22" fillId="22" borderId="19" applyAlignment="1" pivotButton="0" quotePrefix="0" xfId="0">
      <alignment horizontal="center" vertical="center"/>
    </xf>
    <xf numFmtId="3" fontId="50" fillId="2" borderId="0" pivotButton="0" quotePrefix="0" xfId="0"/>
    <xf numFmtId="0" fontId="46" fillId="16" borderId="0" pivotButton="0" quotePrefix="0" xfId="0"/>
    <xf numFmtId="0" fontId="16" fillId="19" borderId="0" pivotButton="0" quotePrefix="0" xfId="0"/>
    <xf numFmtId="0" fontId="18" fillId="19" borderId="0" pivotButton="0" quotePrefix="0" xfId="0"/>
    <xf numFmtId="168" fontId="52" fillId="2" borderId="0" pivotButton="0" quotePrefix="0" xfId="0"/>
    <xf numFmtId="0" fontId="11" fillId="2" borderId="15" applyAlignment="1" pivotButton="0" quotePrefix="0" xfId="0">
      <alignment horizontal="center" wrapText="1"/>
    </xf>
    <xf numFmtId="0" fontId="46" fillId="31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46" fillId="0" borderId="0" applyAlignment="1" pivotButton="0" quotePrefix="0" xfId="0">
      <alignment horizontal="center"/>
    </xf>
    <xf numFmtId="3" fontId="46" fillId="14" borderId="0" applyAlignment="1" pivotButton="0" quotePrefix="0" xfId="0">
      <alignment horizontal="center"/>
    </xf>
    <xf numFmtId="3" fontId="46" fillId="14" borderId="0" applyAlignment="1" pivotButton="0" quotePrefix="0" xfId="0">
      <alignment horizontal="center" vertical="center"/>
    </xf>
    <xf numFmtId="3" fontId="46" fillId="2" borderId="0" applyAlignment="1" pivotButton="0" quotePrefix="0" xfId="0">
      <alignment horizontal="center" vertical="center"/>
    </xf>
    <xf numFmtId="3" fontId="45" fillId="9" borderId="0" applyAlignment="1" pivotButton="0" quotePrefix="0" xfId="0">
      <alignment horizontal="center" vertical="center"/>
    </xf>
    <xf numFmtId="166" fontId="46" fillId="0" borderId="0" applyAlignment="1" pivotButton="0" quotePrefix="0" xfId="0">
      <alignment horizontal="center" vertical="center"/>
    </xf>
    <xf numFmtId="0" fontId="46" fillId="3" borderId="0" pivotButton="0" quotePrefix="0" xfId="0"/>
    <xf numFmtId="168" fontId="46" fillId="2" borderId="0" applyAlignment="1" pivotButton="0" quotePrefix="0" xfId="0">
      <alignment horizontal="center" vertical="center"/>
    </xf>
    <xf numFmtId="168" fontId="46" fillId="0" borderId="0" applyAlignment="1" pivotButton="0" quotePrefix="0" xfId="0">
      <alignment horizontal="center" vertical="center"/>
    </xf>
    <xf numFmtId="168" fontId="47" fillId="8" borderId="0" applyAlignment="1" pivotButton="0" quotePrefix="0" xfId="0">
      <alignment horizontal="center" vertical="center"/>
    </xf>
    <xf numFmtId="169" fontId="46" fillId="2" borderId="0" applyAlignment="1" pivotButton="0" quotePrefix="0" xfId="0">
      <alignment horizontal="center" vertical="center"/>
    </xf>
    <xf numFmtId="166" fontId="46" fillId="2" borderId="0" applyAlignment="1" pivotButton="0" quotePrefix="0" xfId="0">
      <alignment horizontal="right"/>
    </xf>
    <xf numFmtId="0" fontId="45" fillId="31" borderId="0" pivotButton="0" quotePrefix="0" xfId="0"/>
    <xf numFmtId="0" fontId="47" fillId="32" borderId="0" pivotButton="0" quotePrefix="0" xfId="0"/>
    <xf numFmtId="0" fontId="46" fillId="33" borderId="0" pivotButton="0" quotePrefix="0" xfId="0"/>
    <xf numFmtId="0" fontId="45" fillId="34" borderId="0" pivotButton="0" quotePrefix="0" xfId="0"/>
    <xf numFmtId="0" fontId="0" fillId="31" borderId="0" pivotButton="0" quotePrefix="0" xfId="0"/>
    <xf numFmtId="3" fontId="46" fillId="2" borderId="0" applyAlignment="1" pivotButton="0" quotePrefix="0" xfId="0">
      <alignment horizontal="center"/>
    </xf>
    <xf numFmtId="0" fontId="53" fillId="35" borderId="0" applyAlignment="1" pivotButton="0" quotePrefix="0" xfId="0">
      <alignment horizontal="center"/>
    </xf>
    <xf numFmtId="0" fontId="54" fillId="8" borderId="0" pivotButton="0" quotePrefix="0" xfId="0"/>
    <xf numFmtId="168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right"/>
    </xf>
    <xf numFmtId="0" fontId="46" fillId="36" borderId="0" pivotButton="0" quotePrefix="0" xfId="0"/>
    <xf numFmtId="1" fontId="46" fillId="2" borderId="0" applyAlignment="1" pivotButton="0" quotePrefix="0" xfId="0">
      <alignment horizontal="right"/>
    </xf>
    <xf numFmtId="0" fontId="55" fillId="9" borderId="0" pivotButton="0" quotePrefix="0" xfId="0"/>
    <xf numFmtId="166" fontId="55" fillId="9" borderId="0" applyAlignment="1" pivotButton="0" quotePrefix="0" xfId="0">
      <alignment horizontal="right"/>
    </xf>
    <xf numFmtId="1" fontId="55" fillId="9" borderId="0" applyAlignment="1" pivotButton="0" quotePrefix="0" xfId="0">
      <alignment horizontal="right"/>
    </xf>
    <xf numFmtId="170" fontId="46" fillId="31" borderId="0" pivotButton="0" quotePrefix="0" xfId="0"/>
    <xf numFmtId="170" fontId="54" fillId="8" borderId="0" pivotButton="0" quotePrefix="0" xfId="0"/>
    <xf numFmtId="0" fontId="46" fillId="18" borderId="0" pivotButton="0" quotePrefix="0" xfId="0"/>
    <xf numFmtId="0" fontId="46" fillId="19" borderId="0" pivotButton="0" quotePrefix="0" xfId="0"/>
    <xf numFmtId="168" fontId="55" fillId="9" borderId="0" applyAlignment="1" pivotButton="0" quotePrefix="0" xfId="0">
      <alignment horizontal="right"/>
    </xf>
    <xf numFmtId="0" fontId="50" fillId="2" borderId="0" applyAlignment="1" pivotButton="0" quotePrefix="0" xfId="0">
      <alignment horizontal="right"/>
    </xf>
    <xf numFmtId="170" fontId="46" fillId="0" borderId="0" pivotButton="0" quotePrefix="0" xfId="0"/>
    <xf numFmtId="0" fontId="46" fillId="2" borderId="0" applyAlignment="1" pivotButton="0" quotePrefix="0" xfId="0">
      <alignment horizontal="left" vertical="center"/>
    </xf>
    <xf numFmtId="3" fontId="55" fillId="9" borderId="0" applyAlignment="1" pivotButton="0" quotePrefix="0" xfId="0">
      <alignment horizontal="right"/>
    </xf>
    <xf numFmtId="0" fontId="55" fillId="37" borderId="0" pivotButton="0" quotePrefix="0" xfId="0"/>
    <xf numFmtId="1" fontId="50" fillId="2" borderId="0" applyAlignment="1" pivotButton="0" quotePrefix="0" xfId="0">
      <alignment horizontal="right"/>
    </xf>
    <xf numFmtId="1" fontId="46" fillId="31" borderId="0" pivotButton="0" quotePrefix="0" xfId="0"/>
    <xf numFmtId="1" fontId="54" fillId="8" borderId="0" pivotButton="0" quotePrefix="0" xfId="0"/>
    <xf numFmtId="0" fontId="46" fillId="2" borderId="0" applyAlignment="1" pivotButton="0" quotePrefix="0" xfId="0">
      <alignment vertical="top" wrapText="1"/>
    </xf>
    <xf numFmtId="3" fontId="46" fillId="5" borderId="0" applyAlignment="1" pivotButton="0" quotePrefix="0" xfId="0">
      <alignment horizontal="right" vertical="center"/>
    </xf>
    <xf numFmtId="0" fontId="46" fillId="2" borderId="0" applyAlignment="1" pivotButton="0" quotePrefix="0" xfId="0">
      <alignment horizontal="right" vertical="center"/>
    </xf>
    <xf numFmtId="0" fontId="46" fillId="2" borderId="0" applyAlignment="1" pivotButton="0" quotePrefix="0" xfId="0">
      <alignment vertical="center"/>
    </xf>
    <xf numFmtId="1" fontId="56" fillId="2" borderId="0" applyAlignment="1" pivotButton="0" quotePrefix="0" xfId="0">
      <alignment horizontal="right"/>
    </xf>
    <xf numFmtId="0" fontId="46" fillId="38" borderId="0" pivotButton="0" quotePrefix="0" xfId="0"/>
    <xf numFmtId="0" fontId="14" fillId="0" borderId="0" pivotButton="0" quotePrefix="0" xfId="0"/>
    <xf numFmtId="0" fontId="15" fillId="0" borderId="0" pivotButton="0" quotePrefix="0" xfId="0"/>
    <xf numFmtId="1" fontId="14" fillId="0" borderId="0" pivotButton="0" quotePrefix="0" xfId="0"/>
    <xf numFmtId="0" fontId="11" fillId="0" borderId="0" applyAlignment="1" pivotButton="0" quotePrefix="0" xfId="0">
      <alignment horizontal="center" wrapText="1"/>
    </xf>
    <xf numFmtId="1" fontId="11" fillId="0" borderId="0" pivotButton="0" quotePrefix="0" xfId="0"/>
    <xf numFmtId="0" fontId="14" fillId="2" borderId="31" pivotButton="0" quotePrefix="0" xfId="0"/>
    <xf numFmtId="1" fontId="11" fillId="2" borderId="32" pivotButton="0" quotePrefix="0" xfId="0"/>
    <xf numFmtId="3" fontId="46" fillId="39" borderId="0" applyAlignment="1" pivotButton="0" quotePrefix="0" xfId="0">
      <alignment horizontal="right"/>
    </xf>
    <xf numFmtId="3" fontId="50" fillId="2" borderId="0" applyAlignment="1" pivotButton="0" quotePrefix="0" xfId="0">
      <alignment horizontal="right"/>
    </xf>
    <xf numFmtId="3" fontId="46" fillId="0" borderId="0" applyAlignment="1" pivotButton="0" quotePrefix="0" xfId="0">
      <alignment horizontal="right"/>
    </xf>
    <xf numFmtId="164" fontId="34" fillId="28" borderId="0" pivotButton="0" quotePrefix="0" xfId="0"/>
    <xf numFmtId="0" fontId="42" fillId="2" borderId="0" applyAlignment="1" pivotButton="0" quotePrefix="0" xfId="0">
      <alignment horizontal="center"/>
    </xf>
    <xf numFmtId="0" fontId="15" fillId="0" borderId="15" applyAlignment="1" pivotButton="0" quotePrefix="0" xfId="0">
      <alignment horizontal="center"/>
    </xf>
    <xf numFmtId="0" fontId="15" fillId="30" borderId="15" applyAlignment="1" pivotButton="0" quotePrefix="0" xfId="0">
      <alignment horizontal="center"/>
    </xf>
    <xf numFmtId="0" fontId="11" fillId="2" borderId="14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center" vertical="center"/>
    </xf>
    <xf numFmtId="0" fontId="57" fillId="11" borderId="0" applyAlignment="1" pivotButton="0" quotePrefix="0" xfId="0">
      <alignment horizontal="center"/>
    </xf>
    <xf numFmtId="0" fontId="31" fillId="23" borderId="0" applyAlignment="1" pivotButton="0" quotePrefix="0" xfId="0">
      <alignment horizontal="center" vertical="center"/>
    </xf>
    <xf numFmtId="2" fontId="58" fillId="14" borderId="5" pivotButton="0" quotePrefix="0" xfId="0"/>
    <xf numFmtId="0" fontId="59" fillId="0" borderId="0" pivotButton="0" quotePrefix="0" xfId="0"/>
    <xf numFmtId="0" fontId="60" fillId="40" borderId="0" pivotButton="0" quotePrefix="0" xfId="0"/>
    <xf numFmtId="0" fontId="0" fillId="40" borderId="0" pivotButton="0" quotePrefix="0" xfId="0"/>
    <xf numFmtId="3" fontId="59" fillId="0" borderId="0" applyAlignment="1" pivotButton="0" quotePrefix="0" xfId="0">
      <alignment horizontal="center"/>
    </xf>
    <xf numFmtId="0" fontId="61" fillId="41" borderId="0" pivotButton="0" quotePrefix="0" xfId="0"/>
    <xf numFmtId="3" fontId="61" fillId="41" borderId="0" applyAlignment="1" pivotButton="0" quotePrefix="0" xfId="0">
      <alignment horizontal="center"/>
    </xf>
    <xf numFmtId="0" fontId="0" fillId="41" borderId="0" pivotButton="0" quotePrefix="0" xfId="0"/>
    <xf numFmtId="0" fontId="62" fillId="0" borderId="0" pivotButton="0" quotePrefix="0" xfId="0"/>
    <xf numFmtId="0" fontId="62" fillId="0" borderId="0" applyAlignment="1" pivotButton="0" quotePrefix="0" xfId="0">
      <alignment horizontal="center"/>
    </xf>
    <xf numFmtId="0" fontId="62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63" fillId="42" borderId="0" applyAlignment="1" pivotButton="0" quotePrefix="0" xfId="0">
      <alignment horizontal="center"/>
    </xf>
    <xf numFmtId="169" fontId="59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 vertical="center" wrapText="1"/>
    </xf>
    <xf numFmtId="164" fontId="6" fillId="6" borderId="5" pivotButton="0" quotePrefix="0" xfId="0"/>
    <xf numFmtId="165" fontId="6" fillId="2" borderId="0" pivotButton="0" quotePrefix="0" xfId="0"/>
    <xf numFmtId="165" fontId="6" fillId="2" borderId="0" applyAlignment="1" pivotButton="0" quotePrefix="0" xfId="0">
      <alignment horizontal="right"/>
    </xf>
    <xf numFmtId="165" fontId="6" fillId="2" borderId="0" applyAlignment="1" pivotButton="0" quotePrefix="0" xfId="0">
      <alignment horizontal="center"/>
    </xf>
    <xf numFmtId="166" fontId="18" fillId="2" borderId="0" pivotButton="0" quotePrefix="0" xfId="0"/>
    <xf numFmtId="168" fontId="52" fillId="2" borderId="0" pivotButton="0" quotePrefix="0" xfId="0"/>
    <xf numFmtId="168" fontId="46" fillId="2" borderId="0" applyAlignment="1" pivotButton="0" quotePrefix="0" xfId="0">
      <alignment horizontal="right"/>
    </xf>
    <xf numFmtId="166" fontId="55" fillId="9" borderId="0" applyAlignment="1" pivotButton="0" quotePrefix="0" xfId="0">
      <alignment horizontal="right"/>
    </xf>
    <xf numFmtId="168" fontId="55" fillId="9" borderId="0" applyAlignment="1" pivotButton="0" quotePrefix="0" xfId="0">
      <alignment horizontal="right"/>
    </xf>
    <xf numFmtId="166" fontId="46" fillId="0" borderId="0" applyAlignment="1" pivotButton="0" quotePrefix="0" xfId="0">
      <alignment horizontal="right"/>
    </xf>
    <xf numFmtId="166" fontId="47" fillId="8" borderId="0" applyAlignment="1" pivotButton="0" quotePrefix="0" xfId="0">
      <alignment horizontal="right"/>
    </xf>
    <xf numFmtId="166" fontId="38" fillId="0" borderId="0" applyAlignment="1" pivotButton="0" quotePrefix="0" xfId="0">
      <alignment horizontal="right"/>
    </xf>
    <xf numFmtId="165" fontId="22" fillId="2" borderId="0" pivotButton="0" quotePrefix="0" xfId="0"/>
    <xf numFmtId="164" fontId="48" fillId="26" borderId="0" applyAlignment="1" pivotButton="0" quotePrefix="0" xfId="0">
      <alignment horizontal="right"/>
    </xf>
    <xf numFmtId="164" fontId="30" fillId="14" borderId="0" applyAlignment="1" pivotButton="0" quotePrefix="0" xfId="0">
      <alignment horizontal="right"/>
    </xf>
    <xf numFmtId="166" fontId="48" fillId="26" borderId="0" applyAlignment="1" pivotButton="0" quotePrefix="0" xfId="0">
      <alignment horizontal="right"/>
    </xf>
    <xf numFmtId="164" fontId="34" fillId="28" borderId="0" applyAlignment="1" pivotButton="0" quotePrefix="0" xfId="0">
      <alignment horizontal="right"/>
    </xf>
    <xf numFmtId="167" fontId="34" fillId="11" borderId="30" pivotButton="0" quotePrefix="0" xfId="0"/>
    <xf numFmtId="164" fontId="34" fillId="28" borderId="0" pivotButton="0" quotePrefix="0" xfId="0"/>
    <xf numFmtId="164" fontId="36" fillId="28" borderId="0" pivotButton="0" quotePrefix="0" xfId="0"/>
    <xf numFmtId="0" fontId="62" fillId="0" borderId="0" applyAlignment="1" pivotButton="0" quotePrefix="0" xfId="0">
      <alignment horizontal="center"/>
    </xf>
    <xf numFmtId="0" fontId="64" fillId="0" borderId="0" pivotButton="0" quotePrefix="0" xfId="0"/>
    <xf numFmtId="0" fontId="64" fillId="0" borderId="0" applyAlignment="1" pivotButton="0" quotePrefix="0" xfId="0">
      <alignment horizontal="center"/>
    </xf>
    <xf numFmtId="0" fontId="65" fillId="40" borderId="0" pivotButton="0" quotePrefix="0" xfId="0"/>
    <xf numFmtId="0" fontId="66" fillId="0" borderId="0" pivotButton="0" quotePrefix="0" xfId="0"/>
    <xf numFmtId="3" fontId="66" fillId="0" borderId="0" pivotButton="0" quotePrefix="0" xfId="0"/>
    <xf numFmtId="0" fontId="14" fillId="0" borderId="0" applyAlignment="1" pivotButton="0" quotePrefix="0" xfId="0">
      <alignment horizontal="center"/>
    </xf>
    <xf numFmtId="0" fontId="67" fillId="0" borderId="0" applyAlignment="1" pivotButton="0" quotePrefix="0" xfId="0">
      <alignment horizontal="center"/>
    </xf>
    <xf numFmtId="1" fontId="67" fillId="0" borderId="0" pivotButton="0" quotePrefix="0" xfId="0"/>
    <xf numFmtId="0" fontId="65" fillId="40" borderId="0" applyAlignment="1" pivotButton="0" quotePrefix="0" xfId="0">
      <alignment vertical="center" wrapText="1"/>
    </xf>
    <xf numFmtId="0" fontId="62" fillId="41" borderId="0" pivotButton="0" quotePrefix="0" xfId="0"/>
    <xf numFmtId="3" fontId="62" fillId="41" borderId="0" applyAlignment="1" pivotButton="0" quotePrefix="0" xfId="0">
      <alignment horizontal="right"/>
    </xf>
    <xf numFmtId="3" fontId="62" fillId="41" borderId="0" pivotButton="0" quotePrefix="0" xfId="0"/>
    <xf numFmtId="3" fontId="66" fillId="0" borderId="0" applyAlignment="1" pivotButton="0" quotePrefix="0" xfId="0">
      <alignment horizontal="right"/>
    </xf>
    <xf numFmtId="0" fontId="66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F4E79"/>
      <rgbColor rgb="FFBFBFBF"/>
      <rgbColor rgb="FF808080"/>
      <rgbColor rgb="FF629DD1"/>
      <rgbColor rgb="FFB52372"/>
      <rgbColor rgb="FFF2F2F2"/>
      <rgbColor rgb="FFDEECE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BF6"/>
      <rgbColor rgb="FFD6E4F0"/>
      <rgbColor rgb="FFEBEA99"/>
      <rgbColor rgb="FFA9CCEE"/>
      <rgbColor rgb="FFDAE0EF"/>
      <rgbColor rgb="FFACCBF9"/>
      <rgbColor rgb="FFEBE9EC"/>
      <rgbColor rgb="FF0E58C4"/>
      <rgbColor rgb="FF4A8EF2"/>
      <rgbColor rgb="FF99CC00"/>
      <rgbColor rgb="FFFFCC00"/>
      <rgbColor rgb="FFFF9900"/>
      <rgbColor rgb="FFFF6600"/>
      <rgbColor rgb="FF4A66AC"/>
      <rgbColor rgb="FF9D90A0"/>
      <rgbColor rgb="FF072C62"/>
      <rgbColor rgb="FF5AA2AE"/>
      <rgbColor rgb="FF003300"/>
      <rgbColor rgb="FF333300"/>
      <rgbColor rgb="FF993300"/>
      <rgbColor rgb="FFD51067"/>
      <rgbColor rgb="FF424996"/>
      <rgbColor rgb="FF2B52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etorg703210-my.sharepoint.com/personal/kate_kateburda_com/Documents/Personal/2026_update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B Co Assumptions"/>
      <sheetName val="Sep-Dec Cash Flow"/>
      <sheetName val="Kate Co Breakdown"/>
      <sheetName val="Annual Subscriptions"/>
      <sheetName val="Personal Budget Assumptions"/>
      <sheetName val="Personal Sep-Dec"/>
      <sheetName val="Breakdown"/>
      <sheetName val="Monthly Spending"/>
      <sheetName val="Chicago"/>
      <sheetName val="Scottsdale"/>
    </sheetNames>
    <sheetDataSet>
      <sheetData sheetId="0">
        <row r="15">
          <cell r="C15">
            <v>7000</v>
          </cell>
        </row>
      </sheetData>
      <sheetData sheetId="1"/>
      <sheetData sheetId="2"/>
      <sheetData sheetId="3"/>
      <sheetData sheetId="4"/>
      <sheetData sheetId="5"/>
      <sheetData sheetId="6">
        <row r="7">
          <cell r="K7">
            <v>4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Apothecary">
  <a:themeElements>
    <a:clrScheme name="Elemental">
      <a:dk1>
        <a:srgbClr val="000000"/>
      </a:dk1>
      <a:lt1>
        <a:srgbClr val="FFFFFF"/>
      </a:lt1>
      <a:dk2>
        <a:srgbClr val="242852"/>
      </a:dk2>
      <a:lt2>
        <a:srgbClr val="ACCBF9"/>
      </a:lt2>
      <a:accent1>
        <a:srgbClr val="629DD1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1000"/>
              </a:schemeClr>
            </a:gs>
            <a:gs pos="68000">
              <a:schemeClr val="phClr">
                <a:tint val="77000"/>
              </a:schemeClr>
            </a:gs>
            <a:gs pos="81000">
              <a:schemeClr val="phClr">
                <a:tint val="79000"/>
              </a:schemeClr>
            </a:gs>
            <a:gs pos="86000">
              <a:schemeClr val="phClr">
                <a:tint val="73000"/>
              </a:schemeClr>
            </a:gs>
            <a:gs pos="100000">
              <a:schemeClr val="phClr">
                <a:tint val="3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73000"/>
                <a:shade val="100000"/>
              </a:schemeClr>
            </a:gs>
            <a:gs pos="25000">
              <a:schemeClr val="phClr">
                <a:tint val="96000"/>
                <a:shade val="80000"/>
              </a:schemeClr>
            </a:gs>
            <a:gs pos="38000">
              <a:schemeClr val="phClr">
                <a:tint val="96000"/>
                <a:shade val="59000"/>
              </a:schemeClr>
            </a:gs>
            <a:gs pos="55000">
              <a:schemeClr val="phClr">
                <a:tint val="100000"/>
                <a:shade val="57000"/>
              </a:schemeClr>
            </a:gs>
            <a:gs pos="80000">
              <a:schemeClr val="phClr">
                <a:tint val="100000"/>
                <a:shade val="56000"/>
              </a:schemeClr>
            </a:gs>
            <a:gs pos="88000">
              <a:schemeClr val="phClr">
                <a:tint val="100000"/>
                <a:shade val="63000"/>
              </a:schemeClr>
            </a:gs>
            <a:gs pos="100000">
              <a:schemeClr val="phClr">
                <a:tint val="99000"/>
                <a:shade val="100000"/>
              </a:schemeClr>
            </a:gs>
          </a:gsLst>
          <a:lin ang="54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3000"/>
          </a:schemeClr>
        </a:solidFill>
        <a:blipFill rotWithShape="1">
          <a:srcRect/>
          <a:tile tx="0" ty="0" sx="100000" sy="100000" flip="none" algn="tl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3"/>
  <sheetViews>
    <sheetView workbookViewId="0">
      <selection activeCell="A1" sqref="A1"/>
    </sheetView>
  </sheetViews>
  <sheetFormatPr baseColWidth="8" defaultRowHeight="15"/>
  <cols>
    <col width="4" customWidth="1" style="1" min="1" max="1"/>
    <col width="34" customWidth="1" style="1" min="2" max="2"/>
    <col width="28" customWidth="1" style="1" min="3" max="3"/>
    <col width="44" customWidth="1" style="1" min="4" max="4"/>
    <col width="16" customWidth="1" style="1" min="5" max="5"/>
    <col width="10.66" customWidth="1" style="1" min="6" max="6"/>
  </cols>
  <sheetData>
    <row r="1">
      <c r="B1" s="361" t="inlineStr">
        <is>
          <t>Kate Burda &amp; Co | 2027 Advisory Proforma</t>
        </is>
      </c>
      <c r="C1" s="361" t="inlineStr">
        <is>
          <t>Assumptions</t>
        </is>
      </c>
      <c r="D1" s="361" t="inlineStr">
        <is>
          <t>Notes</t>
        </is>
      </c>
    </row>
    <row r="3">
      <c r="B3" s="362" t="inlineStr">
        <is>
          <t>REVENUE (Monthly Gross — Recurring Clients)</t>
        </is>
      </c>
      <c r="C3" s="363" t="n"/>
      <c r="D3" s="363" t="n"/>
    </row>
    <row r="4">
      <c r="B4" s="361" t="inlineStr">
        <is>
          <t>Flying Horse</t>
        </is>
      </c>
      <c r="C4" s="364" t="n">
        <v>12500</v>
      </c>
      <c r="D4" s="361" t="inlineStr">
        <is>
          <t>Open-ended</t>
        </is>
      </c>
    </row>
    <row r="5">
      <c r="B5" s="361" t="inlineStr">
        <is>
          <t>CHM Warnick / MPEA</t>
        </is>
      </c>
      <c r="C5" s="364" t="n">
        <v>4800</v>
      </c>
      <c r="D5" s="361" t="inlineStr">
        <is>
          <t>Active retainer</t>
        </is>
      </c>
    </row>
    <row r="6">
      <c r="B6" s="361" t="inlineStr">
        <is>
          <t>Wylie (gross)</t>
        </is>
      </c>
      <c r="C6" s="364" t="n">
        <v>6000</v>
      </c>
      <c r="D6" s="361" t="inlineStr">
        <is>
          <t xml:space="preserve"> </t>
        </is>
      </c>
    </row>
    <row r="7">
      <c r="B7" s="361" t="inlineStr">
        <is>
          <t>FEI / Miguel Molina</t>
        </is>
      </c>
      <c r="C7" s="364" t="n">
        <v>5500</v>
      </c>
      <c r="D7" s="361" t="inlineStr">
        <is>
          <t>Net to house after Tristan split</t>
        </is>
      </c>
    </row>
    <row r="8">
      <c r="B8" s="361" t="inlineStr">
        <is>
          <t>DragonSteel</t>
        </is>
      </c>
      <c r="C8" s="364" t="n">
        <v>4000</v>
      </c>
      <c r="D8" s="361" t="inlineStr">
        <is>
          <t>Continuing from Oct 2026</t>
        </is>
      </c>
    </row>
    <row r="9">
      <c r="B9" s="365" t="inlineStr">
        <is>
          <t>TOTAL MONTHLY RECURRING REVENUE</t>
        </is>
      </c>
      <c r="C9" s="366">
        <f>SUM(C4:C8)</f>
        <v/>
      </c>
      <c r="D9" s="367" t="n"/>
    </row>
    <row r="11">
      <c r="B11" s="362" t="inlineStr">
        <is>
          <t>NEW CLIENTS — ONE-TIME ENGAGEMENT FEES (Advisory + candidate Ignite beta partners)</t>
        </is>
      </c>
      <c r="C11" s="363" t="n"/>
      <c r="D11" s="363" t="n"/>
      <c r="E11" s="363" t="n"/>
    </row>
    <row r="12">
      <c r="B12" s="368" t="inlineStr">
        <is>
          <t>Client</t>
        </is>
      </c>
      <c r="C12" s="396" t="inlineStr">
        <is>
          <t>One-Time Fee</t>
        </is>
      </c>
      <c r="D12" s="368" t="inlineStr">
        <is>
          <t>Notes</t>
        </is>
      </c>
      <c r="E12" s="370" t="inlineStr">
        <is>
          <t>Target Month (EDIT THIS)</t>
        </is>
      </c>
    </row>
    <row r="13">
      <c r="B13" s="361" t="inlineStr">
        <is>
          <t>New Client 1 (placeholder — May)</t>
        </is>
      </c>
      <c r="C13" s="364" t="n">
        <v>25000</v>
      </c>
      <c r="D13" s="371" t="inlineStr">
        <is>
          <t>One-time engagement fee. Placeholder timing from Session 1 growth thesis — move once a real deal closes.</t>
        </is>
      </c>
      <c r="E13" s="372" t="inlineStr">
        <is>
          <t>May</t>
        </is>
      </c>
    </row>
    <row r="14">
      <c r="B14" s="361" t="inlineStr">
        <is>
          <t>New Client 2 (placeholder — Aug)</t>
        </is>
      </c>
      <c r="C14" s="364" t="n">
        <v>25000</v>
      </c>
      <c r="D14" s="371" t="inlineStr">
        <is>
          <t>One-time engagement fee. Placeholder timing from Session 1 growth thesis — move once a real deal closes.</t>
        </is>
      </c>
      <c r="E14" s="372" t="inlineStr">
        <is>
          <t>Aug</t>
        </is>
      </c>
    </row>
    <row r="15">
      <c r="B15" s="361" t="inlineStr">
        <is>
          <t>New Client 3 (placeholder — Nov)</t>
        </is>
      </c>
      <c r="C15" s="364" t="n">
        <v>25000</v>
      </c>
      <c r="D15" s="371" t="inlineStr">
        <is>
          <t>One-time engagement fee. Placeholder timing from Session 1 growth thesis — move once a real deal closes.</t>
        </is>
      </c>
      <c r="E15" s="372" t="inlineStr">
        <is>
          <t>Nov</t>
        </is>
      </c>
    </row>
    <row r="16">
      <c r="B16" s="365" t="inlineStr">
        <is>
          <t>TOTAL ONE-TIME NEW-CLIENT FEES (annual)</t>
        </is>
      </c>
      <c r="C16" s="366">
        <f>SUM(C13:C15)</f>
        <v/>
      </c>
      <c r="D16" s="367" t="n"/>
      <c r="E16" s="367" t="n"/>
    </row>
    <row r="17">
      <c r="B17" s="365" t="inlineStr">
        <is>
          <t>TOTAL 2027 REVENUE (Recurring × 12 + One-Time Fees)</t>
        </is>
      </c>
      <c r="C17" s="366">
        <f>C9*12+C16</f>
        <v/>
      </c>
      <c r="D17" s="367" t="n"/>
      <c r="E17" s="367" t="n"/>
    </row>
    <row r="19">
      <c r="B19" s="362" t="inlineStr">
        <is>
          <t>FIXED MONTHLY EXPENSES</t>
        </is>
      </c>
      <c r="C19" s="363" t="n"/>
      <c r="D19" s="363" t="n"/>
    </row>
    <row r="20">
      <c r="B20" s="361" t="inlineStr">
        <is>
          <t>Kate Salary</t>
        </is>
      </c>
      <c r="C20" s="364" t="n">
        <v>7000</v>
      </c>
      <c r="D20" s="361" t="inlineStr">
        <is>
          <t>Monthly draw</t>
        </is>
      </c>
    </row>
    <row r="21">
      <c r="B21" s="361" t="inlineStr">
        <is>
          <t>Tristan (contractor)</t>
        </is>
      </c>
      <c r="C21" s="364" t="n">
        <v>1500</v>
      </c>
      <c r="D21" s="361" t="inlineStr">
        <is>
          <t>Tied to FEI</t>
        </is>
      </c>
    </row>
    <row r="22">
      <c r="B22" s="361" t="inlineStr">
        <is>
          <t>SBA Loan</t>
        </is>
      </c>
      <c r="C22" s="364" t="n">
        <v>674</v>
      </c>
      <c r="D22" s="361" t="inlineStr">
        <is>
          <t>Continuing</t>
        </is>
      </c>
    </row>
    <row r="23">
      <c r="B23" s="361" t="inlineStr">
        <is>
          <t>American Airlines</t>
        </is>
      </c>
      <c r="C23" s="364" t="n">
        <v>2500</v>
      </c>
      <c r="D23" s="361" t="inlineStr">
        <is>
          <t>Travel budget</t>
        </is>
      </c>
    </row>
    <row r="24">
      <c r="B24" s="361" t="inlineStr">
        <is>
          <t>ZoomInfo</t>
        </is>
      </c>
      <c r="C24" s="364" t="n">
        <v>833</v>
      </c>
      <c r="D24" s="361" t="inlineStr">
        <is>
          <t>Intent signals</t>
        </is>
      </c>
    </row>
    <row r="25">
      <c r="B25" s="361" t="inlineStr">
        <is>
          <t>AT&amp;T</t>
        </is>
      </c>
      <c r="C25" s="364" t="n">
        <v>198</v>
      </c>
      <c r="D25" s="361" t="inlineStr">
        <is>
          <t>Phone</t>
        </is>
      </c>
    </row>
    <row r="26">
      <c r="B26" s="361" t="inlineStr">
        <is>
          <t>Adobe</t>
        </is>
      </c>
      <c r="C26" s="364" t="n">
        <v>97.40000000000001</v>
      </c>
      <c r="D26" s="361" t="inlineStr">
        <is>
          <t>Creative suite</t>
        </is>
      </c>
    </row>
    <row r="27">
      <c r="B27" s="361" t="inlineStr">
        <is>
          <t>Ellavator.ai</t>
        </is>
      </c>
      <c r="C27" s="364" t="n">
        <v>250</v>
      </c>
      <c r="D27" s="361" t="inlineStr">
        <is>
          <t>AI branding</t>
        </is>
      </c>
    </row>
    <row r="28">
      <c r="B28" s="361" t="inlineStr">
        <is>
          <t>Taplio</t>
        </is>
      </c>
      <c r="C28" s="364" t="n">
        <v>65</v>
      </c>
      <c r="D28" s="361" t="inlineStr">
        <is>
          <t>LinkedIn content</t>
        </is>
      </c>
    </row>
    <row r="29">
      <c r="B29" s="361" t="inlineStr">
        <is>
          <t>Vercel</t>
        </is>
      </c>
      <c r="C29" s="364" t="n">
        <v>85</v>
      </c>
      <c r="D29" s="361" t="inlineStr">
        <is>
          <t>Ignite hosting</t>
        </is>
      </c>
    </row>
    <row r="30">
      <c r="B30" s="361" t="inlineStr">
        <is>
          <t>Supabase</t>
        </is>
      </c>
      <c r="C30" s="364" t="n">
        <v>25</v>
      </c>
      <c r="D30" s="361" t="inlineStr">
        <is>
          <t>Ignite database</t>
        </is>
      </c>
    </row>
    <row r="31">
      <c r="B31" s="361" t="inlineStr">
        <is>
          <t>Anthropic/Claude</t>
        </is>
      </c>
      <c r="C31" s="364" t="n">
        <v>49</v>
      </c>
      <c r="D31" s="361" t="inlineStr">
        <is>
          <t>AI tool</t>
        </is>
      </c>
    </row>
    <row r="32">
      <c r="B32" s="361" t="inlineStr">
        <is>
          <t>OpenAI</t>
        </is>
      </c>
      <c r="C32" s="364" t="n">
        <v>22</v>
      </c>
      <c r="D32" s="361" t="inlineStr">
        <is>
          <t>AI tool</t>
        </is>
      </c>
    </row>
    <row r="33">
      <c r="B33" s="361" t="inlineStr">
        <is>
          <t>QuickBooks</t>
        </is>
      </c>
      <c r="C33" s="364" t="n">
        <v>80</v>
      </c>
      <c r="D33" s="361" t="inlineStr">
        <is>
          <t>Accounting</t>
        </is>
      </c>
    </row>
    <row r="34">
      <c r="B34" s="361" t="inlineStr">
        <is>
          <t>Slack</t>
        </is>
      </c>
      <c r="C34" s="364" t="n">
        <v>62</v>
      </c>
      <c r="D34" s="361" t="inlineStr">
        <is>
          <t>Communications</t>
        </is>
      </c>
    </row>
    <row r="35">
      <c r="B35" s="361" t="inlineStr">
        <is>
          <t>Atlassian</t>
        </is>
      </c>
      <c r="C35" s="364" t="n">
        <v>65</v>
      </c>
      <c r="D35" s="361" t="inlineStr">
        <is>
          <t>Project management</t>
        </is>
      </c>
    </row>
    <row r="36">
      <c r="B36" s="361" t="inlineStr">
        <is>
          <t>MeetGeek</t>
        </is>
      </c>
      <c r="C36" s="364" t="n">
        <v>19</v>
      </c>
      <c r="D36" s="361" t="inlineStr">
        <is>
          <t>Meeting notes</t>
        </is>
      </c>
    </row>
    <row r="37">
      <c r="B37" s="361" t="inlineStr">
        <is>
          <t>GoDaddy</t>
        </is>
      </c>
      <c r="C37" s="364" t="n">
        <v>102</v>
      </c>
      <c r="D37" s="361" t="inlineStr">
        <is>
          <t>Domain/hosting</t>
        </is>
      </c>
    </row>
    <row r="38">
      <c r="B38" s="361" t="inlineStr">
        <is>
          <t>Annual Subs (amortized)</t>
        </is>
      </c>
      <c r="C38" s="364" t="n">
        <v>490.25</v>
      </c>
      <c r="D38" s="361" t="inlineStr">
        <is>
          <t>SearchAtlas, Calendly, Canva, Zoom, ISHC, Clear</t>
        </is>
      </c>
    </row>
    <row r="39">
      <c r="B39" s="365" t="inlineStr">
        <is>
          <t>TOTAL MONTHLY OPEX</t>
        </is>
      </c>
      <c r="C39" s="366">
        <f>SUM(C20:C38)</f>
        <v/>
      </c>
      <c r="D39" s="367" t="n"/>
    </row>
    <row r="40">
      <c r="B40" s="361" t="inlineStr">
        <is>
          <t>Tax Rate</t>
        </is>
      </c>
      <c r="C40" s="373" t="n">
        <v>0.15</v>
      </c>
      <c r="D40" s="371" t="inlineStr">
        <is>
          <t>Applied to pre-tax profit (was stored as text ‘15%’ in source — now a real number so formulas can reference it)</t>
        </is>
      </c>
    </row>
    <row r="42">
      <c r="B42" s="362" t="inlineStr">
        <is>
          <t>DEBT ENTERING 2027</t>
        </is>
      </c>
      <c r="C42" s="363" t="n"/>
      <c r="D42" s="363" t="n"/>
    </row>
    <row r="43">
      <c r="B43" s="361" t="inlineStr">
        <is>
          <t>IRS</t>
        </is>
      </c>
      <c r="C43" s="374" t="inlineStr">
        <is>
          <t>$24,835</t>
        </is>
      </c>
      <c r="D43" s="361" t="inlineStr">
        <is>
          <t>Target: pay off Q1 2027</t>
        </is>
      </c>
    </row>
    <row r="44">
      <c r="B44" s="361" t="inlineStr">
        <is>
          <t>SBA Loan</t>
        </is>
      </c>
      <c r="C44" s="374" t="inlineStr">
        <is>
          <t>$674/mo continuing</t>
        </is>
      </c>
      <c r="D44" s="361" t="inlineStr">
        <is>
          <t>Long term</t>
        </is>
      </c>
    </row>
    <row r="45">
      <c r="B45" s="361" t="inlineStr">
        <is>
          <t>Mercedes (Ally)</t>
        </is>
      </c>
      <c r="C45" s="374" t="inlineStr">
        <is>
          <t>$1,125/mo continuing</t>
        </is>
      </c>
      <c r="D45" s="361" t="inlineStr">
        <is>
          <t>Personal</t>
        </is>
      </c>
    </row>
    <row r="46">
      <c r="B46" s="361" t="inlineStr">
        <is>
          <t>Scottsdale HELOC</t>
        </is>
      </c>
      <c r="C46" s="374" t="inlineStr">
        <is>
          <t>$500/mo continuing</t>
        </is>
      </c>
      <c r="D46" s="361" t="inlineStr">
        <is>
          <t>Keep current pace</t>
        </is>
      </c>
    </row>
    <row r="47">
      <c r="B47" s="361" t="inlineStr">
        <is>
          <t>Affirm X-Chair (0%)</t>
        </is>
      </c>
      <c r="C47" s="374" t="inlineStr">
        <is>
          <t>$75.42/mo through Jul 2027</t>
        </is>
      </c>
      <c r="D47" s="361" t="inlineStr"/>
    </row>
    <row r="48">
      <c r="B48" s="361" t="inlineStr">
        <is>
          <t>Affirm Peloton (0%)</t>
        </is>
      </c>
      <c r="C48" s="374" t="inlineStr">
        <is>
          <t>$74.05/mo through Jan 2028</t>
        </is>
      </c>
      <c r="D48" s="361" t="inlineStr"/>
    </row>
    <row r="50">
      <c r="B50" s="362" t="inlineStr">
        <is>
          <t>KEY TARGETS</t>
        </is>
      </c>
      <c r="C50" s="363" t="n"/>
    </row>
    <row r="51">
      <c r="B51" s="361" t="inlineStr">
        <is>
          <t>IRS paid off</t>
        </is>
      </c>
      <c r="C51" s="375" t="inlineStr">
        <is>
          <t>March 2027</t>
        </is>
      </c>
    </row>
    <row r="52">
      <c r="B52" s="361" t="inlineStr">
        <is>
          <t>Debt free (excl car, SBA, HELOC)</t>
        </is>
      </c>
      <c r="C52" s="375" t="inlineStr">
        <is>
          <t>March 2027</t>
        </is>
      </c>
    </row>
    <row r="53">
      <c r="B53" s="361" t="inlineStr">
        <is>
          <t>Free cash starting</t>
        </is>
      </c>
      <c r="C53" s="375" t="inlineStr">
        <is>
          <t>April 2027 — see rebuilt Cash Flow tab for actual monthly free cash by month (varies with new-client timing)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16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0.66" customWidth="1" style="1" min="15" max="15"/>
  </cols>
  <sheetData>
    <row r="1">
      <c r="A1" s="396" t="inlineStr">
        <is>
          <t>Kate Burda &amp; Co | Advisory P&amp;L | 2027</t>
        </is>
      </c>
    </row>
    <row r="3">
      <c r="A3" s="397" t="inlineStr"/>
      <c r="B3" s="398" t="inlineStr">
        <is>
          <t>Jan</t>
        </is>
      </c>
      <c r="C3" s="398" t="inlineStr">
        <is>
          <t>Feb</t>
        </is>
      </c>
      <c r="D3" s="398" t="inlineStr">
        <is>
          <t>Mar</t>
        </is>
      </c>
      <c r="E3" s="398" t="inlineStr">
        <is>
          <t>Apr</t>
        </is>
      </c>
      <c r="F3" s="398" t="inlineStr">
        <is>
          <t>May</t>
        </is>
      </c>
      <c r="G3" s="398" t="inlineStr">
        <is>
          <t>Jun</t>
        </is>
      </c>
      <c r="H3" s="398" t="inlineStr">
        <is>
          <t>Jul</t>
        </is>
      </c>
      <c r="I3" s="398" t="inlineStr">
        <is>
          <t>Aug</t>
        </is>
      </c>
      <c r="J3" s="398" t="inlineStr">
        <is>
          <t>Sep</t>
        </is>
      </c>
      <c r="K3" s="398" t="inlineStr">
        <is>
          <t>Oct</t>
        </is>
      </c>
      <c r="L3" s="398" t="inlineStr">
        <is>
          <t>Nov</t>
        </is>
      </c>
      <c r="M3" s="398" t="inlineStr">
        <is>
          <t>Dec</t>
        </is>
      </c>
      <c r="N3" s="398" t="inlineStr">
        <is>
          <t>Annual</t>
        </is>
      </c>
    </row>
    <row r="5">
      <c r="A5" s="399" t="inlineStr">
        <is>
          <t>GROSS REVENUE — RECURRING CLIENTS</t>
        </is>
      </c>
      <c r="B5" s="363" t="n"/>
      <c r="C5" s="363" t="n"/>
      <c r="D5" s="363" t="n"/>
      <c r="E5" s="363" t="n"/>
      <c r="F5" s="363" t="n"/>
      <c r="G5" s="363" t="n"/>
      <c r="H5" s="363" t="n"/>
      <c r="I5" s="363" t="n"/>
      <c r="J5" s="363" t="n"/>
      <c r="K5" s="363" t="n"/>
      <c r="L5" s="363" t="n"/>
      <c r="M5" s="363" t="n"/>
      <c r="N5" s="363" t="n"/>
    </row>
    <row r="6">
      <c r="A6" s="400">
        <f>'KB Co Assumptions'!B4</f>
        <v/>
      </c>
      <c r="B6" s="401">
        <f>'KB Co Assumptions'!C4</f>
        <v/>
      </c>
      <c r="C6" s="401">
        <f>B6</f>
        <v/>
      </c>
      <c r="D6" s="401">
        <f>C6</f>
        <v/>
      </c>
      <c r="E6" s="401">
        <f>D6</f>
        <v/>
      </c>
      <c r="F6" s="401">
        <f>E6</f>
        <v/>
      </c>
      <c r="G6" s="401">
        <f>F6</f>
        <v/>
      </c>
      <c r="H6" s="401">
        <f>G6</f>
        <v/>
      </c>
      <c r="I6" s="401">
        <f>H6</f>
        <v/>
      </c>
      <c r="J6" s="401">
        <f>I6</f>
        <v/>
      </c>
      <c r="K6" s="401">
        <f>J6</f>
        <v/>
      </c>
      <c r="L6" s="401">
        <f>K6</f>
        <v/>
      </c>
      <c r="M6" s="401">
        <f>L6</f>
        <v/>
      </c>
      <c r="N6" s="401">
        <f>SUM(B6:M6)</f>
        <v/>
      </c>
      <c r="P6" s="402" t="inlineStr">
        <is>
          <t>Minimum</t>
        </is>
      </c>
    </row>
    <row r="7">
      <c r="A7" s="400">
        <f>'KB Co Assumptions'!B5</f>
        <v/>
      </c>
      <c r="B7" s="401">
        <f>'KB Co Assumptions'!C5</f>
        <v/>
      </c>
      <c r="C7" s="401">
        <f>B7</f>
        <v/>
      </c>
      <c r="D7" s="401">
        <f>C7</f>
        <v/>
      </c>
      <c r="E7" s="401">
        <f>D7</f>
        <v/>
      </c>
      <c r="F7" s="401">
        <f>E7</f>
        <v/>
      </c>
      <c r="G7" s="401">
        <f>F7</f>
        <v/>
      </c>
      <c r="H7" s="401">
        <f>G7</f>
        <v/>
      </c>
      <c r="I7" s="401">
        <f>H7</f>
        <v/>
      </c>
      <c r="J7" s="401">
        <f>I7</f>
        <v/>
      </c>
      <c r="K7" s="401">
        <f>J7</f>
        <v/>
      </c>
      <c r="L7" s="401">
        <f>K7</f>
        <v/>
      </c>
      <c r="M7" s="401">
        <f>L7</f>
        <v/>
      </c>
      <c r="N7" s="401">
        <f>SUM(B7:M7)</f>
        <v/>
      </c>
      <c r="P7" s="339" t="inlineStr">
        <is>
          <t>Goal</t>
        </is>
      </c>
      <c r="Q7" s="339" t="n">
        <v>350000</v>
      </c>
      <c r="S7" s="339" t="inlineStr">
        <is>
          <t>Adj Goal</t>
        </is>
      </c>
      <c r="T7" s="341">
        <f>(Q7/12)*Q8</f>
        <v/>
      </c>
      <c r="V7" s="403" t="inlineStr">
        <is>
          <t>Current Gross Diff</t>
        </is>
      </c>
      <c r="W7" s="404">
        <f>N17-T7</f>
        <v/>
      </c>
    </row>
    <row r="8">
      <c r="A8" s="400">
        <f>'KB Co Assumptions'!B6</f>
        <v/>
      </c>
      <c r="B8" s="401">
        <f>'KB Co Assumptions'!C6</f>
        <v/>
      </c>
      <c r="C8" s="401">
        <f>B8</f>
        <v/>
      </c>
      <c r="D8" s="401">
        <f>C8</f>
        <v/>
      </c>
      <c r="E8" s="401">
        <f>D8</f>
        <v/>
      </c>
      <c r="F8" s="401">
        <f>E8</f>
        <v/>
      </c>
      <c r="G8" s="401">
        <f>F8</f>
        <v/>
      </c>
      <c r="H8" s="401">
        <f>G8</f>
        <v/>
      </c>
      <c r="I8" s="401">
        <f>H8</f>
        <v/>
      </c>
      <c r="J8" s="401">
        <f>I8</f>
        <v/>
      </c>
      <c r="K8" s="401">
        <f>J8</f>
        <v/>
      </c>
      <c r="L8" s="401">
        <f>K8</f>
        <v/>
      </c>
      <c r="M8" s="401">
        <f>L8</f>
        <v/>
      </c>
      <c r="N8" s="401">
        <f>SUM(B8:M8)</f>
        <v/>
      </c>
      <c r="P8" s="339" t="inlineStr">
        <is>
          <t>Months</t>
        </is>
      </c>
      <c r="Q8" s="339">
        <f>'Kate Co Breakdown'!I5</f>
        <v/>
      </c>
      <c r="S8" s="339" t="inlineStr">
        <is>
          <t>Taxes</t>
        </is>
      </c>
      <c r="T8" s="339">
        <f>T7*'KB Co Assumptions'!$C$40</f>
        <v/>
      </c>
    </row>
    <row r="9">
      <c r="A9" s="400">
        <f>'KB Co Assumptions'!B7</f>
        <v/>
      </c>
      <c r="B9" s="401">
        <f>'KB Co Assumptions'!C7</f>
        <v/>
      </c>
      <c r="C9" s="401">
        <f>B9</f>
        <v/>
      </c>
      <c r="D9" s="401">
        <f>C9</f>
        <v/>
      </c>
      <c r="E9" s="401">
        <f>D9</f>
        <v/>
      </c>
      <c r="F9" s="401">
        <f>E9</f>
        <v/>
      </c>
      <c r="G9" s="401">
        <f>F9</f>
        <v/>
      </c>
      <c r="H9" s="401">
        <f>G9</f>
        <v/>
      </c>
      <c r="I9" s="401">
        <f>H9</f>
        <v/>
      </c>
      <c r="J9" s="401">
        <f>I9</f>
        <v/>
      </c>
      <c r="K9" s="401">
        <f>J9</f>
        <v/>
      </c>
      <c r="L9" s="401">
        <f>K9</f>
        <v/>
      </c>
      <c r="M9" s="401">
        <f>L9</f>
        <v/>
      </c>
      <c r="N9" s="401">
        <f>SUM(B9:M9)</f>
        <v/>
      </c>
      <c r="S9" s="339" t="inlineStr">
        <is>
          <t>Net</t>
        </is>
      </c>
      <c r="T9" s="339">
        <f>T7-T8</f>
        <v/>
      </c>
    </row>
    <row r="10">
      <c r="A10" s="400">
        <f>'KB Co Assumptions'!B8</f>
        <v/>
      </c>
      <c r="B10" s="401">
        <f>'KB Co Assumptions'!C8</f>
        <v/>
      </c>
      <c r="C10" s="401">
        <f>B10</f>
        <v/>
      </c>
      <c r="D10" s="401">
        <f>C10</f>
        <v/>
      </c>
      <c r="E10" s="401">
        <f>D10</f>
        <v/>
      </c>
      <c r="F10" s="401">
        <f>E10</f>
        <v/>
      </c>
      <c r="G10" s="401">
        <f>F10</f>
        <v/>
      </c>
      <c r="H10" s="401">
        <f>G10</f>
        <v/>
      </c>
      <c r="I10" s="401">
        <f>H10</f>
        <v/>
      </c>
      <c r="J10" s="401">
        <f>I10</f>
        <v/>
      </c>
      <c r="K10" s="401">
        <f>J10</f>
        <v/>
      </c>
      <c r="L10" s="401">
        <f>K10</f>
        <v/>
      </c>
      <c r="M10" s="401">
        <f>L10</f>
        <v/>
      </c>
      <c r="N10" s="401">
        <f>SUM(B10:M10)</f>
        <v/>
      </c>
    </row>
    <row r="11">
      <c r="P11" s="402" t="inlineStr">
        <is>
          <t>Aspirational</t>
        </is>
      </c>
    </row>
    <row r="12" ht="30" customHeight="1" s="1">
      <c r="A12" s="405" t="inlineStr">
        <is>
          <t>ONE-TIME ENGAGEMENT FEES — NEW ADVISORY / IGNITE-BETA CLIENTS  (edit the Target Month in KB Co Assumptions to move a fee)</t>
        </is>
      </c>
      <c r="B12" s="363" t="n"/>
      <c r="C12" s="363" t="n"/>
      <c r="D12" s="363" t="n"/>
      <c r="E12" s="363" t="n"/>
      <c r="F12" s="363" t="n"/>
      <c r="G12" s="363" t="n"/>
      <c r="H12" s="363" t="n"/>
      <c r="I12" s="363" t="n"/>
      <c r="J12" s="363" t="n"/>
      <c r="K12" s="363" t="n"/>
      <c r="L12" s="363" t="n"/>
      <c r="M12" s="363" t="n"/>
      <c r="N12" s="363" t="n"/>
      <c r="P12" s="339" t="inlineStr">
        <is>
          <t>Goal</t>
        </is>
      </c>
      <c r="Q12" s="339" t="n">
        <v>500000</v>
      </c>
      <c r="S12" s="339" t="inlineStr">
        <is>
          <t>Adj Goal</t>
        </is>
      </c>
      <c r="T12" s="341">
        <f>(Q12/12)*Q13</f>
        <v/>
      </c>
      <c r="V12" s="403" t="inlineStr">
        <is>
          <t>Aspirational Gross Diff</t>
        </is>
      </c>
      <c r="W12" s="404">
        <f>N17-T12</f>
        <v/>
      </c>
    </row>
    <row r="13">
      <c r="A13" s="400">
        <f>'KB Co Assumptions'!B13</f>
        <v/>
      </c>
      <c r="B13" s="401">
        <f>IF(B$3='KB Co Assumptions'!$E$13,'KB Co Assumptions'!$C$13,0)</f>
        <v/>
      </c>
      <c r="C13" s="401">
        <f>IF(C$3='KB Co Assumptions'!$E$13,'KB Co Assumptions'!$C$13,0)</f>
        <v/>
      </c>
      <c r="D13" s="401">
        <f>IF(D$3='KB Co Assumptions'!$E$13,'KB Co Assumptions'!$C$13,0)</f>
        <v/>
      </c>
      <c r="E13" s="401">
        <f>IF(E$3='KB Co Assumptions'!$E$13,'KB Co Assumptions'!$C$13,0)</f>
        <v/>
      </c>
      <c r="F13" s="401">
        <f>IF(F$3='KB Co Assumptions'!$E$13,'KB Co Assumptions'!$C$13,0)</f>
        <v/>
      </c>
      <c r="G13" s="401">
        <f>IF(G$3='KB Co Assumptions'!$E$13,'KB Co Assumptions'!$C$13,0)</f>
        <v/>
      </c>
      <c r="H13" s="401">
        <f>IF(H$3='KB Co Assumptions'!$E$13,'KB Co Assumptions'!$C$13,0)</f>
        <v/>
      </c>
      <c r="I13" s="401">
        <f>IF(I$3='KB Co Assumptions'!$E$13,'KB Co Assumptions'!$C$13,0)</f>
        <v/>
      </c>
      <c r="J13" s="401">
        <f>IF(J$3='KB Co Assumptions'!$E$13,'KB Co Assumptions'!$C$13,0)</f>
        <v/>
      </c>
      <c r="K13" s="401">
        <f>IF(K$3='KB Co Assumptions'!$E$13,'KB Co Assumptions'!$C$13,0)</f>
        <v/>
      </c>
      <c r="L13" s="401">
        <f>IF(L$3='KB Co Assumptions'!$E$13,'KB Co Assumptions'!$C$13,0)</f>
        <v/>
      </c>
      <c r="M13" s="401">
        <f>IF(M$3='KB Co Assumptions'!$E$13,'KB Co Assumptions'!$C$13,0)</f>
        <v/>
      </c>
      <c r="N13" s="401">
        <f>SUM(B13:M13)</f>
        <v/>
      </c>
      <c r="P13" s="339" t="inlineStr">
        <is>
          <t>Months</t>
        </is>
      </c>
      <c r="Q13" s="339" t="n">
        <v>12</v>
      </c>
      <c r="S13" s="339" t="inlineStr">
        <is>
          <t>Taxes</t>
        </is>
      </c>
      <c r="T13" s="339">
        <f>T12*'KB Co Assumptions'!$C$40</f>
        <v/>
      </c>
    </row>
    <row r="14">
      <c r="A14" s="400">
        <f>'KB Co Assumptions'!B14</f>
        <v/>
      </c>
      <c r="B14" s="401">
        <f>IF(B$3='KB Co Assumptions'!$E$14,'KB Co Assumptions'!$C$14,0)</f>
        <v/>
      </c>
      <c r="C14" s="401">
        <f>IF(C$3='KB Co Assumptions'!$E$14,'KB Co Assumptions'!$C$14,0)</f>
        <v/>
      </c>
      <c r="D14" s="401">
        <f>IF(D$3='KB Co Assumptions'!$E$14,'KB Co Assumptions'!$C$14,0)</f>
        <v/>
      </c>
      <c r="E14" s="401">
        <f>IF(E$3='KB Co Assumptions'!$E$14,'KB Co Assumptions'!$C$14,0)</f>
        <v/>
      </c>
      <c r="F14" s="401">
        <f>IF(F$3='KB Co Assumptions'!$E$14,'KB Co Assumptions'!$C$14,0)</f>
        <v/>
      </c>
      <c r="G14" s="401">
        <f>IF(G$3='KB Co Assumptions'!$E$14,'KB Co Assumptions'!$C$14,0)</f>
        <v/>
      </c>
      <c r="H14" s="401">
        <f>IF(H$3='KB Co Assumptions'!$E$14,'KB Co Assumptions'!$C$14,0)</f>
        <v/>
      </c>
      <c r="I14" s="401">
        <f>IF(I$3='KB Co Assumptions'!$E$14,'KB Co Assumptions'!$C$14,0)</f>
        <v/>
      </c>
      <c r="J14" s="401">
        <f>IF(J$3='KB Co Assumptions'!$E$14,'KB Co Assumptions'!$C$14,0)</f>
        <v/>
      </c>
      <c r="K14" s="401">
        <f>IF(K$3='KB Co Assumptions'!$E$14,'KB Co Assumptions'!$C$14,0)</f>
        <v/>
      </c>
      <c r="L14" s="401">
        <f>IF(L$3='KB Co Assumptions'!$E$14,'KB Co Assumptions'!$C$14,0)</f>
        <v/>
      </c>
      <c r="M14" s="401">
        <f>IF(M$3='KB Co Assumptions'!$E$14,'KB Co Assumptions'!$C$14,0)</f>
        <v/>
      </c>
      <c r="N14" s="401">
        <f>SUM(B14:M14)</f>
        <v/>
      </c>
      <c r="S14" s="339" t="inlineStr">
        <is>
          <t>Net</t>
        </is>
      </c>
      <c r="T14" s="339">
        <f>T12-T13</f>
        <v/>
      </c>
    </row>
    <row r="15">
      <c r="A15" s="400">
        <f>'KB Co Assumptions'!B15</f>
        <v/>
      </c>
      <c r="B15" s="401">
        <f>IF(B$3='KB Co Assumptions'!$E$15,'KB Co Assumptions'!$C$15,0)</f>
        <v/>
      </c>
      <c r="C15" s="401">
        <f>IF(C$3='KB Co Assumptions'!$E$15,'KB Co Assumptions'!$C$15,0)</f>
        <v/>
      </c>
      <c r="D15" s="401">
        <f>IF(D$3='KB Co Assumptions'!$E$15,'KB Co Assumptions'!$C$15,0)</f>
        <v/>
      </c>
      <c r="E15" s="401">
        <f>IF(E$3='KB Co Assumptions'!$E$15,'KB Co Assumptions'!$C$15,0)</f>
        <v/>
      </c>
      <c r="F15" s="401">
        <f>IF(F$3='KB Co Assumptions'!$E$15,'KB Co Assumptions'!$C$15,0)</f>
        <v/>
      </c>
      <c r="G15" s="401">
        <f>IF(G$3='KB Co Assumptions'!$E$15,'KB Co Assumptions'!$C$15,0)</f>
        <v/>
      </c>
      <c r="H15" s="401">
        <f>IF(H$3='KB Co Assumptions'!$E$15,'KB Co Assumptions'!$C$15,0)</f>
        <v/>
      </c>
      <c r="I15" s="401">
        <f>IF(I$3='KB Co Assumptions'!$E$15,'KB Co Assumptions'!$C$15,0)</f>
        <v/>
      </c>
      <c r="J15" s="401">
        <f>IF(J$3='KB Co Assumptions'!$E$15,'KB Co Assumptions'!$C$15,0)</f>
        <v/>
      </c>
      <c r="K15" s="401">
        <f>IF(K$3='KB Co Assumptions'!$E$15,'KB Co Assumptions'!$C$15,0)</f>
        <v/>
      </c>
      <c r="L15" s="401">
        <f>IF(L$3='KB Co Assumptions'!$E$15,'KB Co Assumptions'!$C$15,0)</f>
        <v/>
      </c>
      <c r="M15" s="401">
        <f>IF(M$3='KB Co Assumptions'!$E$15,'KB Co Assumptions'!$C$15,0)</f>
        <v/>
      </c>
      <c r="N15" s="401">
        <f>SUM(B15:M15)</f>
        <v/>
      </c>
    </row>
    <row r="17">
      <c r="A17" s="406" t="inlineStr">
        <is>
          <t>TOTAL GROSS REVENUE</t>
        </is>
      </c>
      <c r="B17" s="407">
        <f>SUM(B6:B10)+SUM(B13:B15)</f>
        <v/>
      </c>
      <c r="C17" s="407">
        <f>SUM(C6:C10)+SUM(C13:C15)</f>
        <v/>
      </c>
      <c r="D17" s="407">
        <f>SUM(D6:D10)+SUM(D13:D15)</f>
        <v/>
      </c>
      <c r="E17" s="407">
        <f>SUM(E6:E10)+SUM(E13:E15)</f>
        <v/>
      </c>
      <c r="F17" s="407">
        <f>SUM(F6:F10)+SUM(F13:F15)</f>
        <v/>
      </c>
      <c r="G17" s="407">
        <f>SUM(G6:G10)+SUM(G13:G15)</f>
        <v/>
      </c>
      <c r="H17" s="407">
        <f>SUM(H6:H10)+SUM(H13:H15)</f>
        <v/>
      </c>
      <c r="I17" s="407">
        <f>SUM(I6:I10)+SUM(I13:I15)</f>
        <v/>
      </c>
      <c r="J17" s="407">
        <f>SUM(J6:J10)+SUM(J13:J15)</f>
        <v/>
      </c>
      <c r="K17" s="407">
        <f>SUM(K6:K10)+SUM(K13:K15)</f>
        <v/>
      </c>
      <c r="L17" s="407">
        <f>SUM(L6:L10)+SUM(L13:L15)</f>
        <v/>
      </c>
      <c r="M17" s="407">
        <f>SUM(M6:M10)+SUM(M13:M15)</f>
        <v/>
      </c>
      <c r="N17" s="408">
        <f>SUM(B17:M17)</f>
        <v/>
      </c>
    </row>
    <row r="19">
      <c r="A19" s="399" t="inlineStr">
        <is>
          <t>OPERATING EXPENSES</t>
        </is>
      </c>
      <c r="B19" s="363" t="n"/>
      <c r="C19" s="363" t="n"/>
      <c r="D19" s="363" t="n"/>
      <c r="E19" s="363" t="n"/>
      <c r="F19" s="363" t="n"/>
      <c r="G19" s="363" t="n"/>
      <c r="H19" s="363" t="n"/>
      <c r="I19" s="363" t="n"/>
      <c r="J19" s="363" t="n"/>
      <c r="K19" s="363" t="n"/>
      <c r="L19" s="363" t="n"/>
      <c r="M19" s="363" t="n"/>
      <c r="N19" s="363" t="n"/>
    </row>
    <row r="20">
      <c r="A20" s="400">
        <f>'KB Co Assumptions'!B20</f>
        <v/>
      </c>
      <c r="B20" s="401">
        <f>'KB Co Assumptions'!C20</f>
        <v/>
      </c>
      <c r="C20" s="401">
        <f>B20</f>
        <v/>
      </c>
      <c r="D20" s="401">
        <f>C20</f>
        <v/>
      </c>
      <c r="E20" s="401">
        <f>D20</f>
        <v/>
      </c>
      <c r="F20" s="401">
        <f>E20</f>
        <v/>
      </c>
      <c r="G20" s="401">
        <f>F20</f>
        <v/>
      </c>
      <c r="H20" s="401">
        <f>G20</f>
        <v/>
      </c>
      <c r="I20" s="401">
        <f>H20</f>
        <v/>
      </c>
      <c r="J20" s="401">
        <f>I20</f>
        <v/>
      </c>
      <c r="K20" s="401">
        <f>J20</f>
        <v/>
      </c>
      <c r="L20" s="401">
        <f>K20</f>
        <v/>
      </c>
      <c r="M20" s="401">
        <f>L20</f>
        <v/>
      </c>
      <c r="N20" s="401">
        <f>SUM(B20:M20)</f>
        <v/>
      </c>
    </row>
    <row r="21">
      <c r="A21" s="400">
        <f>'KB Co Assumptions'!B21</f>
        <v/>
      </c>
      <c r="B21" s="401">
        <f>'KB Co Assumptions'!C21</f>
        <v/>
      </c>
      <c r="C21" s="401">
        <f>B21</f>
        <v/>
      </c>
      <c r="D21" s="401">
        <f>C21</f>
        <v/>
      </c>
      <c r="E21" s="401">
        <f>D21</f>
        <v/>
      </c>
      <c r="F21" s="401">
        <f>E21</f>
        <v/>
      </c>
      <c r="G21" s="401">
        <f>F21</f>
        <v/>
      </c>
      <c r="H21" s="401">
        <f>G21</f>
        <v/>
      </c>
      <c r="I21" s="401">
        <f>H21</f>
        <v/>
      </c>
      <c r="J21" s="401">
        <f>I21</f>
        <v/>
      </c>
      <c r="K21" s="401">
        <f>J21</f>
        <v/>
      </c>
      <c r="L21" s="401">
        <f>K21</f>
        <v/>
      </c>
      <c r="M21" s="401">
        <f>L21</f>
        <v/>
      </c>
      <c r="N21" s="401">
        <f>SUM(B21:M21)</f>
        <v/>
      </c>
    </row>
    <row r="22">
      <c r="A22" s="400">
        <f>'KB Co Assumptions'!B22</f>
        <v/>
      </c>
      <c r="B22" s="401">
        <f>'KB Co Assumptions'!C22</f>
        <v/>
      </c>
      <c r="C22" s="401">
        <f>B22</f>
        <v/>
      </c>
      <c r="D22" s="401">
        <f>C22</f>
        <v/>
      </c>
      <c r="E22" s="401">
        <f>D22</f>
        <v/>
      </c>
      <c r="F22" s="401">
        <f>E22</f>
        <v/>
      </c>
      <c r="G22" s="401">
        <f>F22</f>
        <v/>
      </c>
      <c r="H22" s="401">
        <f>G22</f>
        <v/>
      </c>
      <c r="I22" s="401">
        <f>H22</f>
        <v/>
      </c>
      <c r="J22" s="401">
        <f>I22</f>
        <v/>
      </c>
      <c r="K22" s="401">
        <f>J22</f>
        <v/>
      </c>
      <c r="L22" s="401">
        <f>K22</f>
        <v/>
      </c>
      <c r="M22" s="401">
        <f>L22</f>
        <v/>
      </c>
      <c r="N22" s="401">
        <f>SUM(B22:M22)</f>
        <v/>
      </c>
    </row>
    <row r="23">
      <c r="A23" s="400">
        <f>'KB Co Assumptions'!B23</f>
        <v/>
      </c>
      <c r="B23" s="401">
        <f>'KB Co Assumptions'!C23</f>
        <v/>
      </c>
      <c r="C23" s="401">
        <f>B23</f>
        <v/>
      </c>
      <c r="D23" s="401">
        <f>C23</f>
        <v/>
      </c>
      <c r="E23" s="401">
        <f>D23</f>
        <v/>
      </c>
      <c r="F23" s="401">
        <f>E23</f>
        <v/>
      </c>
      <c r="G23" s="401">
        <f>F23</f>
        <v/>
      </c>
      <c r="H23" s="401">
        <f>G23</f>
        <v/>
      </c>
      <c r="I23" s="401">
        <f>H23</f>
        <v/>
      </c>
      <c r="J23" s="401">
        <f>I23</f>
        <v/>
      </c>
      <c r="K23" s="401">
        <f>J23</f>
        <v/>
      </c>
      <c r="L23" s="401">
        <f>K23</f>
        <v/>
      </c>
      <c r="M23" s="401">
        <f>L23</f>
        <v/>
      </c>
      <c r="N23" s="401">
        <f>SUM(B23:M23)</f>
        <v/>
      </c>
    </row>
    <row r="24">
      <c r="A24" s="400">
        <f>'KB Co Assumptions'!B24</f>
        <v/>
      </c>
      <c r="B24" s="401">
        <f>'KB Co Assumptions'!C24</f>
        <v/>
      </c>
      <c r="C24" s="401">
        <f>B24</f>
        <v/>
      </c>
      <c r="D24" s="401">
        <f>C24</f>
        <v/>
      </c>
      <c r="E24" s="401">
        <f>D24</f>
        <v/>
      </c>
      <c r="F24" s="401">
        <f>E24</f>
        <v/>
      </c>
      <c r="G24" s="401">
        <f>F24</f>
        <v/>
      </c>
      <c r="H24" s="401">
        <f>G24</f>
        <v/>
      </c>
      <c r="I24" s="401">
        <f>H24</f>
        <v/>
      </c>
      <c r="J24" s="401">
        <f>I24</f>
        <v/>
      </c>
      <c r="K24" s="401">
        <f>J24</f>
        <v/>
      </c>
      <c r="L24" s="401">
        <f>K24</f>
        <v/>
      </c>
      <c r="M24" s="401">
        <f>L24</f>
        <v/>
      </c>
      <c r="N24" s="401">
        <f>SUM(B24:M24)</f>
        <v/>
      </c>
    </row>
    <row r="25">
      <c r="A25" s="400">
        <f>'KB Co Assumptions'!B25</f>
        <v/>
      </c>
      <c r="B25" s="401">
        <f>'KB Co Assumptions'!C25</f>
        <v/>
      </c>
      <c r="C25" s="401">
        <f>B25</f>
        <v/>
      </c>
      <c r="D25" s="401">
        <f>C25</f>
        <v/>
      </c>
      <c r="E25" s="401">
        <f>D25</f>
        <v/>
      </c>
      <c r="F25" s="401">
        <f>E25</f>
        <v/>
      </c>
      <c r="G25" s="401">
        <f>F25</f>
        <v/>
      </c>
      <c r="H25" s="401">
        <f>G25</f>
        <v/>
      </c>
      <c r="I25" s="401">
        <f>H25</f>
        <v/>
      </c>
      <c r="J25" s="401">
        <f>I25</f>
        <v/>
      </c>
      <c r="K25" s="401">
        <f>J25</f>
        <v/>
      </c>
      <c r="L25" s="401">
        <f>K25</f>
        <v/>
      </c>
      <c r="M25" s="401">
        <f>L25</f>
        <v/>
      </c>
      <c r="N25" s="401">
        <f>SUM(B25:M25)</f>
        <v/>
      </c>
    </row>
    <row r="26">
      <c r="A26" s="400">
        <f>'KB Co Assumptions'!B26</f>
        <v/>
      </c>
      <c r="B26" s="401">
        <f>'KB Co Assumptions'!C26</f>
        <v/>
      </c>
      <c r="C26" s="401">
        <f>B26</f>
        <v/>
      </c>
      <c r="D26" s="401">
        <f>C26</f>
        <v/>
      </c>
      <c r="E26" s="401">
        <f>D26</f>
        <v/>
      </c>
      <c r="F26" s="401">
        <f>E26</f>
        <v/>
      </c>
      <c r="G26" s="401">
        <f>F26</f>
        <v/>
      </c>
      <c r="H26" s="401">
        <f>G26</f>
        <v/>
      </c>
      <c r="I26" s="401">
        <f>H26</f>
        <v/>
      </c>
      <c r="J26" s="401">
        <f>I26</f>
        <v/>
      </c>
      <c r="K26" s="401">
        <f>J26</f>
        <v/>
      </c>
      <c r="L26" s="401">
        <f>K26</f>
        <v/>
      </c>
      <c r="M26" s="401">
        <f>L26</f>
        <v/>
      </c>
      <c r="N26" s="401">
        <f>SUM(B26:M26)</f>
        <v/>
      </c>
    </row>
    <row r="27">
      <c r="A27" s="400">
        <f>'KB Co Assumptions'!B27</f>
        <v/>
      </c>
      <c r="B27" s="401">
        <f>'KB Co Assumptions'!C27</f>
        <v/>
      </c>
      <c r="C27" s="401">
        <f>B27</f>
        <v/>
      </c>
      <c r="D27" s="401">
        <f>C27</f>
        <v/>
      </c>
      <c r="E27" s="401">
        <f>D27</f>
        <v/>
      </c>
      <c r="F27" s="401">
        <f>E27</f>
        <v/>
      </c>
      <c r="G27" s="401">
        <f>F27</f>
        <v/>
      </c>
      <c r="H27" s="401">
        <f>G27</f>
        <v/>
      </c>
      <c r="I27" s="401">
        <f>H27</f>
        <v/>
      </c>
      <c r="J27" s="401">
        <f>I27</f>
        <v/>
      </c>
      <c r="K27" s="401">
        <f>J27</f>
        <v/>
      </c>
      <c r="L27" s="401">
        <f>K27</f>
        <v/>
      </c>
      <c r="M27" s="401">
        <f>L27</f>
        <v/>
      </c>
      <c r="N27" s="401">
        <f>SUM(B27:M27)</f>
        <v/>
      </c>
    </row>
    <row r="28">
      <c r="A28" s="400">
        <f>'KB Co Assumptions'!B28</f>
        <v/>
      </c>
      <c r="B28" s="401">
        <f>'KB Co Assumptions'!C28</f>
        <v/>
      </c>
      <c r="C28" s="401">
        <f>B28</f>
        <v/>
      </c>
      <c r="D28" s="401">
        <f>C28</f>
        <v/>
      </c>
      <c r="E28" s="401">
        <f>D28</f>
        <v/>
      </c>
      <c r="F28" s="401">
        <f>E28</f>
        <v/>
      </c>
      <c r="G28" s="401">
        <f>F28</f>
        <v/>
      </c>
      <c r="H28" s="401">
        <f>G28</f>
        <v/>
      </c>
      <c r="I28" s="401">
        <f>H28</f>
        <v/>
      </c>
      <c r="J28" s="401">
        <f>I28</f>
        <v/>
      </c>
      <c r="K28" s="401">
        <f>J28</f>
        <v/>
      </c>
      <c r="L28" s="401">
        <f>K28</f>
        <v/>
      </c>
      <c r="M28" s="401">
        <f>L28</f>
        <v/>
      </c>
      <c r="N28" s="401">
        <f>SUM(B28:M28)</f>
        <v/>
      </c>
    </row>
    <row r="29">
      <c r="A29" s="400">
        <f>'KB Co Assumptions'!B29</f>
        <v/>
      </c>
      <c r="B29" s="401">
        <f>'KB Co Assumptions'!C29</f>
        <v/>
      </c>
      <c r="C29" s="401">
        <f>B29</f>
        <v/>
      </c>
      <c r="D29" s="401">
        <f>C29</f>
        <v/>
      </c>
      <c r="E29" s="401">
        <f>D29</f>
        <v/>
      </c>
      <c r="F29" s="401">
        <f>E29</f>
        <v/>
      </c>
      <c r="G29" s="401">
        <f>F29</f>
        <v/>
      </c>
      <c r="H29" s="401">
        <f>G29</f>
        <v/>
      </c>
      <c r="I29" s="401">
        <f>H29</f>
        <v/>
      </c>
      <c r="J29" s="401">
        <f>I29</f>
        <v/>
      </c>
      <c r="K29" s="401">
        <f>J29</f>
        <v/>
      </c>
      <c r="L29" s="401">
        <f>K29</f>
        <v/>
      </c>
      <c r="M29" s="401">
        <f>L29</f>
        <v/>
      </c>
      <c r="N29" s="401">
        <f>SUM(B29:M29)</f>
        <v/>
      </c>
    </row>
    <row r="30">
      <c r="A30" s="400">
        <f>'KB Co Assumptions'!B30</f>
        <v/>
      </c>
      <c r="B30" s="401">
        <f>'KB Co Assumptions'!C30</f>
        <v/>
      </c>
      <c r="C30" s="401">
        <f>B30</f>
        <v/>
      </c>
      <c r="D30" s="401">
        <f>C30</f>
        <v/>
      </c>
      <c r="E30" s="401">
        <f>D30</f>
        <v/>
      </c>
      <c r="F30" s="401">
        <f>E30</f>
        <v/>
      </c>
      <c r="G30" s="401">
        <f>F30</f>
        <v/>
      </c>
      <c r="H30" s="401">
        <f>G30</f>
        <v/>
      </c>
      <c r="I30" s="401">
        <f>H30</f>
        <v/>
      </c>
      <c r="J30" s="401">
        <f>I30</f>
        <v/>
      </c>
      <c r="K30" s="401">
        <f>J30</f>
        <v/>
      </c>
      <c r="L30" s="401">
        <f>K30</f>
        <v/>
      </c>
      <c r="M30" s="401">
        <f>L30</f>
        <v/>
      </c>
      <c r="N30" s="401">
        <f>SUM(B30:M30)</f>
        <v/>
      </c>
    </row>
    <row r="31">
      <c r="A31" s="400">
        <f>'KB Co Assumptions'!B31</f>
        <v/>
      </c>
      <c r="B31" s="401">
        <f>'KB Co Assumptions'!C31</f>
        <v/>
      </c>
      <c r="C31" s="401">
        <f>B31</f>
        <v/>
      </c>
      <c r="D31" s="401">
        <f>C31</f>
        <v/>
      </c>
      <c r="E31" s="401">
        <f>D31</f>
        <v/>
      </c>
      <c r="F31" s="401">
        <f>E31</f>
        <v/>
      </c>
      <c r="G31" s="401">
        <f>F31</f>
        <v/>
      </c>
      <c r="H31" s="401">
        <f>G31</f>
        <v/>
      </c>
      <c r="I31" s="401">
        <f>H31</f>
        <v/>
      </c>
      <c r="J31" s="401">
        <f>I31</f>
        <v/>
      </c>
      <c r="K31" s="401">
        <f>J31</f>
        <v/>
      </c>
      <c r="L31" s="401">
        <f>K31</f>
        <v/>
      </c>
      <c r="M31" s="401">
        <f>L31</f>
        <v/>
      </c>
      <c r="N31" s="401">
        <f>SUM(B31:M31)</f>
        <v/>
      </c>
    </row>
    <row r="32">
      <c r="A32" s="400">
        <f>'KB Co Assumptions'!B32</f>
        <v/>
      </c>
      <c r="B32" s="401">
        <f>'KB Co Assumptions'!C32</f>
        <v/>
      </c>
      <c r="C32" s="401">
        <f>B32</f>
        <v/>
      </c>
      <c r="D32" s="401">
        <f>C32</f>
        <v/>
      </c>
      <c r="E32" s="401">
        <f>D32</f>
        <v/>
      </c>
      <c r="F32" s="401">
        <f>E32</f>
        <v/>
      </c>
      <c r="G32" s="401">
        <f>F32</f>
        <v/>
      </c>
      <c r="H32" s="401">
        <f>G32</f>
        <v/>
      </c>
      <c r="I32" s="401">
        <f>H32</f>
        <v/>
      </c>
      <c r="J32" s="401">
        <f>I32</f>
        <v/>
      </c>
      <c r="K32" s="401">
        <f>J32</f>
        <v/>
      </c>
      <c r="L32" s="401">
        <f>K32</f>
        <v/>
      </c>
      <c r="M32" s="401">
        <f>L32</f>
        <v/>
      </c>
      <c r="N32" s="401">
        <f>SUM(B32:M32)</f>
        <v/>
      </c>
    </row>
    <row r="33">
      <c r="A33" s="400">
        <f>'KB Co Assumptions'!B33</f>
        <v/>
      </c>
      <c r="B33" s="401">
        <f>'KB Co Assumptions'!C33</f>
        <v/>
      </c>
      <c r="C33" s="401">
        <f>B33</f>
        <v/>
      </c>
      <c r="D33" s="401">
        <f>C33</f>
        <v/>
      </c>
      <c r="E33" s="401">
        <f>D33</f>
        <v/>
      </c>
      <c r="F33" s="401">
        <f>E33</f>
        <v/>
      </c>
      <c r="G33" s="401">
        <f>F33</f>
        <v/>
      </c>
      <c r="H33" s="401">
        <f>G33</f>
        <v/>
      </c>
      <c r="I33" s="401">
        <f>H33</f>
        <v/>
      </c>
      <c r="J33" s="401">
        <f>I33</f>
        <v/>
      </c>
      <c r="K33" s="401">
        <f>J33</f>
        <v/>
      </c>
      <c r="L33" s="401">
        <f>K33</f>
        <v/>
      </c>
      <c r="M33" s="401">
        <f>L33</f>
        <v/>
      </c>
      <c r="N33" s="401">
        <f>SUM(B33:M33)</f>
        <v/>
      </c>
    </row>
    <row r="34">
      <c r="A34" s="400">
        <f>'KB Co Assumptions'!B34</f>
        <v/>
      </c>
      <c r="B34" s="401">
        <f>'KB Co Assumptions'!C34</f>
        <v/>
      </c>
      <c r="C34" s="401">
        <f>B34</f>
        <v/>
      </c>
      <c r="D34" s="401">
        <f>C34</f>
        <v/>
      </c>
      <c r="E34" s="401">
        <f>D34</f>
        <v/>
      </c>
      <c r="F34" s="401">
        <f>E34</f>
        <v/>
      </c>
      <c r="G34" s="401">
        <f>F34</f>
        <v/>
      </c>
      <c r="H34" s="401">
        <f>G34</f>
        <v/>
      </c>
      <c r="I34" s="401">
        <f>H34</f>
        <v/>
      </c>
      <c r="J34" s="401">
        <f>I34</f>
        <v/>
      </c>
      <c r="K34" s="401">
        <f>J34</f>
        <v/>
      </c>
      <c r="L34" s="401">
        <f>K34</f>
        <v/>
      </c>
      <c r="M34" s="401">
        <f>L34</f>
        <v/>
      </c>
      <c r="N34" s="401">
        <f>SUM(B34:M34)</f>
        <v/>
      </c>
    </row>
    <row r="35">
      <c r="A35" s="400">
        <f>'KB Co Assumptions'!B35</f>
        <v/>
      </c>
      <c r="B35" s="401">
        <f>'KB Co Assumptions'!C35</f>
        <v/>
      </c>
      <c r="C35" s="401">
        <f>B35</f>
        <v/>
      </c>
      <c r="D35" s="401">
        <f>C35</f>
        <v/>
      </c>
      <c r="E35" s="401">
        <f>D35</f>
        <v/>
      </c>
      <c r="F35" s="401">
        <f>E35</f>
        <v/>
      </c>
      <c r="G35" s="401">
        <f>F35</f>
        <v/>
      </c>
      <c r="H35" s="401">
        <f>G35</f>
        <v/>
      </c>
      <c r="I35" s="401">
        <f>H35</f>
        <v/>
      </c>
      <c r="J35" s="401">
        <f>I35</f>
        <v/>
      </c>
      <c r="K35" s="401">
        <f>J35</f>
        <v/>
      </c>
      <c r="L35" s="401">
        <f>K35</f>
        <v/>
      </c>
      <c r="M35" s="401">
        <f>L35</f>
        <v/>
      </c>
      <c r="N35" s="401">
        <f>SUM(B35:M35)</f>
        <v/>
      </c>
    </row>
    <row r="36">
      <c r="A36" s="400">
        <f>'KB Co Assumptions'!B36</f>
        <v/>
      </c>
      <c r="B36" s="401">
        <f>'KB Co Assumptions'!C36</f>
        <v/>
      </c>
      <c r="C36" s="401">
        <f>B36</f>
        <v/>
      </c>
      <c r="D36" s="401">
        <f>C36</f>
        <v/>
      </c>
      <c r="E36" s="401">
        <f>D36</f>
        <v/>
      </c>
      <c r="F36" s="401">
        <f>E36</f>
        <v/>
      </c>
      <c r="G36" s="401">
        <f>F36</f>
        <v/>
      </c>
      <c r="H36" s="401">
        <f>G36</f>
        <v/>
      </c>
      <c r="I36" s="401">
        <f>H36</f>
        <v/>
      </c>
      <c r="J36" s="401">
        <f>I36</f>
        <v/>
      </c>
      <c r="K36" s="401">
        <f>J36</f>
        <v/>
      </c>
      <c r="L36" s="401">
        <f>K36</f>
        <v/>
      </c>
      <c r="M36" s="401">
        <f>L36</f>
        <v/>
      </c>
      <c r="N36" s="401">
        <f>SUM(B36:M36)</f>
        <v/>
      </c>
    </row>
    <row r="37">
      <c r="A37" s="400">
        <f>'KB Co Assumptions'!B37</f>
        <v/>
      </c>
      <c r="B37" s="401">
        <f>'KB Co Assumptions'!C37</f>
        <v/>
      </c>
      <c r="C37" s="401">
        <f>B37</f>
        <v/>
      </c>
      <c r="D37" s="401">
        <f>C37</f>
        <v/>
      </c>
      <c r="E37" s="401">
        <f>D37</f>
        <v/>
      </c>
      <c r="F37" s="401">
        <f>E37</f>
        <v/>
      </c>
      <c r="G37" s="401">
        <f>F37</f>
        <v/>
      </c>
      <c r="H37" s="401">
        <f>G37</f>
        <v/>
      </c>
      <c r="I37" s="401">
        <f>H37</f>
        <v/>
      </c>
      <c r="J37" s="401">
        <f>I37</f>
        <v/>
      </c>
      <c r="K37" s="401">
        <f>J37</f>
        <v/>
      </c>
      <c r="L37" s="401">
        <f>K37</f>
        <v/>
      </c>
      <c r="M37" s="401">
        <f>L37</f>
        <v/>
      </c>
      <c r="N37" s="401">
        <f>SUM(B37:M37)</f>
        <v/>
      </c>
    </row>
    <row r="38">
      <c r="A38" s="400">
        <f>'KB Co Assumptions'!B38</f>
        <v/>
      </c>
      <c r="B38" s="401">
        <f>'KB Co Assumptions'!C38</f>
        <v/>
      </c>
      <c r="C38" s="401">
        <f>B38</f>
        <v/>
      </c>
      <c r="D38" s="401">
        <f>C38</f>
        <v/>
      </c>
      <c r="E38" s="401">
        <f>D38</f>
        <v/>
      </c>
      <c r="F38" s="401">
        <f>E38</f>
        <v/>
      </c>
      <c r="G38" s="401">
        <f>F38</f>
        <v/>
      </c>
      <c r="H38" s="401">
        <f>G38</f>
        <v/>
      </c>
      <c r="I38" s="401">
        <f>H38</f>
        <v/>
      </c>
      <c r="J38" s="401">
        <f>I38</f>
        <v/>
      </c>
      <c r="K38" s="401">
        <f>J38</f>
        <v/>
      </c>
      <c r="L38" s="401">
        <f>K38</f>
        <v/>
      </c>
      <c r="M38" s="401">
        <f>L38</f>
        <v/>
      </c>
      <c r="N38" s="401">
        <f>SUM(B38:M38)</f>
        <v/>
      </c>
    </row>
    <row r="39">
      <c r="A39" s="406" t="inlineStr">
        <is>
          <t>TOTAL OPERATING EXPENSES</t>
        </is>
      </c>
      <c r="B39" s="407">
        <f>SUM(B20:B38)</f>
        <v/>
      </c>
      <c r="C39" s="407">
        <f>SUM(C20:C38)</f>
        <v/>
      </c>
      <c r="D39" s="407">
        <f>SUM(D20:D38)</f>
        <v/>
      </c>
      <c r="E39" s="407">
        <f>SUM(E20:E38)</f>
        <v/>
      </c>
      <c r="F39" s="407">
        <f>SUM(F20:F38)</f>
        <v/>
      </c>
      <c r="G39" s="407">
        <f>SUM(G20:G38)</f>
        <v/>
      </c>
      <c r="H39" s="407">
        <f>SUM(H20:H38)</f>
        <v/>
      </c>
      <c r="I39" s="407">
        <f>SUM(I20:I38)</f>
        <v/>
      </c>
      <c r="J39" s="407">
        <f>SUM(J20:J38)</f>
        <v/>
      </c>
      <c r="K39" s="407">
        <f>SUM(K20:K38)</f>
        <v/>
      </c>
      <c r="L39" s="407">
        <f>SUM(L20:L38)</f>
        <v/>
      </c>
      <c r="M39" s="407">
        <f>SUM(M20:M38)</f>
        <v/>
      </c>
      <c r="N39" s="408">
        <f>SUM(N20:N38)</f>
        <v/>
      </c>
    </row>
    <row r="41">
      <c r="A41" s="406" t="inlineStr">
        <is>
          <t>PRE-TAX PROFIT</t>
        </is>
      </c>
      <c r="B41" s="407">
        <f>B17-B39</f>
        <v/>
      </c>
      <c r="C41" s="407">
        <f>C17-C39</f>
        <v/>
      </c>
      <c r="D41" s="407">
        <f>D17-D39</f>
        <v/>
      </c>
      <c r="E41" s="407">
        <f>E17-E39</f>
        <v/>
      </c>
      <c r="F41" s="407">
        <f>F17-F39</f>
        <v/>
      </c>
      <c r="G41" s="407">
        <f>G17-G39</f>
        <v/>
      </c>
      <c r="H41" s="407">
        <f>H17-H39</f>
        <v/>
      </c>
      <c r="I41" s="407">
        <f>I17-I39</f>
        <v/>
      </c>
      <c r="J41" s="407">
        <f>J17-J39</f>
        <v/>
      </c>
      <c r="K41" s="407">
        <f>K17-K39</f>
        <v/>
      </c>
      <c r="L41" s="407">
        <f>L17-L39</f>
        <v/>
      </c>
      <c r="M41" s="407">
        <f>M17-M39</f>
        <v/>
      </c>
      <c r="N41" s="408">
        <f>SUM(B41:M41)</f>
        <v/>
      </c>
    </row>
    <row r="42">
      <c r="A42" s="400" t="inlineStr">
        <is>
          <t>Tax (15%)</t>
        </is>
      </c>
      <c r="B42" s="401">
        <f>B41*'KB Co Assumptions'!$C$40</f>
        <v/>
      </c>
      <c r="C42" s="401">
        <f>C41*'KB Co Assumptions'!$C$40</f>
        <v/>
      </c>
      <c r="D42" s="401">
        <f>D41*'KB Co Assumptions'!$C$40</f>
        <v/>
      </c>
      <c r="E42" s="401">
        <f>E41*'KB Co Assumptions'!$C$40</f>
        <v/>
      </c>
      <c r="F42" s="401">
        <f>F41*'KB Co Assumptions'!$C$40</f>
        <v/>
      </c>
      <c r="G42" s="401">
        <f>G41*'KB Co Assumptions'!$C$40</f>
        <v/>
      </c>
      <c r="H42" s="401">
        <f>H41*'KB Co Assumptions'!$C$40</f>
        <v/>
      </c>
      <c r="I42" s="401">
        <f>I41*'KB Co Assumptions'!$C$40</f>
        <v/>
      </c>
      <c r="J42" s="401">
        <f>J41*'KB Co Assumptions'!$C$40</f>
        <v/>
      </c>
      <c r="K42" s="401">
        <f>K41*'KB Co Assumptions'!$C$40</f>
        <v/>
      </c>
      <c r="L42" s="401">
        <f>L41*'KB Co Assumptions'!$C$40</f>
        <v/>
      </c>
      <c r="M42" s="401">
        <f>M41*'KB Co Assumptions'!$C$40</f>
        <v/>
      </c>
      <c r="N42" s="401">
        <f>SUM(B42:M42)</f>
        <v/>
      </c>
    </row>
    <row r="43">
      <c r="A43" s="406" t="inlineStr">
        <is>
          <t>NET PROFIT (after tax)</t>
        </is>
      </c>
      <c r="B43" s="407">
        <f>B41-B42</f>
        <v/>
      </c>
      <c r="C43" s="407">
        <f>C41-C42</f>
        <v/>
      </c>
      <c r="D43" s="407">
        <f>D41-D42</f>
        <v/>
      </c>
      <c r="E43" s="407">
        <f>E41-E42</f>
        <v/>
      </c>
      <c r="F43" s="407">
        <f>F41-F42</f>
        <v/>
      </c>
      <c r="G43" s="407">
        <f>G41-G42</f>
        <v/>
      </c>
      <c r="H43" s="407">
        <f>H41-H42</f>
        <v/>
      </c>
      <c r="I43" s="407">
        <f>I41-I42</f>
        <v/>
      </c>
      <c r="J43" s="407">
        <f>J41-J42</f>
        <v/>
      </c>
      <c r="K43" s="407">
        <f>K41-K42</f>
        <v/>
      </c>
      <c r="L43" s="407">
        <f>L41-L42</f>
        <v/>
      </c>
      <c r="M43" s="407">
        <f>M41-M42</f>
        <v/>
      </c>
      <c r="N43" s="408">
        <f>SUM(B43:M43)</f>
        <v/>
      </c>
    </row>
    <row r="45">
      <c r="A45" s="400" t="inlineStr">
        <is>
          <t>IRS Payoff (Q1 aggressive)</t>
        </is>
      </c>
      <c r="B45" s="401" t="n">
        <v>8278.33</v>
      </c>
      <c r="C45" s="401" t="n">
        <v>8278.33</v>
      </c>
      <c r="D45" s="401" t="n">
        <v>8278.34</v>
      </c>
      <c r="E45" s="401" t="n">
        <v>0</v>
      </c>
      <c r="F45" s="401" t="n">
        <v>0</v>
      </c>
      <c r="G45" s="401" t="n">
        <v>0</v>
      </c>
      <c r="H45" s="401" t="n">
        <v>0</v>
      </c>
      <c r="I45" s="401" t="n">
        <v>0</v>
      </c>
      <c r="J45" s="401" t="n">
        <v>0</v>
      </c>
      <c r="K45" s="401" t="n">
        <v>0</v>
      </c>
      <c r="L45" s="401" t="n">
        <v>0</v>
      </c>
      <c r="M45" s="401" t="n">
        <v>0</v>
      </c>
      <c r="N45" s="401">
        <f>SUM(B45:M45)</f>
        <v/>
      </c>
    </row>
    <row r="47">
      <c r="A47" s="406" t="inlineStr">
        <is>
          <t>CUMULATIVE FREE CASH</t>
        </is>
      </c>
      <c r="B47" s="407">
        <f>B43-B45</f>
        <v/>
      </c>
      <c r="C47" s="407">
        <f>C43-C45</f>
        <v/>
      </c>
      <c r="D47" s="407">
        <f>D43-D45</f>
        <v/>
      </c>
      <c r="E47" s="407">
        <f>E43-E45</f>
        <v/>
      </c>
      <c r="F47" s="407">
        <f>F43-F45</f>
        <v/>
      </c>
      <c r="G47" s="407">
        <f>G43-G45</f>
        <v/>
      </c>
      <c r="H47" s="407">
        <f>H43-H45</f>
        <v/>
      </c>
      <c r="I47" s="407">
        <f>I43-I45</f>
        <v/>
      </c>
      <c r="J47" s="407">
        <f>J43-J45</f>
        <v/>
      </c>
      <c r="K47" s="407">
        <f>K43-K45</f>
        <v/>
      </c>
      <c r="L47" s="407">
        <f>L43-L45</f>
        <v/>
      </c>
      <c r="M47" s="407">
        <f>M43-M45</f>
        <v/>
      </c>
      <c r="N47" s="408">
        <f>SUM(B47:M47)</f>
        <v/>
      </c>
    </row>
    <row r="49">
      <c r="A49" s="399" t="inlineStr">
        <is>
          <t>ANNUAL SUMMARY</t>
        </is>
      </c>
      <c r="B49" s="363" t="n"/>
    </row>
    <row r="50">
      <c r="A50" s="400" t="inlineStr">
        <is>
          <t>Total Revenue</t>
        </is>
      </c>
      <c r="B50" s="409">
        <f>N17</f>
        <v/>
      </c>
    </row>
    <row r="51">
      <c r="A51" s="400" t="inlineStr">
        <is>
          <t>Total Operating Expenses</t>
        </is>
      </c>
      <c r="B51" s="409">
        <f>N39</f>
        <v/>
      </c>
    </row>
    <row r="52">
      <c r="A52" s="400" t="inlineStr">
        <is>
          <t>Net Profit (after tax)</t>
        </is>
      </c>
      <c r="B52" s="409">
        <f>N43</f>
        <v/>
      </c>
    </row>
    <row r="53">
      <c r="A53" s="400" t="inlineStr">
        <is>
          <t>IRS Payoff</t>
        </is>
      </c>
      <c r="B53" s="409">
        <f>N45</f>
        <v/>
      </c>
    </row>
    <row r="54">
      <c r="A54" s="400" t="inlineStr">
        <is>
          <t>Total Free Cash</t>
        </is>
      </c>
      <c r="B54" s="409">
        <f>N47</f>
        <v/>
      </c>
    </row>
    <row r="55">
      <c r="A55" s="400" t="inlineStr">
        <is>
          <t>Monthly Free Cash (Apr–Dec avg)</t>
        </is>
      </c>
      <c r="B55" s="409">
        <f>AVERAGE(E47:M47)</f>
        <v/>
      </c>
    </row>
    <row r="58">
      <c r="A58" s="399" t="inlineStr">
        <is>
          <t>NOTES / OPEN ASSUMPTIONS</t>
        </is>
      </c>
      <c r="B58" s="363" t="n"/>
      <c r="C58" s="363" t="n"/>
      <c r="D58" s="363" t="n"/>
      <c r="E58" s="363" t="n"/>
      <c r="F58" s="363" t="n"/>
      <c r="G58" s="363" t="n"/>
      <c r="H58" s="363" t="n"/>
      <c r="I58" s="363" t="n"/>
      <c r="J58" s="363" t="n"/>
      <c r="K58" s="363" t="n"/>
      <c r="L58" s="363" t="n"/>
      <c r="M58" s="363" t="n"/>
      <c r="N58" s="363" t="n"/>
    </row>
    <row r="59" ht="42" customHeight="1" s="1">
      <c r="A59" s="410" t="inlineStr">
        <is>
          <t>1. New-client timing (May / August / November 2027) is a PLACEHOLDER from Finn's Session 1 staging, not a real close date. Move each fee by editing the “Target Month” cell for that client on the KB Co Assumptions tab (yellow-highlighted cells) — the Cash Flow grid will re-flow automatically.</t>
        </is>
      </c>
    </row>
    <row r="60" ht="42" customHeight="1" s="1">
      <c r="A60" s="410" t="inlineStr">
        <is>
          <t>2. This build's total 2027 revenue is $468,600 (recurring $393,600 + one-time new-client fees $75,000). The original growth-thesis target was $460,800 — the two don't reconcile exactly, but both are within the agreed $350K–$500K target range, so this is not treated as an error.</t>
        </is>
      </c>
    </row>
    <row r="61" ht="28" customHeight="1" s="1">
      <c r="A61" s="410" t="inlineStr">
        <is>
          <t>3. The Q1 2027 IRS payoff plan ($8,278.33/mo Jan–Mar, clearing the $24,835 balance) is carried over unchanged from the source file.</t>
        </is>
      </c>
    </row>
    <row r="62" ht="28" customHeight="1" s="1">
      <c r="A62" s="410" t="inlineStr">
        <is>
          <t>4. Fixes made while rebuilding (flagged for visibility, not silent changes):</t>
        </is>
      </c>
    </row>
    <row r="63" ht="42" customHeight="1" s="1">
      <c r="A63" s="410" t="inlineStr">
        <is>
          <t xml:space="preserve">   • Source Cash Flow tab applied tax at 20% for Jan–Jul and 15% for Aug–Dec (inconsistent, and didn't match the Assumptions tab's stated 15% rate). This rebuild applies 15% uniformly, referencing the Assumptions tab's Tax Rate cell.</t>
        </is>
      </c>
    </row>
    <row r="64" ht="42" customHeight="1" s="1">
      <c r="A64" s="410" t="inlineStr">
        <is>
          <t xml:space="preserve">   • The Assumptions tab's Tax Rate cell was stored as text ‘15%’ rather than a number, so no formula could reference it. Changed to a real 0.15 value formatted as a percentage.</t>
        </is>
      </c>
    </row>
    <row r="65" ht="42" customHeight="1" s="1">
      <c r="A65" s="410" t="inlineStr">
        <is>
          <t xml:space="preserve">   • The Assumptions tab's old “TOTAL MONTHLY REVENUE” ($32,150) and “TOTAL MONTHLY OPEX” ($14,315.65) were hardcoded and didn't match the sum of their own line items ($32,800 and $14,116.65). Both are now live SUM formulas.</t>
        </is>
      </c>
    </row>
    <row r="66" ht="42" customHeight="1" s="1">
      <c r="A66" s="410" t="inlineStr">
        <is>
          <t xml:space="preserve">   • The source Cash Flow tab's “Annual Summary” block (Total Revenue $385,800 / OpEx $171,787.80 / Net Profit $181,910.40 / Free Cash $157,075.40) was hardcoded and did not match the tab's own monthly formula grid ($393,600 / $169,399.80 / $184,031.00 / $159,196.00 at the time). This rebuild's Annual Summary is fully formula-driven so it always matches the grid.</t>
        </is>
      </c>
    </row>
    <row r="67" ht="42" customHeight="1" s="1">
      <c r="A67" s="410" t="inlineStr">
        <is>
          <t xml:space="preserve">   • The source “Aspirational Gross Diff” helper cell referenced the old “Empty Slot 2” row instead of total revenue. Corrected to reference the Total Gross Revenue row.</t>
        </is>
      </c>
    </row>
  </sheetData>
  <mergeCells count="12">
    <mergeCell ref="A67:N67"/>
    <mergeCell ref="A61:N61"/>
    <mergeCell ref="A62:N62"/>
    <mergeCell ref="P6:W6"/>
    <mergeCell ref="A64:N64"/>
    <mergeCell ref="A59:N59"/>
    <mergeCell ref="A65:N65"/>
    <mergeCell ref="A60:N60"/>
    <mergeCell ref="P11:W11"/>
    <mergeCell ref="A1:B1"/>
    <mergeCell ref="A63:N63"/>
    <mergeCell ref="A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51067"/>
    <outlinePr summaryBelow="1" summaryRight="1"/>
    <pageSetUpPr fitToPage="1"/>
  </sheetPr>
  <dimension ref="B1:S324"/>
  <sheetViews>
    <sheetView zoomScale="111" zoomScaleNormal="111" workbookViewId="0">
      <selection activeCell="H8" sqref="H8"/>
    </sheetView>
  </sheetViews>
  <sheetFormatPr baseColWidth="10" defaultColWidth="10.6640625" defaultRowHeight="13"/>
  <cols>
    <col width="26.1640625" customWidth="1" style="1" min="3" max="3"/>
    <col width="17.5" customWidth="1" style="1" min="8" max="8"/>
    <col width="16.83203125" customWidth="1" style="1" min="9" max="9"/>
    <col width="14" customWidth="1" style="1" min="13" max="13"/>
    <col width="18.5" customWidth="1" style="1" min="14" max="14"/>
  </cols>
  <sheetData>
    <row r="1">
      <c r="B1" s="129" t="n"/>
      <c r="C1" s="128" t="n"/>
      <c r="H1" s="128" t="n"/>
      <c r="I1" s="128" t="n"/>
      <c r="M1" s="128" t="n"/>
      <c r="N1" s="128" t="n"/>
    </row>
    <row r="2">
      <c r="B2" s="129" t="n"/>
      <c r="C2" s="128" t="n"/>
      <c r="H2" s="128" t="n"/>
      <c r="I2" s="128" t="n"/>
      <c r="M2" s="128" t="n"/>
      <c r="N2" s="128" t="n"/>
    </row>
    <row r="3">
      <c r="B3" s="129" t="n"/>
      <c r="C3" s="128" t="n"/>
      <c r="H3" s="128" t="n"/>
      <c r="I3" s="128" t="n"/>
      <c r="M3" s="128" t="n"/>
      <c r="N3" s="128" t="n"/>
    </row>
    <row r="4" ht="13.5" customHeight="1" s="1">
      <c r="B4" s="129" t="n"/>
      <c r="C4" s="128" t="n"/>
      <c r="G4" s="5" t="inlineStr">
        <is>
          <t>Current</t>
        </is>
      </c>
      <c r="H4" s="128" t="n"/>
      <c r="I4" s="128" t="n"/>
      <c r="M4" s="128" t="n"/>
      <c r="N4" s="128" t="n"/>
    </row>
    <row r="5" ht="16.5" customHeight="1" s="1">
      <c r="C5" s="6" t="inlineStr">
        <is>
          <t>Monthly Expenses</t>
        </is>
      </c>
      <c r="F5" s="7" t="n"/>
      <c r="G5" s="7" t="n"/>
      <c r="H5" s="8" t="inlineStr">
        <is>
          <t>Months</t>
        </is>
      </c>
      <c r="I5" s="9" t="n">
        <v>12</v>
      </c>
      <c r="J5" s="7" t="n"/>
      <c r="K5" s="7" t="n"/>
      <c r="M5" s="128" t="n"/>
      <c r="N5" s="128" t="n"/>
    </row>
    <row r="6" ht="16.5" customHeight="1" s="1">
      <c r="C6" s="10" t="inlineStr">
        <is>
          <t xml:space="preserve"> </t>
        </is>
      </c>
      <c r="D6" s="11" t="inlineStr">
        <is>
          <t xml:space="preserve"> </t>
        </is>
      </c>
      <c r="E6" s="12" t="inlineStr">
        <is>
          <t xml:space="preserve"> </t>
        </is>
      </c>
      <c r="F6" s="7" t="n"/>
      <c r="G6" s="7" t="n"/>
      <c r="H6" s="167" t="inlineStr">
        <is>
          <t>Revenue</t>
        </is>
      </c>
      <c r="I6" s="167" t="inlineStr">
        <is>
          <t>Expenses</t>
        </is>
      </c>
      <c r="J6" s="168" t="n"/>
      <c r="K6" s="169" t="inlineStr">
        <is>
          <t>Profit</t>
        </is>
      </c>
      <c r="M6" s="13">
        <f>H7</f>
        <v/>
      </c>
      <c r="N6" s="14" t="inlineStr">
        <is>
          <t>Business Income</t>
        </is>
      </c>
    </row>
    <row r="7" ht="15.75" customHeight="1" s="1">
      <c r="C7" s="15" t="inlineStr">
        <is>
          <t>SupaBase</t>
        </is>
      </c>
      <c r="D7" s="11" t="n">
        <v>25</v>
      </c>
      <c r="E7" s="16" t="inlineStr">
        <is>
          <t xml:space="preserve"> </t>
        </is>
      </c>
      <c r="F7" s="7" t="n"/>
      <c r="G7" s="8" t="inlineStr">
        <is>
          <t>Annual</t>
        </is>
      </c>
      <c r="H7" s="17">
        <f>'Jan-Dec Cash Flow'!N13</f>
        <v/>
      </c>
      <c r="I7" s="17">
        <f>D51*I5</f>
        <v/>
      </c>
      <c r="J7" s="7" t="inlineStr">
        <is>
          <t xml:space="preserve"> </t>
        </is>
      </c>
      <c r="K7" s="18">
        <f>H7-I7</f>
        <v/>
      </c>
      <c r="L7" s="4" t="inlineStr">
        <is>
          <t xml:space="preserve"> </t>
        </is>
      </c>
      <c r="M7" s="19" t="n">
        <v>0.15</v>
      </c>
      <c r="N7" s="14" t="inlineStr">
        <is>
          <t>Taxes</t>
        </is>
      </c>
      <c r="Q7" s="4" t="inlineStr">
        <is>
          <t xml:space="preserve"> </t>
        </is>
      </c>
      <c r="R7" s="4" t="inlineStr">
        <is>
          <t xml:space="preserve"> </t>
        </is>
      </c>
    </row>
    <row r="8" ht="15.75" customHeight="1" s="1">
      <c r="C8" s="15" t="n"/>
      <c r="D8" s="11" t="n"/>
      <c r="E8" s="16" t="n"/>
      <c r="F8" s="7" t="n"/>
      <c r="G8" s="20" t="inlineStr">
        <is>
          <t>Monthly</t>
        </is>
      </c>
      <c r="H8" s="17">
        <f>H7/I5</f>
        <v/>
      </c>
      <c r="I8" s="17">
        <f>D51</f>
        <v/>
      </c>
      <c r="J8" s="7" t="n"/>
      <c r="K8" s="18">
        <f>H8-I8</f>
        <v/>
      </c>
      <c r="M8" s="21" t="n"/>
      <c r="N8" s="22" t="n"/>
      <c r="Q8" s="4" t="inlineStr">
        <is>
          <t xml:space="preserve"> </t>
        </is>
      </c>
      <c r="R8" s="4" t="inlineStr">
        <is>
          <t xml:space="preserve"> </t>
        </is>
      </c>
    </row>
    <row r="9" ht="16.5" customHeight="1" s="1">
      <c r="C9" s="15" t="inlineStr">
        <is>
          <t>Adobe</t>
        </is>
      </c>
      <c r="D9" s="23">
        <f>I32</f>
        <v/>
      </c>
      <c r="E9" s="12" t="n"/>
      <c r="F9" s="7" t="n"/>
      <c r="G9" s="7" t="n"/>
      <c r="H9" s="7" t="n"/>
      <c r="I9" s="7" t="n"/>
      <c r="J9" s="7" t="n"/>
      <c r="K9" s="7" t="n"/>
      <c r="M9" s="24">
        <f>M6-(M6*M7)</f>
        <v/>
      </c>
      <c r="N9" s="25" t="inlineStr">
        <is>
          <t>NOI</t>
        </is>
      </c>
      <c r="Q9" s="4" t="inlineStr">
        <is>
          <t xml:space="preserve"> </t>
        </is>
      </c>
    </row>
    <row r="10" ht="15.75" customHeight="1" s="1">
      <c r="C10" s="15" t="n"/>
      <c r="D10" s="11" t="n"/>
      <c r="E10" s="12" t="n"/>
      <c r="F10" s="7" t="n"/>
      <c r="G10" s="7" t="n"/>
      <c r="H10" s="18" t="inlineStr">
        <is>
          <t xml:space="preserve"> </t>
        </is>
      </c>
      <c r="I10" s="26" t="inlineStr">
        <is>
          <t xml:space="preserve"> </t>
        </is>
      </c>
      <c r="J10" s="7" t="n"/>
      <c r="K10" s="7" t="inlineStr">
        <is>
          <t xml:space="preserve"> </t>
        </is>
      </c>
      <c r="M10" s="128" t="n"/>
      <c r="N10" s="128" t="n"/>
    </row>
    <row r="11" ht="18" customHeight="1" s="1">
      <c r="C11" s="27" t="inlineStr">
        <is>
          <t>LinkedIn- Sales Navigator</t>
        </is>
      </c>
      <c r="D11" s="23" t="n">
        <v>107</v>
      </c>
      <c r="E11" s="376" t="inlineStr">
        <is>
          <t xml:space="preserve"> </t>
        </is>
      </c>
      <c r="F11" s="7" t="n"/>
      <c r="H11" s="0" t="n"/>
      <c r="I11" s="0" t="n"/>
      <c r="M11" s="128" t="n"/>
      <c r="N11" s="128" t="n"/>
    </row>
    <row r="12" ht="16.5" customHeight="1" s="1">
      <c r="C12" s="15" t="n"/>
      <c r="D12" s="23" t="n"/>
      <c r="E12" s="12" t="n"/>
      <c r="F12" s="7" t="n"/>
      <c r="H12" s="0" t="n"/>
      <c r="I12" s="0" t="n"/>
      <c r="M12" s="128" t="n"/>
      <c r="N12" s="128" t="n"/>
    </row>
    <row r="13" ht="15.75" customHeight="1" s="1">
      <c r="C13" s="15" t="inlineStr">
        <is>
          <t>ZoomInfo</t>
        </is>
      </c>
      <c r="D13" s="23" t="n">
        <v>883</v>
      </c>
      <c r="E13" s="12" t="n"/>
      <c r="F13" s="7" t="n"/>
      <c r="H13" s="0" t="n"/>
      <c r="I13" s="0" t="n"/>
      <c r="M13" s="128" t="n"/>
      <c r="N13" s="128" t="n"/>
    </row>
    <row r="14" ht="15.75" customHeight="1" s="1">
      <c r="C14" s="15" t="n"/>
      <c r="D14" s="23" t="n"/>
      <c r="E14" s="12" t="n"/>
      <c r="F14" s="7" t="n"/>
      <c r="H14" s="0" t="n"/>
      <c r="I14" s="0" t="n"/>
      <c r="M14" s="128" t="n"/>
      <c r="N14" s="128" t="n"/>
    </row>
    <row r="15" ht="15.75" customHeight="1" s="1">
      <c r="C15" s="15" t="inlineStr">
        <is>
          <t>Quickbooks</t>
        </is>
      </c>
      <c r="D15" s="29" t="n">
        <v>80</v>
      </c>
      <c r="E15" s="12" t="n"/>
      <c r="F15" s="7" t="n"/>
      <c r="H15" s="0" t="n"/>
      <c r="I15" s="0" t="n"/>
      <c r="M15" s="128" t="n"/>
      <c r="N15" s="128" t="n"/>
    </row>
    <row r="16" ht="15.75" customHeight="1" s="1">
      <c r="C16" s="15" t="n"/>
      <c r="D16" s="23" t="n"/>
      <c r="E16" s="12" t="n"/>
      <c r="F16" s="7" t="n"/>
      <c r="G16" s="7" t="n"/>
      <c r="H16" s="30" t="n"/>
      <c r="I16" s="30" t="n"/>
      <c r="J16" s="7" t="n"/>
      <c r="K16" s="7" t="n"/>
      <c r="M16" s="128" t="n"/>
      <c r="N16" s="128" t="n"/>
    </row>
    <row r="17" ht="15.75" customHeight="1" s="1">
      <c r="C17" s="15" t="inlineStr">
        <is>
          <t>ActiveCampaign</t>
        </is>
      </c>
      <c r="D17" s="23" t="n">
        <v>199</v>
      </c>
      <c r="E17" s="12" t="n"/>
      <c r="F17" s="7" t="n"/>
      <c r="G17" s="7" t="inlineStr">
        <is>
          <t xml:space="preserve"> </t>
        </is>
      </c>
      <c r="H17" s="30" t="n"/>
      <c r="I17" s="30" t="n"/>
      <c r="J17" s="7" t="n"/>
      <c r="K17" s="7" t="n"/>
      <c r="M17" s="129" t="n">
        <v>3274</v>
      </c>
      <c r="N17" s="128" t="n"/>
    </row>
    <row r="18" ht="15.75" customHeight="1" s="1">
      <c r="C18" s="15" t="n"/>
      <c r="D18" s="23" t="n"/>
      <c r="E18" s="12" t="n"/>
      <c r="F18" s="7" t="n"/>
      <c r="G18" s="7" t="inlineStr">
        <is>
          <t xml:space="preserve"> </t>
        </is>
      </c>
      <c r="H18" s="30" t="n"/>
      <c r="I18" s="30" t="inlineStr">
        <is>
          <t xml:space="preserve"> </t>
        </is>
      </c>
      <c r="J18" s="7" t="inlineStr">
        <is>
          <t xml:space="preserve"> </t>
        </is>
      </c>
      <c r="K18" s="7" t="inlineStr">
        <is>
          <t xml:space="preserve"> </t>
        </is>
      </c>
      <c r="M18" s="128" t="n"/>
      <c r="N18" s="128" t="n"/>
    </row>
    <row r="19" ht="15.75" customHeight="1" s="1">
      <c r="C19" s="15" t="inlineStr">
        <is>
          <t>Slack</t>
        </is>
      </c>
      <c r="D19" s="23" t="n">
        <v>62</v>
      </c>
      <c r="E19" s="12" t="n"/>
      <c r="F19" s="7" t="n"/>
      <c r="G19" s="7" t="n"/>
      <c r="H19" s="30" t="n"/>
      <c r="I19" s="30" t="n"/>
      <c r="J19" s="7" t="n"/>
      <c r="K19" s="7" t="n"/>
      <c r="M19" s="128" t="n"/>
      <c r="N19" s="128" t="n"/>
    </row>
    <row r="20" ht="15.75" customHeight="1" s="1">
      <c r="C20" s="15" t="n"/>
      <c r="D20" s="23" t="n"/>
      <c r="E20" s="12" t="n"/>
      <c r="F20" s="7" t="n"/>
      <c r="G20" s="7" t="n"/>
      <c r="H20" s="30" t="n"/>
      <c r="I20" s="30" t="n"/>
      <c r="J20" s="7" t="n"/>
      <c r="K20" s="7" t="n"/>
      <c r="M20" s="128" t="n"/>
      <c r="N20" s="128" t="n"/>
    </row>
    <row r="21" ht="15.75" customHeight="1" s="1">
      <c r="C21" s="15" t="inlineStr">
        <is>
          <t>AT&amp;T</t>
        </is>
      </c>
      <c r="D21" s="23" t="n">
        <v>198</v>
      </c>
      <c r="E21" s="12" t="n"/>
      <c r="F21" s="7" t="n"/>
      <c r="G21" s="7" t="inlineStr">
        <is>
          <t xml:space="preserve"> </t>
        </is>
      </c>
      <c r="H21" s="30" t="n"/>
      <c r="I21" s="30" t="inlineStr">
        <is>
          <t xml:space="preserve"> </t>
        </is>
      </c>
      <c r="J21" s="7" t="inlineStr">
        <is>
          <t xml:space="preserve"> </t>
        </is>
      </c>
      <c r="K21" s="7" t="n"/>
      <c r="M21" s="128" t="n"/>
      <c r="N21" s="128" t="n"/>
    </row>
    <row r="22" ht="15.75" customHeight="1" s="1">
      <c r="C22" s="15" t="n"/>
      <c r="D22" s="23" t="n"/>
      <c r="E22" s="12" t="n"/>
      <c r="F22" s="7" t="n"/>
      <c r="G22" s="7" t="n"/>
      <c r="H22" s="30" t="n"/>
      <c r="I22" s="30" t="n"/>
      <c r="J22" s="7" t="n"/>
      <c r="K22" s="7" t="n"/>
      <c r="M22" s="128" t="n"/>
      <c r="N22" s="128" t="n"/>
    </row>
    <row r="23" ht="15.75" customHeight="1" s="1">
      <c r="C23" s="15" t="n"/>
      <c r="D23" s="23" t="n">
        <v>0</v>
      </c>
      <c r="E23" s="12" t="n"/>
      <c r="F23" s="7" t="n"/>
      <c r="G23" s="7" t="n"/>
      <c r="H23" s="30" t="n"/>
      <c r="I23" s="30" t="n"/>
      <c r="J23" s="7" t="n"/>
      <c r="K23" s="7" t="n"/>
      <c r="M23" s="128" t="n"/>
      <c r="N23" s="128" t="n"/>
    </row>
    <row r="24" ht="15.75" customHeight="1" s="1">
      <c r="C24" s="15" t="n"/>
      <c r="D24" s="23" t="n"/>
      <c r="E24" s="12" t="n"/>
      <c r="F24" s="7" t="n"/>
      <c r="G24" s="7" t="n"/>
      <c r="H24" s="30" t="n"/>
      <c r="I24" s="30" t="n"/>
      <c r="J24" s="7" t="n"/>
      <c r="K24" s="7" t="n"/>
      <c r="M24" s="128" t="n"/>
      <c r="N24" s="128" t="n"/>
    </row>
    <row r="25" ht="15.75" customHeight="1" s="1">
      <c r="C25" s="15" t="inlineStr">
        <is>
          <t>Ella</t>
        </is>
      </c>
      <c r="D25" s="23" t="n">
        <v>250</v>
      </c>
      <c r="E25" s="12" t="n"/>
      <c r="F25" s="7" t="n"/>
      <c r="G25" s="7" t="n"/>
      <c r="H25" s="30" t="n"/>
      <c r="I25" s="30" t="n"/>
      <c r="J25" s="7" t="n"/>
      <c r="K25" s="7" t="n"/>
      <c r="M25" s="128" t="n"/>
      <c r="N25" s="128" t="n"/>
    </row>
    <row r="26" ht="15.75" customHeight="1" s="1">
      <c r="C26" s="15" t="n"/>
      <c r="D26" s="11" t="n"/>
      <c r="E26" s="12" t="n"/>
      <c r="F26" s="7" t="n"/>
      <c r="G26" s="7" t="n"/>
      <c r="H26" s="377" t="n"/>
      <c r="I26" s="32" t="inlineStr">
        <is>
          <t xml:space="preserve"> </t>
        </is>
      </c>
      <c r="J26" s="7" t="inlineStr">
        <is>
          <t xml:space="preserve"> </t>
        </is>
      </c>
      <c r="K26" s="7" t="n"/>
      <c r="M26" s="128" t="n"/>
      <c r="N26" s="128" t="n"/>
    </row>
    <row r="27" ht="15.75" customHeight="1" s="1">
      <c r="C27" s="15" t="inlineStr">
        <is>
          <t>MeetGeek</t>
        </is>
      </c>
      <c r="D27" s="11" t="n">
        <v>19</v>
      </c>
      <c r="E27" s="12" t="n"/>
      <c r="F27" s="7" t="n"/>
      <c r="G27" s="7" t="n"/>
      <c r="H27" s="3" t="inlineStr">
        <is>
          <t xml:space="preserve"> </t>
        </is>
      </c>
      <c r="I27" s="33" t="inlineStr">
        <is>
          <t xml:space="preserve"> </t>
        </is>
      </c>
      <c r="J27" s="7" t="n"/>
      <c r="K27" s="7" t="n"/>
      <c r="M27" s="128" t="n"/>
      <c r="N27" s="128" t="n"/>
    </row>
    <row r="28" ht="15.75" customHeight="1" s="1">
      <c r="C28" s="15" t="n"/>
      <c r="D28" s="11" t="inlineStr">
        <is>
          <t xml:space="preserve"> </t>
        </is>
      </c>
      <c r="E28" s="12" t="n"/>
      <c r="F28" s="7" t="n"/>
      <c r="G28" s="7" t="n"/>
      <c r="H28" s="377" t="n"/>
      <c r="I28" s="32" t="n"/>
      <c r="J28" s="7" t="n"/>
      <c r="K28" s="7" t="n"/>
      <c r="M28" s="128" t="n"/>
      <c r="N28" s="128" t="n"/>
      <c r="P28" s="0" t="inlineStr">
        <is>
          <t xml:space="preserve"> </t>
        </is>
      </c>
    </row>
    <row r="29" ht="16.5" customHeight="1" s="1">
      <c r="C29" s="34" t="inlineStr">
        <is>
          <t>Annual Subscriptions</t>
        </is>
      </c>
      <c r="D29" s="23">
        <f>'Annual Subscriptions'!C21/12</f>
        <v/>
      </c>
      <c r="E29" s="12" t="n"/>
      <c r="F29" s="7" t="n"/>
      <c r="G29" s="7" t="n"/>
      <c r="H29" s="378" t="inlineStr">
        <is>
          <t>Go Daddy</t>
        </is>
      </c>
      <c r="I29" s="36" t="inlineStr">
        <is>
          <t>Adobe</t>
        </is>
      </c>
      <c r="J29" s="7" t="n"/>
      <c r="K29" s="7" t="n"/>
      <c r="M29" s="128" t="n"/>
      <c r="N29" s="128" t="n"/>
    </row>
    <row r="30" ht="15.75" customHeight="1" s="1">
      <c r="C30" s="15" t="n"/>
      <c r="D30" s="11" t="n"/>
      <c r="E30" s="12" t="n"/>
      <c r="F30" s="7" t="n"/>
      <c r="G30" s="7" t="n"/>
      <c r="H30" s="37" t="n">
        <v>9.58</v>
      </c>
      <c r="I30" s="36" t="n">
        <v>64.94</v>
      </c>
      <c r="J30" s="7" t="n"/>
      <c r="K30" s="7" t="n"/>
      <c r="M30" s="128" t="n"/>
      <c r="N30" s="128" t="n"/>
    </row>
    <row r="31" ht="15.75" customHeight="1" s="1">
      <c r="C31" s="15" t="inlineStr">
        <is>
          <t>Taplio</t>
        </is>
      </c>
      <c r="D31" s="11" t="n">
        <v>65</v>
      </c>
      <c r="E31" s="12" t="n"/>
      <c r="F31" s="7" t="n"/>
      <c r="G31" s="7" t="n"/>
      <c r="H31" s="37" t="n">
        <v>64</v>
      </c>
      <c r="I31" s="38" t="n">
        <v>32.46</v>
      </c>
      <c r="J31" s="7" t="n"/>
      <c r="K31" s="7" t="n"/>
      <c r="M31" s="128" t="n"/>
      <c r="N31" s="128" t="n"/>
      <c r="Q31" s="4" t="inlineStr">
        <is>
          <t xml:space="preserve"> </t>
        </is>
      </c>
      <c r="S31" s="4" t="inlineStr">
        <is>
          <t xml:space="preserve"> </t>
        </is>
      </c>
    </row>
    <row r="32" ht="15.75" customHeight="1" s="1">
      <c r="C32" s="15" t="inlineStr">
        <is>
          <t xml:space="preserve"> </t>
        </is>
      </c>
      <c r="D32" s="11" t="inlineStr">
        <is>
          <t xml:space="preserve"> </t>
        </is>
      </c>
      <c r="E32" s="12" t="n"/>
      <c r="F32" s="7" t="n"/>
      <c r="G32" s="7" t="n"/>
      <c r="H32" s="37" t="n">
        <v>11.72</v>
      </c>
      <c r="I32" s="36">
        <f>SUM(I30:I31)</f>
        <v/>
      </c>
      <c r="J32" s="7" t="n"/>
      <c r="K32" s="7" t="n"/>
      <c r="M32" s="128" t="n"/>
      <c r="N32" s="128" t="n"/>
      <c r="S32" s="4" t="inlineStr">
        <is>
          <t xml:space="preserve"> </t>
        </is>
      </c>
    </row>
    <row r="33" ht="15.75" customHeight="1" s="1">
      <c r="C33" s="15" t="inlineStr">
        <is>
          <t>OpenAi</t>
        </is>
      </c>
      <c r="D33" s="11" t="n">
        <v>22</v>
      </c>
      <c r="E33" s="12" t="n"/>
      <c r="F33" s="7" t="n"/>
      <c r="G33" s="7" t="n"/>
      <c r="H33" s="39" t="n">
        <v>17.03</v>
      </c>
      <c r="I33" s="36" t="n"/>
      <c r="J33" s="7" t="n"/>
      <c r="K33" s="7" t="n"/>
      <c r="M33" s="128" t="n"/>
      <c r="N33" s="128" t="n"/>
    </row>
    <row r="34" ht="15.75" customHeight="1" s="1">
      <c r="C34" s="15" t="n"/>
      <c r="D34" s="11" t="n"/>
      <c r="E34" s="12" t="n"/>
      <c r="F34" s="7" t="n"/>
      <c r="G34" s="7" t="n"/>
      <c r="H34" s="37">
        <f>SUM(H30:H33)</f>
        <v/>
      </c>
      <c r="I34" s="40" t="n"/>
      <c r="J34" s="7" t="n"/>
      <c r="K34" s="7" t="n"/>
      <c r="M34" s="128" t="n"/>
      <c r="N34" s="128" t="n"/>
    </row>
    <row r="35" ht="15.75" customHeight="1" s="1">
      <c r="C35" s="15" t="inlineStr">
        <is>
          <t>Dripify</t>
        </is>
      </c>
      <c r="D35" s="11" t="n">
        <v>85</v>
      </c>
      <c r="E35" s="12" t="n"/>
      <c r="F35" s="7" t="n"/>
      <c r="G35" s="7" t="n"/>
      <c r="H35" s="377" t="n"/>
      <c r="I35" s="32" t="n"/>
      <c r="J35" s="7" t="n"/>
      <c r="K35" s="7" t="n"/>
      <c r="M35" s="128" t="n"/>
      <c r="N35" s="128" t="n"/>
    </row>
    <row r="36" ht="15.75" customHeight="1" s="1">
      <c r="C36" s="15" t="n"/>
      <c r="D36" s="11" t="n"/>
      <c r="E36" s="12" t="n"/>
      <c r="F36" s="7" t="n"/>
      <c r="G36" s="7" t="n"/>
      <c r="H36" s="377" t="n"/>
      <c r="I36" s="32" t="n"/>
      <c r="J36" s="7" t="n"/>
      <c r="K36" s="7" t="n"/>
      <c r="M36" s="128" t="n"/>
      <c r="N36" s="128" t="n"/>
    </row>
    <row r="37" ht="15.75" customHeight="1" s="1">
      <c r="C37" s="15" t="inlineStr">
        <is>
          <t>Go Daddy</t>
        </is>
      </c>
      <c r="D37" s="29">
        <f>H34</f>
        <v/>
      </c>
      <c r="E37" s="12" t="n"/>
      <c r="F37" s="7" t="n"/>
      <c r="G37" s="7" t="n"/>
      <c r="H37" s="377" t="n"/>
      <c r="I37" s="32" t="n"/>
      <c r="J37" s="7" t="n"/>
      <c r="K37" s="7" t="n"/>
      <c r="M37" s="128" t="n"/>
      <c r="N37" s="128" t="n"/>
    </row>
    <row r="38" ht="15.75" customHeight="1" s="1">
      <c r="C38" s="15" t="n"/>
      <c r="D38" s="11" t="n"/>
      <c r="E38" s="12" t="n"/>
      <c r="F38" s="7" t="n"/>
      <c r="G38" s="7" t="n"/>
      <c r="H38" s="379" t="inlineStr">
        <is>
          <t xml:space="preserve"> </t>
        </is>
      </c>
      <c r="I38" s="32" t="n"/>
      <c r="J38" s="7" t="n"/>
      <c r="K38" s="7" t="n"/>
      <c r="M38" s="128" t="n"/>
      <c r="N38" s="128" t="n"/>
    </row>
    <row r="39" ht="15.75" customHeight="1" s="1">
      <c r="C39" s="15" t="inlineStr">
        <is>
          <t>Trello</t>
        </is>
      </c>
      <c r="D39" s="11" t="n">
        <v>65</v>
      </c>
      <c r="E39" s="12" t="n"/>
      <c r="F39" s="7" t="n"/>
      <c r="G39" s="7" t="n"/>
      <c r="H39" s="18" t="inlineStr">
        <is>
          <t xml:space="preserve"> </t>
        </is>
      </c>
      <c r="I39" s="32" t="inlineStr">
        <is>
          <t xml:space="preserve"> </t>
        </is>
      </c>
      <c r="J39" s="42" t="n">
        <v>3264</v>
      </c>
      <c r="K39" s="7" t="n"/>
      <c r="M39" s="128" t="n"/>
      <c r="N39" s="128" t="n"/>
    </row>
    <row r="40" ht="15.75" customHeight="1" s="1">
      <c r="C40" s="15" t="n"/>
      <c r="D40" s="11" t="n"/>
      <c r="E40" s="12" t="n"/>
      <c r="F40" s="7" t="n"/>
      <c r="G40" s="7" t="n"/>
      <c r="H40" s="130" t="inlineStr">
        <is>
          <t xml:space="preserve"> </t>
        </is>
      </c>
      <c r="I40" s="131" t="inlineStr">
        <is>
          <t xml:space="preserve"> </t>
        </is>
      </c>
      <c r="J40" s="7" t="n"/>
      <c r="K40" s="7" t="n"/>
      <c r="M40" s="128" t="n"/>
      <c r="N40" s="128" t="n"/>
    </row>
    <row r="41" ht="15.75" customHeight="1" s="1">
      <c r="C41" s="15" t="inlineStr">
        <is>
          <t>AWS</t>
        </is>
      </c>
      <c r="D41" s="11" t="n">
        <v>0</v>
      </c>
      <c r="E41" s="12" t="n"/>
      <c r="F41" s="7" t="n"/>
      <c r="G41" s="7" t="n"/>
      <c r="H41" s="132" t="inlineStr">
        <is>
          <t xml:space="preserve"> </t>
        </is>
      </c>
      <c r="I41" s="133" t="inlineStr">
        <is>
          <t xml:space="preserve"> </t>
        </is>
      </c>
      <c r="J41" s="7" t="n"/>
      <c r="K41" s="7" t="n"/>
      <c r="M41" s="128" t="n"/>
      <c r="N41" s="128" t="n"/>
    </row>
    <row r="42" ht="15.75" customHeight="1" s="1">
      <c r="C42" s="15" t="n"/>
      <c r="D42" s="11" t="n"/>
      <c r="E42" s="12" t="n"/>
      <c r="F42" s="7" t="n"/>
      <c r="G42" s="7" t="n"/>
      <c r="H42" s="130" t="inlineStr">
        <is>
          <t xml:space="preserve"> </t>
        </is>
      </c>
      <c r="I42" s="133" t="inlineStr">
        <is>
          <t xml:space="preserve"> </t>
        </is>
      </c>
      <c r="J42" s="7" t="n"/>
      <c r="K42" s="7" t="n"/>
      <c r="M42" s="128" t="n"/>
      <c r="N42" s="128" t="n"/>
    </row>
    <row r="43" ht="15.75" customHeight="1" s="1">
      <c r="C43" s="15" t="inlineStr">
        <is>
          <t xml:space="preserve">AA </t>
        </is>
      </c>
      <c r="D43" s="23" t="n">
        <v>2000</v>
      </c>
      <c r="E43" s="376" t="inlineStr">
        <is>
          <t xml:space="preserve"> </t>
        </is>
      </c>
      <c r="F43" s="7" t="n"/>
      <c r="G43" s="7" t="n"/>
      <c r="H43" s="130" t="inlineStr">
        <is>
          <t xml:space="preserve"> </t>
        </is>
      </c>
      <c r="I43" s="133" t="inlineStr">
        <is>
          <t xml:space="preserve"> </t>
        </is>
      </c>
      <c r="J43" s="7" t="n"/>
      <c r="K43" s="7" t="n"/>
      <c r="M43" s="128" t="n"/>
      <c r="N43" s="128" t="n"/>
    </row>
    <row r="44" ht="15.75" customHeight="1" s="1">
      <c r="C44" s="15" t="n"/>
      <c r="D44" s="11" t="n"/>
      <c r="E44" s="12" t="n"/>
      <c r="F44" s="7" t="n"/>
      <c r="G44" s="7" t="n"/>
      <c r="H44" s="132" t="inlineStr">
        <is>
          <t xml:space="preserve"> </t>
        </is>
      </c>
      <c r="I44" s="132" t="n"/>
      <c r="J44" s="7" t="n"/>
      <c r="K44" s="7" t="n"/>
      <c r="M44" s="128" t="n"/>
      <c r="N44" s="128" t="n"/>
    </row>
    <row r="45" ht="15.75" customHeight="1" s="1">
      <c r="C45" s="15" t="inlineStr">
        <is>
          <t>SBA</t>
        </is>
      </c>
      <c r="D45" s="11" t="n">
        <v>674</v>
      </c>
      <c r="E45" s="12" t="n"/>
      <c r="F45" s="7" t="n"/>
      <c r="G45" s="7" t="n"/>
      <c r="H45" s="132" t="inlineStr">
        <is>
          <t xml:space="preserve"> </t>
        </is>
      </c>
      <c r="I45" s="132" t="n"/>
      <c r="J45" s="7" t="n"/>
      <c r="K45" s="7" t="n"/>
      <c r="M45" s="128" t="n"/>
      <c r="N45" s="128" t="n"/>
    </row>
    <row r="46" ht="15.75" customHeight="1" s="1">
      <c r="C46" s="15" t="n"/>
      <c r="D46" s="11" t="n"/>
      <c r="E46" s="12" t="n"/>
      <c r="F46" s="7" t="n"/>
      <c r="G46" s="7" t="n"/>
      <c r="H46" s="132" t="inlineStr">
        <is>
          <t xml:space="preserve"> </t>
        </is>
      </c>
      <c r="I46" s="132" t="n"/>
      <c r="J46" s="7" t="n"/>
      <c r="K46" s="7" t="n"/>
      <c r="M46" s="128" t="n"/>
      <c r="N46" s="128" t="n"/>
    </row>
    <row r="47" ht="16.5" customHeight="1" s="1">
      <c r="C47" s="27" t="inlineStr">
        <is>
          <t>Employee_ Kate Burda</t>
        </is>
      </c>
      <c r="D47" s="23">
        <f>Breakdown!J7</f>
        <v/>
      </c>
      <c r="E47" s="12" t="n"/>
      <c r="F47" s="7" t="n"/>
      <c r="G47" s="7" t="n"/>
      <c r="H47" s="132" t="n"/>
      <c r="I47" s="132" t="n"/>
      <c r="J47" s="7" t="n"/>
      <c r="K47" s="7" t="n"/>
      <c r="M47" s="128" t="n"/>
      <c r="N47" s="128" t="n"/>
    </row>
    <row r="48" ht="15.75" customHeight="1" s="1">
      <c r="C48" s="15" t="n"/>
      <c r="D48" s="11" t="inlineStr">
        <is>
          <t xml:space="preserve"> </t>
        </is>
      </c>
      <c r="E48" s="12" t="n"/>
      <c r="F48" s="7" t="n"/>
      <c r="G48" s="7" t="n"/>
      <c r="H48" s="132" t="n"/>
      <c r="I48" s="132" t="n"/>
      <c r="J48" s="7" t="n"/>
      <c r="K48" s="7" t="n"/>
      <c r="M48" s="128" t="n"/>
      <c r="N48" s="128" t="n"/>
    </row>
    <row r="49" ht="15.75" customHeight="1" s="1">
      <c r="C49" s="15" t="inlineStr">
        <is>
          <t>Tax Burden</t>
        </is>
      </c>
      <c r="D49" s="23" t="n">
        <v>0</v>
      </c>
      <c r="E49" s="12" t="n"/>
      <c r="F49" s="7" t="n"/>
      <c r="G49" s="7" t="n"/>
      <c r="H49" s="132" t="n"/>
      <c r="I49" s="132" t="n"/>
      <c r="J49" s="7" t="n"/>
      <c r="K49" s="7" t="n"/>
      <c r="M49" s="128" t="n"/>
      <c r="N49" s="128" t="n"/>
    </row>
    <row r="50" ht="15.75" customHeight="1" s="1">
      <c r="C50" s="15" t="n"/>
      <c r="D50" s="11" t="n"/>
      <c r="E50" s="12" t="n"/>
      <c r="F50" s="7" t="n"/>
      <c r="G50" s="7" t="n"/>
      <c r="H50" s="132" t="n"/>
      <c r="I50" s="128" t="n"/>
      <c r="M50" s="128" t="n"/>
      <c r="N50" s="128" t="n"/>
    </row>
    <row r="51" ht="16.5" customHeight="1" s="1">
      <c r="C51" s="43" t="n"/>
      <c r="D51" s="44">
        <f>SUM(D7:D50)</f>
        <v/>
      </c>
      <c r="E51" s="45" t="n"/>
      <c r="F51" s="7" t="n"/>
      <c r="G51" s="7" t="n"/>
      <c r="H51" s="132" t="n"/>
      <c r="I51" s="128" t="n"/>
      <c r="M51" s="128" t="n"/>
      <c r="N51" s="128" t="n"/>
    </row>
    <row r="52" ht="15.75" customHeight="1" s="1">
      <c r="C52" s="7" t="n"/>
      <c r="D52" s="18" t="n"/>
      <c r="E52" s="7" t="n"/>
      <c r="F52" s="7" t="n"/>
      <c r="G52" s="7" t="n"/>
      <c r="H52" s="132" t="n"/>
      <c r="I52" s="128" t="n"/>
      <c r="M52" s="128" t="n"/>
      <c r="N52" s="128" t="n"/>
    </row>
    <row r="53" ht="15.75" customHeight="1" s="1">
      <c r="C53" s="4" t="inlineStr">
        <is>
          <t>Wylie</t>
        </is>
      </c>
      <c r="D53" s="0" t="n">
        <v>3000</v>
      </c>
      <c r="F53" s="7" t="n"/>
      <c r="G53" s="7" t="n"/>
      <c r="H53" s="132" t="n"/>
      <c r="I53" s="128" t="n"/>
      <c r="M53" s="128" t="n"/>
      <c r="N53" s="128" t="n"/>
    </row>
    <row r="54" ht="15.75" customHeight="1" s="1">
      <c r="C54" s="4" t="inlineStr">
        <is>
          <t>CHM</t>
        </is>
      </c>
      <c r="D54" s="0" t="n">
        <v>4800</v>
      </c>
      <c r="F54" s="7" t="n"/>
      <c r="G54" s="7" t="n"/>
      <c r="H54" s="134" t="n"/>
      <c r="I54" s="132" t="n"/>
      <c r="J54" s="7" t="n"/>
      <c r="K54" s="7" t="n"/>
      <c r="M54" s="128" t="n"/>
      <c r="N54" s="128" t="n"/>
    </row>
    <row r="55" ht="15.75" customHeight="1" s="1">
      <c r="C55" s="7" t="inlineStr">
        <is>
          <t>Wylie</t>
        </is>
      </c>
      <c r="D55" s="0" t="n">
        <v>1000</v>
      </c>
      <c r="F55" s="7" t="n"/>
      <c r="G55" s="7" t="n"/>
      <c r="H55" s="134" t="n"/>
      <c r="I55" s="132" t="n"/>
      <c r="J55" s="7" t="inlineStr">
        <is>
          <t xml:space="preserve"> </t>
        </is>
      </c>
      <c r="K55" s="7" t="n"/>
      <c r="M55" s="128" t="n"/>
      <c r="N55" s="128" t="n"/>
    </row>
    <row r="56" ht="15.75" customHeight="1" s="1">
      <c r="C56" s="4" t="inlineStr">
        <is>
          <t>FEI</t>
        </is>
      </c>
      <c r="D56" s="4" t="n">
        <v>2000</v>
      </c>
      <c r="F56" s="7" t="n"/>
      <c r="G56" s="7" t="n"/>
      <c r="H56" s="134" t="n"/>
      <c r="I56" s="132" t="n"/>
      <c r="J56" s="7" t="inlineStr">
        <is>
          <t xml:space="preserve"> </t>
        </is>
      </c>
      <c r="K56" s="7" t="n"/>
      <c r="M56" s="128" t="n"/>
      <c r="N56" s="128" t="n"/>
    </row>
    <row r="57" ht="15.75" customHeight="1" s="1">
      <c r="C57" s="46" t="inlineStr">
        <is>
          <t>Flying Horse</t>
        </is>
      </c>
      <c r="D57" s="47" t="n">
        <v>2000</v>
      </c>
      <c r="F57" s="7" t="n"/>
      <c r="G57" s="7" t="n"/>
      <c r="H57" s="134" t="n"/>
      <c r="I57" s="132" t="n"/>
      <c r="J57" s="7" t="inlineStr">
        <is>
          <t xml:space="preserve"> </t>
        </is>
      </c>
      <c r="K57" s="7" t="n"/>
      <c r="M57" s="128" t="n"/>
      <c r="N57" s="128" t="n"/>
    </row>
    <row r="58" ht="15.75" customHeight="1" s="1">
      <c r="C58" s="128" t="n"/>
      <c r="D58" s="48">
        <f>SUM(D53:D57)-D51</f>
        <v/>
      </c>
      <c r="F58" s="7" t="n"/>
      <c r="G58" s="7" t="n"/>
      <c r="H58" s="134" t="n"/>
      <c r="I58" s="132" t="n"/>
      <c r="J58" s="7" t="n"/>
      <c r="K58" s="7" t="n"/>
      <c r="M58" s="128" t="n"/>
      <c r="N58" s="128" t="n"/>
    </row>
    <row r="59">
      <c r="C59" s="128" t="n"/>
      <c r="H59" s="128" t="n"/>
      <c r="I59" s="128" t="n"/>
      <c r="M59" s="128" t="n"/>
      <c r="N59" s="128" t="n"/>
    </row>
    <row r="60">
      <c r="C60" s="128" t="n"/>
      <c r="H60" s="128" t="n"/>
      <c r="I60" s="128" t="n"/>
      <c r="M60" s="128" t="n"/>
      <c r="N60" s="128" t="n"/>
    </row>
    <row r="61">
      <c r="C61" s="128" t="n"/>
      <c r="H61" s="128" t="n"/>
      <c r="I61" s="128" t="n"/>
      <c r="M61" s="128" t="n"/>
      <c r="N61" s="128" t="n"/>
    </row>
    <row r="62">
      <c r="C62" s="128" t="n"/>
      <c r="H62" s="128" t="n"/>
      <c r="I62" s="128" t="n"/>
      <c r="M62" s="128" t="n"/>
      <c r="N62" s="128" t="n"/>
    </row>
    <row r="63">
      <c r="C63" s="128" t="n"/>
      <c r="H63" s="128" t="n"/>
      <c r="I63" s="128" t="n"/>
      <c r="M63" s="128" t="n"/>
      <c r="N63" s="128" t="n"/>
    </row>
    <row r="64">
      <c r="C64" s="128" t="n"/>
      <c r="H64" s="128" t="n"/>
      <c r="I64" s="128" t="n"/>
      <c r="M64" s="128" t="n"/>
      <c r="N64" s="128" t="n"/>
    </row>
    <row r="65">
      <c r="C65" s="128" t="n"/>
      <c r="H65" s="128" t="n"/>
      <c r="I65" s="128" t="n"/>
      <c r="M65" s="128" t="n"/>
      <c r="N65" s="128" t="n"/>
    </row>
    <row r="66">
      <c r="C66" s="128" t="n"/>
      <c r="H66" s="128" t="n"/>
      <c r="I66" s="128" t="n"/>
      <c r="M66" s="128" t="n"/>
      <c r="N66" s="128" t="n"/>
    </row>
    <row r="67">
      <c r="C67" s="128" t="n"/>
      <c r="H67" s="128" t="n"/>
      <c r="I67" s="128" t="n"/>
      <c r="M67" s="128" t="n"/>
      <c r="N67" s="128" t="n"/>
    </row>
    <row r="68">
      <c r="C68" s="128" t="n"/>
      <c r="H68" s="128" t="n"/>
      <c r="I68" s="128" t="n"/>
      <c r="M68" s="128" t="n"/>
      <c r="N68" s="128" t="n"/>
    </row>
    <row r="69">
      <c r="C69" s="128" t="n"/>
      <c r="H69" s="128" t="n"/>
      <c r="I69" s="128" t="n"/>
      <c r="M69" s="128" t="n"/>
      <c r="N69" s="128" t="n"/>
    </row>
    <row r="70">
      <c r="C70" s="128" t="n"/>
      <c r="H70" s="128" t="n"/>
      <c r="I70" s="128" t="n"/>
      <c r="M70" s="128" t="n"/>
      <c r="N70" s="128" t="n"/>
    </row>
    <row r="71">
      <c r="C71" s="128" t="n"/>
      <c r="H71" s="128" t="n"/>
      <c r="I71" s="128" t="n"/>
      <c r="M71" s="128" t="n"/>
      <c r="N71" s="128" t="n"/>
    </row>
    <row r="72">
      <c r="C72" s="128" t="n"/>
      <c r="H72" s="128" t="n"/>
      <c r="I72" s="128" t="n"/>
      <c r="M72" s="128" t="n"/>
      <c r="N72" s="128" t="n"/>
    </row>
    <row r="73">
      <c r="C73" s="128" t="n"/>
      <c r="H73" s="128" t="n"/>
      <c r="I73" s="128" t="n"/>
      <c r="M73" s="128" t="n"/>
      <c r="N73" s="128" t="n"/>
    </row>
    <row r="74">
      <c r="C74" s="128" t="n"/>
      <c r="H74" s="128" t="n"/>
      <c r="I74" s="128" t="n"/>
      <c r="M74" s="128" t="n"/>
      <c r="N74" s="128" t="n"/>
    </row>
    <row r="75">
      <c r="C75" s="128" t="n"/>
      <c r="H75" s="128" t="n"/>
      <c r="I75" s="128" t="n"/>
      <c r="M75" s="128" t="n"/>
      <c r="N75" s="128" t="n"/>
    </row>
    <row r="76">
      <c r="C76" s="128" t="n"/>
      <c r="H76" s="128" t="n"/>
      <c r="I76" s="128" t="n"/>
      <c r="M76" s="128" t="n"/>
      <c r="N76" s="128" t="n"/>
    </row>
    <row r="77">
      <c r="C77" s="128" t="n"/>
      <c r="H77" s="128" t="n"/>
      <c r="I77" s="128" t="n"/>
      <c r="M77" s="128" t="n"/>
      <c r="N77" s="128" t="n"/>
    </row>
    <row r="78">
      <c r="C78" s="128" t="n"/>
      <c r="H78" s="128" t="n"/>
      <c r="I78" s="128" t="n"/>
      <c r="M78" s="128" t="n"/>
      <c r="N78" s="128" t="n"/>
    </row>
    <row r="79">
      <c r="C79" s="128" t="n"/>
      <c r="H79" s="128" t="n"/>
      <c r="I79" s="128" t="n"/>
      <c r="M79" s="128" t="n"/>
      <c r="N79" s="128" t="n"/>
    </row>
    <row r="80">
      <c r="C80" s="128" t="n"/>
      <c r="H80" s="128" t="n"/>
      <c r="I80" s="128" t="n"/>
      <c r="M80" s="128" t="n"/>
      <c r="N80" s="128" t="n"/>
    </row>
    <row r="81">
      <c r="C81" s="128" t="n"/>
      <c r="H81" s="128" t="n"/>
      <c r="I81" s="128" t="n"/>
      <c r="M81" s="128" t="n"/>
      <c r="N81" s="128" t="n"/>
    </row>
    <row r="82">
      <c r="C82" s="128" t="n"/>
      <c r="H82" s="128" t="n"/>
      <c r="I82" s="128" t="n"/>
      <c r="M82" s="128" t="n"/>
      <c r="N82" s="128" t="n"/>
    </row>
    <row r="83">
      <c r="C83" s="128" t="n"/>
      <c r="H83" s="128" t="n"/>
      <c r="I83" s="128" t="n"/>
      <c r="M83" s="128" t="n"/>
      <c r="N83" s="128" t="n"/>
    </row>
    <row r="84">
      <c r="C84" s="128" t="n"/>
      <c r="H84" s="128" t="n"/>
      <c r="I84" s="128" t="n"/>
      <c r="M84" s="128" t="n"/>
      <c r="N84" s="128" t="n"/>
    </row>
    <row r="85">
      <c r="C85" s="128" t="n"/>
      <c r="H85" s="128" t="n"/>
      <c r="I85" s="128" t="n"/>
      <c r="M85" s="128" t="n"/>
      <c r="N85" s="128" t="n"/>
    </row>
    <row r="86">
      <c r="C86" s="128" t="n"/>
      <c r="H86" s="128" t="n"/>
      <c r="I86" s="128" t="n"/>
      <c r="M86" s="128" t="n"/>
      <c r="N86" s="128" t="n"/>
    </row>
    <row r="87">
      <c r="C87" s="128" t="n"/>
      <c r="H87" s="128" t="n"/>
      <c r="I87" s="128" t="n"/>
      <c r="M87" s="128" t="n"/>
      <c r="N87" s="128" t="n"/>
    </row>
    <row r="88">
      <c r="C88" s="128" t="n"/>
      <c r="H88" s="128" t="n"/>
      <c r="I88" s="128" t="n"/>
      <c r="M88" s="128" t="n"/>
      <c r="N88" s="128" t="n"/>
    </row>
    <row r="89">
      <c r="C89" s="128" t="n"/>
      <c r="H89" s="128" t="n"/>
      <c r="I89" s="128" t="n"/>
      <c r="M89" s="128" t="n"/>
      <c r="N89" s="128" t="n"/>
    </row>
    <row r="90">
      <c r="C90" s="128" t="n"/>
      <c r="H90" s="128" t="n"/>
      <c r="I90" s="128" t="n"/>
      <c r="M90" s="128" t="n"/>
      <c r="N90" s="128" t="n"/>
    </row>
    <row r="91">
      <c r="C91" s="128" t="n"/>
      <c r="H91" s="128" t="n"/>
      <c r="I91" s="128" t="n"/>
      <c r="M91" s="128" t="n"/>
      <c r="N91" s="128" t="n"/>
    </row>
    <row r="92">
      <c r="C92" s="128" t="n"/>
      <c r="H92" s="128" t="n"/>
      <c r="I92" s="128" t="n"/>
      <c r="M92" s="128" t="n"/>
      <c r="N92" s="128" t="n"/>
    </row>
    <row r="93">
      <c r="C93" s="128" t="n"/>
      <c r="H93" s="128" t="n"/>
      <c r="I93" s="128" t="n"/>
      <c r="M93" s="128" t="n"/>
      <c r="N93" s="128" t="n"/>
    </row>
    <row r="94">
      <c r="C94" s="128" t="n"/>
      <c r="H94" s="128" t="n"/>
      <c r="I94" s="128" t="n"/>
      <c r="M94" s="128" t="n"/>
      <c r="N94" s="128" t="n"/>
    </row>
    <row r="95">
      <c r="C95" s="128" t="n"/>
      <c r="H95" s="128" t="n"/>
      <c r="I95" s="128" t="n"/>
      <c r="M95" s="128" t="n"/>
      <c r="N95" s="128" t="n"/>
    </row>
    <row r="96">
      <c r="C96" s="128" t="n"/>
      <c r="H96" s="128" t="n"/>
      <c r="I96" s="128" t="n"/>
      <c r="M96" s="128" t="n"/>
      <c r="N96" s="128" t="n"/>
    </row>
    <row r="97">
      <c r="C97" s="128" t="n"/>
      <c r="H97" s="128" t="n"/>
      <c r="I97" s="128" t="n"/>
      <c r="M97" s="128" t="n"/>
      <c r="N97" s="128" t="n"/>
    </row>
    <row r="98">
      <c r="C98" s="128" t="n"/>
      <c r="H98" s="128" t="n"/>
      <c r="I98" s="128" t="n"/>
      <c r="M98" s="128" t="n"/>
      <c r="N98" s="128" t="n"/>
    </row>
    <row r="99">
      <c r="C99" s="128" t="n"/>
      <c r="H99" s="128" t="n"/>
      <c r="I99" s="128" t="n"/>
      <c r="M99" s="128" t="n"/>
      <c r="N99" s="128" t="n"/>
    </row>
    <row r="100">
      <c r="C100" s="128" t="n"/>
      <c r="H100" s="128" t="n"/>
      <c r="I100" s="128" t="n"/>
      <c r="M100" s="128" t="n"/>
      <c r="N100" s="128" t="n"/>
    </row>
    <row r="101">
      <c r="C101" s="128" t="n"/>
      <c r="H101" s="128" t="n"/>
      <c r="I101" s="128" t="n"/>
      <c r="M101" s="128" t="n"/>
      <c r="N101" s="128" t="n"/>
    </row>
    <row r="102">
      <c r="C102" s="128" t="n"/>
      <c r="H102" s="128" t="n"/>
      <c r="I102" s="128" t="n"/>
      <c r="M102" s="128" t="n"/>
      <c r="N102" s="128" t="n"/>
    </row>
    <row r="103">
      <c r="C103" s="128" t="n"/>
      <c r="H103" s="128" t="n"/>
      <c r="I103" s="128" t="n"/>
      <c r="M103" s="128" t="n"/>
      <c r="N103" s="128" t="n"/>
    </row>
    <row r="104">
      <c r="C104" s="128" t="n"/>
      <c r="H104" s="128" t="n"/>
      <c r="I104" s="128" t="n"/>
      <c r="M104" s="128" t="n"/>
      <c r="N104" s="128" t="n"/>
    </row>
    <row r="105">
      <c r="C105" s="128" t="n"/>
      <c r="H105" s="128" t="n"/>
      <c r="I105" s="128" t="n"/>
      <c r="M105" s="128" t="n"/>
      <c r="N105" s="128" t="n"/>
    </row>
    <row r="106">
      <c r="C106" s="128" t="n"/>
      <c r="H106" s="128" t="n"/>
      <c r="I106" s="128" t="n"/>
      <c r="M106" s="128" t="n"/>
      <c r="N106" s="128" t="n"/>
    </row>
    <row r="107">
      <c r="C107" s="128" t="n"/>
      <c r="H107" s="128" t="n"/>
      <c r="I107" s="128" t="n"/>
      <c r="M107" s="128" t="n"/>
      <c r="N107" s="128" t="n"/>
    </row>
    <row r="108">
      <c r="C108" s="128" t="n"/>
      <c r="H108" s="128" t="n"/>
      <c r="I108" s="128" t="n"/>
      <c r="M108" s="128" t="n"/>
      <c r="N108" s="128" t="n"/>
    </row>
    <row r="109">
      <c r="C109" s="128" t="n"/>
      <c r="H109" s="128" t="n"/>
      <c r="I109" s="128" t="n"/>
      <c r="M109" s="128" t="n"/>
      <c r="N109" s="128" t="n"/>
    </row>
    <row r="110">
      <c r="C110" s="128" t="n"/>
      <c r="H110" s="128" t="n"/>
      <c r="I110" s="128" t="n"/>
      <c r="M110" s="128" t="n"/>
      <c r="N110" s="128" t="n"/>
    </row>
    <row r="111">
      <c r="C111" s="128" t="n"/>
      <c r="H111" s="128" t="n"/>
      <c r="I111" s="128" t="n"/>
      <c r="M111" s="128" t="n"/>
      <c r="N111" s="128" t="n"/>
    </row>
    <row r="112">
      <c r="C112" s="128" t="n"/>
      <c r="H112" s="128" t="n"/>
      <c r="I112" s="128" t="n"/>
      <c r="M112" s="128" t="n"/>
      <c r="N112" s="128" t="n"/>
    </row>
    <row r="113">
      <c r="C113" s="128" t="n"/>
      <c r="H113" s="128" t="n"/>
      <c r="I113" s="128" t="n"/>
      <c r="M113" s="128" t="n"/>
      <c r="N113" s="128" t="n"/>
    </row>
    <row r="114">
      <c r="C114" s="128" t="n"/>
      <c r="H114" s="128" t="n"/>
      <c r="I114" s="128" t="n"/>
      <c r="M114" s="128" t="n"/>
      <c r="N114" s="128" t="n"/>
    </row>
    <row r="115">
      <c r="C115" s="128" t="n"/>
      <c r="H115" s="128" t="n"/>
      <c r="I115" s="128" t="n"/>
      <c r="M115" s="128" t="n"/>
      <c r="N115" s="128" t="n"/>
    </row>
    <row r="116">
      <c r="C116" s="128" t="n"/>
      <c r="H116" s="128" t="n"/>
      <c r="I116" s="128" t="n"/>
      <c r="M116" s="128" t="n"/>
      <c r="N116" s="128" t="n"/>
    </row>
    <row r="117">
      <c r="C117" s="128" t="n"/>
      <c r="H117" s="128" t="n"/>
      <c r="I117" s="128" t="n"/>
      <c r="M117" s="128" t="n"/>
      <c r="N117" s="128" t="n"/>
    </row>
    <row r="118">
      <c r="C118" s="128" t="n"/>
      <c r="H118" s="128" t="n"/>
      <c r="I118" s="128" t="n"/>
      <c r="M118" s="128" t="n"/>
      <c r="N118" s="128" t="n"/>
    </row>
    <row r="119">
      <c r="C119" s="128" t="n"/>
      <c r="H119" s="128" t="n"/>
      <c r="I119" s="128" t="n"/>
      <c r="M119" s="128" t="n"/>
      <c r="N119" s="128" t="n"/>
    </row>
    <row r="120">
      <c r="C120" s="128" t="n"/>
      <c r="H120" s="128" t="n"/>
      <c r="I120" s="128" t="n"/>
      <c r="M120" s="128" t="n"/>
      <c r="N120" s="128" t="n"/>
    </row>
    <row r="121">
      <c r="C121" s="128" t="n"/>
      <c r="H121" s="128" t="n"/>
      <c r="I121" s="128" t="n"/>
      <c r="M121" s="128" t="n"/>
      <c r="N121" s="128" t="n"/>
    </row>
    <row r="122">
      <c r="C122" s="128" t="n"/>
      <c r="H122" s="128" t="n"/>
      <c r="I122" s="128" t="n"/>
      <c r="M122" s="128" t="n"/>
      <c r="N122" s="128" t="n"/>
    </row>
    <row r="123">
      <c r="C123" s="128" t="n"/>
      <c r="H123" s="128" t="n"/>
      <c r="I123" s="128" t="n"/>
      <c r="M123" s="128" t="n"/>
      <c r="N123" s="128" t="n"/>
    </row>
    <row r="124">
      <c r="C124" s="128" t="n"/>
      <c r="H124" s="128" t="n"/>
      <c r="I124" s="128" t="n"/>
      <c r="M124" s="128" t="n"/>
      <c r="N124" s="128" t="n"/>
    </row>
    <row r="125">
      <c r="C125" s="128" t="n"/>
      <c r="H125" s="128" t="n"/>
      <c r="I125" s="128" t="n"/>
      <c r="M125" s="128" t="n"/>
      <c r="N125" s="128" t="n"/>
    </row>
    <row r="126">
      <c r="C126" s="128" t="n"/>
      <c r="H126" s="128" t="n"/>
      <c r="I126" s="128" t="n"/>
      <c r="M126" s="128" t="n"/>
      <c r="N126" s="128" t="n"/>
    </row>
    <row r="127">
      <c r="C127" s="128" t="n"/>
      <c r="H127" s="128" t="n"/>
      <c r="I127" s="128" t="n"/>
      <c r="M127" s="128" t="n"/>
      <c r="N127" s="128" t="n"/>
    </row>
    <row r="128">
      <c r="C128" s="128" t="n"/>
      <c r="H128" s="128" t="n"/>
      <c r="I128" s="128" t="n"/>
      <c r="M128" s="128" t="n"/>
      <c r="N128" s="128" t="n"/>
    </row>
    <row r="129">
      <c r="C129" s="128" t="n"/>
      <c r="H129" s="128" t="n"/>
      <c r="I129" s="128" t="n"/>
      <c r="M129" s="128" t="n"/>
      <c r="N129" s="128" t="n"/>
    </row>
    <row r="130">
      <c r="C130" s="128" t="n"/>
      <c r="H130" s="128" t="n"/>
      <c r="I130" s="128" t="n"/>
      <c r="M130" s="128" t="n"/>
      <c r="N130" s="128" t="n"/>
    </row>
    <row r="131">
      <c r="C131" s="128" t="n"/>
      <c r="H131" s="128" t="n"/>
      <c r="I131" s="128" t="n"/>
      <c r="M131" s="128" t="n"/>
      <c r="N131" s="128" t="n"/>
    </row>
    <row r="132">
      <c r="C132" s="128" t="n"/>
      <c r="H132" s="128" t="n"/>
      <c r="I132" s="128" t="n"/>
      <c r="M132" s="128" t="n"/>
      <c r="N132" s="128" t="n"/>
    </row>
    <row r="133">
      <c r="C133" s="128" t="n"/>
      <c r="H133" s="128" t="n"/>
      <c r="I133" s="128" t="n"/>
      <c r="M133" s="128" t="n"/>
      <c r="N133" s="128" t="n"/>
    </row>
    <row r="134">
      <c r="C134" s="128" t="n"/>
      <c r="H134" s="128" t="n"/>
      <c r="I134" s="128" t="n"/>
      <c r="M134" s="128" t="n"/>
      <c r="N134" s="128" t="n"/>
    </row>
    <row r="135">
      <c r="C135" s="128" t="n"/>
      <c r="H135" s="128" t="n"/>
      <c r="I135" s="128" t="n"/>
      <c r="M135" s="128" t="n"/>
      <c r="N135" s="128" t="n"/>
    </row>
    <row r="136">
      <c r="C136" s="128" t="n"/>
      <c r="H136" s="128" t="n"/>
      <c r="I136" s="128" t="n"/>
      <c r="M136" s="128" t="n"/>
      <c r="N136" s="128" t="n"/>
    </row>
    <row r="137">
      <c r="C137" s="128" t="n"/>
      <c r="H137" s="128" t="n"/>
      <c r="I137" s="128" t="n"/>
      <c r="M137" s="128" t="n"/>
      <c r="N137" s="128" t="n"/>
    </row>
    <row r="138">
      <c r="C138" s="128" t="n"/>
      <c r="H138" s="128" t="n"/>
      <c r="I138" s="128" t="n"/>
      <c r="M138" s="128" t="n"/>
      <c r="N138" s="128" t="n"/>
    </row>
    <row r="139">
      <c r="C139" s="128" t="n"/>
      <c r="H139" s="128" t="n"/>
      <c r="I139" s="128" t="n"/>
      <c r="M139" s="128" t="n"/>
      <c r="N139" s="128" t="n"/>
    </row>
    <row r="140">
      <c r="C140" s="128" t="n"/>
      <c r="H140" s="128" t="n"/>
      <c r="I140" s="128" t="n"/>
      <c r="M140" s="128" t="n"/>
      <c r="N140" s="128" t="n"/>
    </row>
    <row r="141">
      <c r="C141" s="128" t="n"/>
      <c r="H141" s="128" t="n"/>
      <c r="I141" s="128" t="n"/>
      <c r="M141" s="128" t="n"/>
      <c r="N141" s="128" t="n"/>
    </row>
    <row r="142">
      <c r="C142" s="128" t="n"/>
      <c r="H142" s="128" t="n"/>
      <c r="I142" s="128" t="n"/>
      <c r="M142" s="128" t="n"/>
      <c r="N142" s="128" t="n"/>
    </row>
    <row r="143">
      <c r="C143" s="128" t="n"/>
      <c r="H143" s="128" t="n"/>
      <c r="I143" s="128" t="n"/>
      <c r="M143" s="128" t="n"/>
      <c r="N143" s="128" t="n"/>
    </row>
    <row r="144">
      <c r="C144" s="128" t="n"/>
      <c r="H144" s="128" t="n"/>
      <c r="I144" s="128" t="n"/>
      <c r="M144" s="128" t="n"/>
      <c r="N144" s="128" t="n"/>
    </row>
    <row r="145">
      <c r="C145" s="128" t="n"/>
      <c r="H145" s="128" t="n"/>
      <c r="I145" s="128" t="n"/>
      <c r="M145" s="128" t="n"/>
      <c r="N145" s="128" t="n"/>
    </row>
    <row r="146">
      <c r="C146" s="128" t="n"/>
      <c r="H146" s="128" t="n"/>
      <c r="I146" s="128" t="n"/>
      <c r="M146" s="128" t="n"/>
      <c r="N146" s="128" t="n"/>
    </row>
    <row r="147">
      <c r="C147" s="128" t="n"/>
      <c r="H147" s="128" t="n"/>
      <c r="I147" s="128" t="n"/>
      <c r="M147" s="128" t="n"/>
      <c r="N147" s="128" t="n"/>
    </row>
    <row r="148">
      <c r="C148" s="128" t="n"/>
      <c r="H148" s="128" t="n"/>
      <c r="I148" s="128" t="n"/>
      <c r="M148" s="128" t="n"/>
      <c r="N148" s="128" t="n"/>
    </row>
    <row r="149">
      <c r="C149" s="128" t="n"/>
      <c r="H149" s="128" t="n"/>
      <c r="I149" s="128" t="n"/>
      <c r="M149" s="128" t="n"/>
      <c r="N149" s="128" t="n"/>
    </row>
    <row r="150">
      <c r="C150" s="128" t="n"/>
      <c r="H150" s="128" t="n"/>
      <c r="I150" s="128" t="n"/>
      <c r="M150" s="128" t="n"/>
      <c r="N150" s="128" t="n"/>
    </row>
    <row r="151">
      <c r="C151" s="128" t="n"/>
      <c r="H151" s="128" t="n"/>
      <c r="I151" s="128" t="n"/>
      <c r="M151" s="128" t="n"/>
      <c r="N151" s="128" t="n"/>
    </row>
    <row r="152">
      <c r="C152" s="128" t="n"/>
      <c r="H152" s="128" t="n"/>
      <c r="I152" s="128" t="n"/>
      <c r="M152" s="128" t="n"/>
      <c r="N152" s="128" t="n"/>
    </row>
    <row r="153">
      <c r="C153" s="128" t="n"/>
      <c r="H153" s="128" t="n"/>
      <c r="I153" s="128" t="n"/>
      <c r="M153" s="128" t="n"/>
      <c r="N153" s="128" t="n"/>
    </row>
    <row r="154">
      <c r="C154" s="128" t="n"/>
      <c r="H154" s="128" t="n"/>
      <c r="I154" s="128" t="n"/>
      <c r="M154" s="128" t="n"/>
      <c r="N154" s="128" t="n"/>
    </row>
    <row r="155">
      <c r="C155" s="128" t="n"/>
      <c r="H155" s="128" t="n"/>
      <c r="I155" s="128" t="n"/>
      <c r="M155" s="128" t="n"/>
      <c r="N155" s="128" t="n"/>
    </row>
    <row r="156">
      <c r="C156" s="128" t="n"/>
      <c r="H156" s="128" t="n"/>
      <c r="I156" s="128" t="n"/>
      <c r="M156" s="128" t="n"/>
      <c r="N156" s="128" t="n"/>
    </row>
    <row r="157">
      <c r="C157" s="128" t="n"/>
      <c r="H157" s="128" t="n"/>
      <c r="I157" s="128" t="n"/>
      <c r="M157" s="128" t="n"/>
      <c r="N157" s="128" t="n"/>
    </row>
    <row r="158">
      <c r="C158" s="128" t="n"/>
      <c r="H158" s="128" t="n"/>
      <c r="I158" s="128" t="n"/>
      <c r="M158" s="128" t="n"/>
      <c r="N158" s="128" t="n"/>
    </row>
    <row r="159">
      <c r="C159" s="128" t="n"/>
      <c r="H159" s="128" t="n"/>
      <c r="I159" s="128" t="n"/>
      <c r="M159" s="128" t="n"/>
      <c r="N159" s="128" t="n"/>
    </row>
    <row r="160">
      <c r="C160" s="128" t="n"/>
      <c r="H160" s="128" t="n"/>
      <c r="I160" s="128" t="n"/>
      <c r="M160" s="128" t="n"/>
      <c r="N160" s="128" t="n"/>
    </row>
    <row r="161">
      <c r="C161" s="128" t="n"/>
      <c r="H161" s="128" t="n"/>
      <c r="I161" s="128" t="n"/>
      <c r="M161" s="128" t="n"/>
      <c r="N161" s="128" t="n"/>
    </row>
    <row r="162">
      <c r="C162" s="128" t="n"/>
      <c r="H162" s="128" t="n"/>
      <c r="I162" s="128" t="n"/>
      <c r="M162" s="128" t="n"/>
      <c r="N162" s="128" t="n"/>
    </row>
    <row r="163">
      <c r="C163" s="128" t="n"/>
      <c r="H163" s="128" t="n"/>
      <c r="I163" s="128" t="n"/>
      <c r="M163" s="128" t="n"/>
      <c r="N163" s="128" t="n"/>
    </row>
    <row r="164">
      <c r="C164" s="128" t="n"/>
      <c r="H164" s="128" t="n"/>
      <c r="I164" s="128" t="n"/>
      <c r="M164" s="128" t="n"/>
      <c r="N164" s="128" t="n"/>
    </row>
    <row r="165">
      <c r="C165" s="128" t="n"/>
      <c r="H165" s="128" t="n"/>
      <c r="I165" s="128" t="n"/>
      <c r="M165" s="128" t="n"/>
      <c r="N165" s="128" t="n"/>
    </row>
    <row r="166">
      <c r="C166" s="128" t="n"/>
      <c r="H166" s="128" t="n"/>
      <c r="I166" s="128" t="n"/>
      <c r="M166" s="128" t="n"/>
      <c r="N166" s="128" t="n"/>
    </row>
    <row r="167">
      <c r="C167" s="128" t="n"/>
      <c r="H167" s="128" t="n"/>
      <c r="I167" s="128" t="n"/>
      <c r="M167" s="128" t="n"/>
      <c r="N167" s="128" t="n"/>
    </row>
    <row r="168">
      <c r="C168" s="128" t="n"/>
      <c r="H168" s="128" t="n"/>
      <c r="I168" s="128" t="n"/>
      <c r="M168" s="128" t="n"/>
      <c r="N168" s="128" t="n"/>
    </row>
    <row r="169">
      <c r="C169" s="128" t="n"/>
      <c r="H169" s="128" t="n"/>
      <c r="I169" s="128" t="n"/>
      <c r="M169" s="128" t="n"/>
      <c r="N169" s="128" t="n"/>
    </row>
    <row r="170">
      <c r="C170" s="128" t="n"/>
      <c r="H170" s="128" t="n"/>
      <c r="I170" s="128" t="n"/>
      <c r="M170" s="128" t="n"/>
      <c r="N170" s="128" t="n"/>
    </row>
    <row r="171">
      <c r="C171" s="128" t="n"/>
      <c r="H171" s="128" t="n"/>
      <c r="I171" s="128" t="n"/>
      <c r="M171" s="128" t="n"/>
      <c r="N171" s="128" t="n"/>
    </row>
    <row r="172">
      <c r="C172" s="128" t="n"/>
      <c r="H172" s="128" t="n"/>
      <c r="I172" s="128" t="n"/>
      <c r="M172" s="128" t="n"/>
      <c r="N172" s="128" t="n"/>
    </row>
    <row r="173">
      <c r="C173" s="128" t="n"/>
      <c r="H173" s="128" t="n"/>
      <c r="I173" s="128" t="n"/>
      <c r="M173" s="128" t="n"/>
      <c r="N173" s="128" t="n"/>
    </row>
    <row r="174">
      <c r="C174" s="128" t="n"/>
      <c r="H174" s="128" t="n"/>
      <c r="I174" s="128" t="n"/>
      <c r="M174" s="128" t="n"/>
      <c r="N174" s="128" t="n"/>
    </row>
    <row r="175">
      <c r="C175" s="128" t="n"/>
      <c r="H175" s="128" t="n"/>
      <c r="I175" s="128" t="n"/>
      <c r="M175" s="128" t="n"/>
      <c r="N175" s="128" t="n"/>
    </row>
    <row r="176">
      <c r="C176" s="128" t="n"/>
      <c r="H176" s="128" t="n"/>
      <c r="I176" s="128" t="n"/>
      <c r="M176" s="128" t="n"/>
      <c r="N176" s="128" t="n"/>
    </row>
    <row r="177">
      <c r="C177" s="128" t="n"/>
      <c r="H177" s="128" t="n"/>
      <c r="I177" s="128" t="n"/>
      <c r="M177" s="128" t="n"/>
      <c r="N177" s="128" t="n"/>
    </row>
    <row r="178">
      <c r="C178" s="128" t="n"/>
      <c r="H178" s="128" t="n"/>
      <c r="I178" s="128" t="n"/>
      <c r="M178" s="128" t="n"/>
      <c r="N178" s="128" t="n"/>
    </row>
    <row r="179">
      <c r="C179" s="128" t="n"/>
      <c r="H179" s="128" t="n"/>
      <c r="I179" s="128" t="n"/>
      <c r="M179" s="128" t="n"/>
      <c r="N179" s="128" t="n"/>
    </row>
    <row r="180">
      <c r="C180" s="128" t="n"/>
      <c r="H180" s="128" t="n"/>
      <c r="I180" s="128" t="n"/>
      <c r="M180" s="128" t="n"/>
      <c r="N180" s="128" t="n"/>
    </row>
    <row r="181">
      <c r="C181" s="128" t="n"/>
      <c r="H181" s="128" t="n"/>
      <c r="I181" s="128" t="n"/>
      <c r="M181" s="128" t="n"/>
      <c r="N181" s="128" t="n"/>
    </row>
    <row r="182">
      <c r="C182" s="128" t="n"/>
      <c r="H182" s="128" t="n"/>
      <c r="I182" s="128" t="n"/>
      <c r="M182" s="128" t="n"/>
      <c r="N182" s="128" t="n"/>
    </row>
    <row r="183">
      <c r="C183" s="128" t="n"/>
      <c r="H183" s="128" t="n"/>
      <c r="I183" s="128" t="n"/>
      <c r="M183" s="128" t="n"/>
      <c r="N183" s="128" t="n"/>
    </row>
    <row r="184">
      <c r="C184" s="128" t="n"/>
      <c r="H184" s="128" t="n"/>
      <c r="I184" s="128" t="n"/>
      <c r="M184" s="128" t="n"/>
      <c r="N184" s="128" t="n"/>
    </row>
    <row r="185">
      <c r="C185" s="128" t="n"/>
      <c r="H185" s="128" t="n"/>
      <c r="I185" s="128" t="n"/>
      <c r="M185" s="128" t="n"/>
      <c r="N185" s="128" t="n"/>
    </row>
    <row r="186">
      <c r="C186" s="128" t="n"/>
      <c r="H186" s="128" t="n"/>
      <c r="I186" s="128" t="n"/>
      <c r="M186" s="128" t="n"/>
      <c r="N186" s="128" t="n"/>
    </row>
    <row r="187">
      <c r="C187" s="128" t="n"/>
      <c r="H187" s="128" t="n"/>
      <c r="I187" s="128" t="n"/>
      <c r="M187" s="128" t="n"/>
      <c r="N187" s="128" t="n"/>
    </row>
    <row r="188">
      <c r="C188" s="128" t="n"/>
      <c r="H188" s="128" t="n"/>
      <c r="I188" s="128" t="n"/>
      <c r="M188" s="128" t="n"/>
      <c r="N188" s="128" t="n"/>
    </row>
    <row r="189">
      <c r="C189" s="128" t="n"/>
      <c r="H189" s="128" t="n"/>
      <c r="I189" s="128" t="n"/>
      <c r="M189" s="128" t="n"/>
      <c r="N189" s="128" t="n"/>
    </row>
    <row r="190">
      <c r="C190" s="128" t="n"/>
      <c r="H190" s="128" t="n"/>
      <c r="I190" s="128" t="n"/>
      <c r="M190" s="128" t="n"/>
      <c r="N190" s="128" t="n"/>
    </row>
    <row r="191">
      <c r="C191" s="128" t="n"/>
      <c r="H191" s="128" t="n"/>
      <c r="I191" s="128" t="n"/>
      <c r="M191" s="128" t="n"/>
      <c r="N191" s="128" t="n"/>
    </row>
    <row r="192">
      <c r="C192" s="128" t="n"/>
      <c r="H192" s="128" t="n"/>
      <c r="I192" s="128" t="n"/>
      <c r="M192" s="128" t="n"/>
      <c r="N192" s="128" t="n"/>
    </row>
    <row r="193">
      <c r="C193" s="128" t="n"/>
      <c r="H193" s="128" t="n"/>
      <c r="I193" s="128" t="n"/>
      <c r="M193" s="128" t="n"/>
      <c r="N193" s="128" t="n"/>
    </row>
    <row r="194">
      <c r="C194" s="128" t="n"/>
      <c r="H194" s="128" t="n"/>
      <c r="I194" s="128" t="n"/>
      <c r="M194" s="128" t="n"/>
      <c r="N194" s="128" t="n"/>
    </row>
    <row r="195">
      <c r="C195" s="128" t="n"/>
      <c r="H195" s="128" t="n"/>
      <c r="I195" s="128" t="n"/>
      <c r="M195" s="128" t="n"/>
      <c r="N195" s="128" t="n"/>
    </row>
    <row r="196">
      <c r="C196" s="128" t="n"/>
      <c r="H196" s="128" t="n"/>
      <c r="I196" s="128" t="n"/>
      <c r="M196" s="128" t="n"/>
      <c r="N196" s="128" t="n"/>
    </row>
    <row r="197">
      <c r="C197" s="128" t="n"/>
      <c r="H197" s="128" t="n"/>
      <c r="I197" s="128" t="n"/>
      <c r="M197" s="128" t="n"/>
      <c r="N197" s="128" t="n"/>
    </row>
    <row r="198">
      <c r="C198" s="128" t="n"/>
      <c r="H198" s="128" t="n"/>
      <c r="I198" s="128" t="n"/>
      <c r="M198" s="128" t="n"/>
      <c r="N198" s="128" t="n"/>
    </row>
    <row r="199">
      <c r="C199" s="128" t="n"/>
      <c r="H199" s="128" t="n"/>
      <c r="I199" s="128" t="n"/>
      <c r="M199" s="128" t="n"/>
      <c r="N199" s="128" t="n"/>
    </row>
    <row r="200">
      <c r="C200" s="128" t="n"/>
      <c r="H200" s="128" t="n"/>
      <c r="I200" s="128" t="n"/>
      <c r="M200" s="128" t="n"/>
      <c r="N200" s="128" t="n"/>
    </row>
    <row r="201">
      <c r="C201" s="128" t="n"/>
      <c r="H201" s="128" t="n"/>
      <c r="I201" s="128" t="n"/>
      <c r="M201" s="128" t="n"/>
      <c r="N201" s="128" t="n"/>
    </row>
    <row r="202">
      <c r="C202" s="128" t="n"/>
      <c r="H202" s="128" t="n"/>
      <c r="I202" s="128" t="n"/>
      <c r="M202" s="128" t="n"/>
      <c r="N202" s="128" t="n"/>
    </row>
    <row r="203">
      <c r="C203" s="128" t="n"/>
      <c r="H203" s="128" t="n"/>
      <c r="I203" s="128" t="n"/>
      <c r="M203" s="128" t="n"/>
      <c r="N203" s="128" t="n"/>
    </row>
    <row r="204">
      <c r="C204" s="128" t="n"/>
      <c r="H204" s="128" t="n"/>
      <c r="I204" s="128" t="n"/>
      <c r="M204" s="128" t="n"/>
      <c r="N204" s="128" t="n"/>
    </row>
    <row r="205">
      <c r="C205" s="128" t="n"/>
      <c r="H205" s="128" t="n"/>
      <c r="I205" s="128" t="n"/>
      <c r="M205" s="128" t="n"/>
      <c r="N205" s="128" t="n"/>
    </row>
    <row r="206">
      <c r="C206" s="128" t="n"/>
      <c r="H206" s="128" t="n"/>
      <c r="I206" s="128" t="n"/>
      <c r="M206" s="128" t="n"/>
      <c r="N206" s="128" t="n"/>
    </row>
    <row r="207">
      <c r="C207" s="128" t="n"/>
      <c r="H207" s="128" t="n"/>
      <c r="I207" s="128" t="n"/>
      <c r="M207" s="128" t="n"/>
      <c r="N207" s="128" t="n"/>
    </row>
    <row r="208">
      <c r="C208" s="128" t="n"/>
      <c r="H208" s="128" t="n"/>
      <c r="I208" s="128" t="n"/>
      <c r="M208" s="128" t="n"/>
      <c r="N208" s="128" t="n"/>
    </row>
    <row r="209">
      <c r="C209" s="128" t="n"/>
      <c r="H209" s="128" t="n"/>
      <c r="I209" s="128" t="n"/>
      <c r="M209" s="128" t="n"/>
      <c r="N209" s="128" t="n"/>
    </row>
    <row r="210">
      <c r="C210" s="128" t="n"/>
      <c r="H210" s="128" t="n"/>
      <c r="I210" s="128" t="n"/>
      <c r="M210" s="128" t="n"/>
      <c r="N210" s="128" t="n"/>
    </row>
    <row r="211">
      <c r="C211" s="128" t="n"/>
      <c r="H211" s="128" t="n"/>
      <c r="I211" s="128" t="n"/>
      <c r="M211" s="128" t="n"/>
      <c r="N211" s="128" t="n"/>
    </row>
    <row r="212">
      <c r="C212" s="128" t="n"/>
      <c r="H212" s="128" t="n"/>
      <c r="I212" s="128" t="n"/>
      <c r="M212" s="128" t="n"/>
      <c r="N212" s="128" t="n"/>
    </row>
    <row r="213">
      <c r="C213" s="128" t="n"/>
      <c r="H213" s="128" t="n"/>
      <c r="I213" s="128" t="n"/>
      <c r="M213" s="128" t="n"/>
      <c r="N213" s="128" t="n"/>
    </row>
    <row r="214">
      <c r="C214" s="128" t="n"/>
      <c r="H214" s="128" t="n"/>
      <c r="I214" s="128" t="n"/>
      <c r="M214" s="128" t="n"/>
      <c r="N214" s="128" t="n"/>
    </row>
    <row r="215">
      <c r="C215" s="128" t="n"/>
      <c r="H215" s="128" t="n"/>
      <c r="I215" s="128" t="n"/>
      <c r="M215" s="128" t="n"/>
      <c r="N215" s="128" t="n"/>
    </row>
    <row r="216">
      <c r="C216" s="128" t="n"/>
      <c r="H216" s="128" t="n"/>
      <c r="I216" s="128" t="n"/>
      <c r="M216" s="128" t="n"/>
      <c r="N216" s="128" t="n"/>
    </row>
    <row r="217">
      <c r="C217" s="128" t="n"/>
      <c r="H217" s="128" t="n"/>
      <c r="I217" s="128" t="n"/>
      <c r="M217" s="128" t="n"/>
      <c r="N217" s="128" t="n"/>
    </row>
    <row r="218">
      <c r="C218" s="128" t="n"/>
      <c r="H218" s="128" t="n"/>
      <c r="I218" s="128" t="n"/>
      <c r="M218" s="128" t="n"/>
      <c r="N218" s="128" t="n"/>
    </row>
    <row r="219">
      <c r="C219" s="128" t="n"/>
      <c r="H219" s="128" t="n"/>
      <c r="I219" s="128" t="n"/>
      <c r="M219" s="128" t="n"/>
      <c r="N219" s="128" t="n"/>
    </row>
    <row r="220">
      <c r="C220" s="128" t="n"/>
      <c r="H220" s="128" t="n"/>
      <c r="I220" s="128" t="n"/>
      <c r="M220" s="128" t="n"/>
      <c r="N220" s="128" t="n"/>
    </row>
    <row r="221">
      <c r="C221" s="128" t="n"/>
      <c r="H221" s="128" t="n"/>
      <c r="I221" s="128" t="n"/>
      <c r="M221" s="128" t="n"/>
      <c r="N221" s="128" t="n"/>
    </row>
    <row r="222">
      <c r="C222" s="128" t="n"/>
      <c r="H222" s="128" t="n"/>
      <c r="I222" s="128" t="n"/>
      <c r="M222" s="128" t="n"/>
      <c r="N222" s="128" t="n"/>
    </row>
    <row r="223">
      <c r="C223" s="128" t="n"/>
      <c r="H223" s="128" t="n"/>
      <c r="I223" s="128" t="n"/>
      <c r="M223" s="128" t="n"/>
      <c r="N223" s="128" t="n"/>
    </row>
    <row r="224">
      <c r="C224" s="128" t="n"/>
      <c r="H224" s="128" t="n"/>
      <c r="I224" s="128" t="n"/>
      <c r="M224" s="128" t="n"/>
      <c r="N224" s="128" t="n"/>
    </row>
    <row r="225">
      <c r="C225" s="128" t="n"/>
      <c r="H225" s="128" t="n"/>
      <c r="I225" s="128" t="n"/>
      <c r="M225" s="128" t="n"/>
      <c r="N225" s="128" t="n"/>
    </row>
    <row r="226">
      <c r="C226" s="128" t="n"/>
      <c r="H226" s="128" t="n"/>
      <c r="I226" s="128" t="n"/>
      <c r="M226" s="128" t="n"/>
      <c r="N226" s="128" t="n"/>
    </row>
    <row r="227">
      <c r="C227" s="128" t="n"/>
      <c r="H227" s="128" t="n"/>
      <c r="I227" s="128" t="n"/>
      <c r="M227" s="128" t="n"/>
      <c r="N227" s="128" t="n"/>
    </row>
    <row r="228">
      <c r="C228" s="128" t="n"/>
      <c r="H228" s="128" t="n"/>
      <c r="I228" s="128" t="n"/>
      <c r="M228" s="128" t="n"/>
      <c r="N228" s="128" t="n"/>
    </row>
    <row r="229">
      <c r="C229" s="128" t="n"/>
      <c r="H229" s="128" t="n"/>
      <c r="I229" s="128" t="n"/>
      <c r="M229" s="128" t="n"/>
      <c r="N229" s="128" t="n"/>
    </row>
    <row r="230">
      <c r="C230" s="128" t="n"/>
      <c r="H230" s="128" t="n"/>
      <c r="I230" s="128" t="n"/>
      <c r="M230" s="128" t="n"/>
      <c r="N230" s="128" t="n"/>
    </row>
    <row r="231">
      <c r="C231" s="128" t="n"/>
      <c r="H231" s="128" t="n"/>
      <c r="I231" s="128" t="n"/>
      <c r="M231" s="128" t="n"/>
      <c r="N231" s="128" t="n"/>
    </row>
    <row r="232">
      <c r="C232" s="128" t="n"/>
      <c r="H232" s="128" t="n"/>
      <c r="I232" s="128" t="n"/>
      <c r="M232" s="128" t="n"/>
      <c r="N232" s="128" t="n"/>
    </row>
    <row r="233">
      <c r="C233" s="128" t="n"/>
      <c r="H233" s="128" t="n"/>
      <c r="I233" s="128" t="n"/>
      <c r="M233" s="128" t="n"/>
      <c r="N233" s="128" t="n"/>
    </row>
    <row r="234">
      <c r="C234" s="128" t="n"/>
      <c r="H234" s="128" t="n"/>
      <c r="I234" s="128" t="n"/>
      <c r="M234" s="128" t="n"/>
      <c r="N234" s="128" t="n"/>
    </row>
    <row r="235">
      <c r="C235" s="128" t="n"/>
      <c r="H235" s="128" t="n"/>
      <c r="I235" s="128" t="n"/>
      <c r="M235" s="128" t="n"/>
      <c r="N235" s="128" t="n"/>
    </row>
    <row r="236">
      <c r="C236" s="128" t="n"/>
      <c r="H236" s="128" t="n"/>
      <c r="I236" s="128" t="n"/>
      <c r="M236" s="128" t="n"/>
      <c r="N236" s="128" t="n"/>
    </row>
    <row r="237">
      <c r="C237" s="128" t="n"/>
      <c r="H237" s="128" t="n"/>
      <c r="I237" s="128" t="n"/>
      <c r="M237" s="128" t="n"/>
      <c r="N237" s="128" t="n"/>
    </row>
    <row r="238">
      <c r="C238" s="128" t="n"/>
      <c r="H238" s="128" t="n"/>
      <c r="I238" s="128" t="n"/>
      <c r="M238" s="128" t="n"/>
      <c r="N238" s="128" t="n"/>
    </row>
    <row r="239">
      <c r="C239" s="128" t="n"/>
      <c r="H239" s="128" t="n"/>
      <c r="I239" s="128" t="n"/>
      <c r="M239" s="128" t="n"/>
      <c r="N239" s="128" t="n"/>
    </row>
    <row r="240">
      <c r="C240" s="128" t="n"/>
      <c r="H240" s="128" t="n"/>
      <c r="I240" s="128" t="n"/>
      <c r="M240" s="128" t="n"/>
      <c r="N240" s="128" t="n"/>
    </row>
    <row r="241">
      <c r="C241" s="128" t="n"/>
      <c r="H241" s="128" t="n"/>
      <c r="I241" s="128" t="n"/>
      <c r="M241" s="128" t="n"/>
      <c r="N241" s="128" t="n"/>
    </row>
    <row r="242">
      <c r="C242" s="128" t="n"/>
      <c r="H242" s="128" t="n"/>
      <c r="I242" s="128" t="n"/>
      <c r="M242" s="128" t="n"/>
      <c r="N242" s="128" t="n"/>
    </row>
    <row r="243">
      <c r="C243" s="128" t="n"/>
      <c r="H243" s="128" t="n"/>
      <c r="I243" s="128" t="n"/>
      <c r="M243" s="128" t="n"/>
      <c r="N243" s="128" t="n"/>
    </row>
    <row r="244">
      <c r="C244" s="128" t="n"/>
      <c r="H244" s="128" t="n"/>
      <c r="I244" s="128" t="n"/>
      <c r="M244" s="128" t="n"/>
      <c r="N244" s="128" t="n"/>
    </row>
    <row r="245">
      <c r="C245" s="128" t="n"/>
      <c r="H245" s="128" t="n"/>
      <c r="I245" s="128" t="n"/>
      <c r="M245" s="128" t="n"/>
      <c r="N245" s="128" t="n"/>
    </row>
    <row r="246">
      <c r="C246" s="128" t="n"/>
      <c r="H246" s="128" t="n"/>
      <c r="I246" s="128" t="n"/>
      <c r="M246" s="128" t="n"/>
      <c r="N246" s="128" t="n"/>
    </row>
    <row r="247">
      <c r="C247" s="128" t="n"/>
      <c r="H247" s="128" t="n"/>
      <c r="I247" s="128" t="n"/>
      <c r="M247" s="128" t="n"/>
      <c r="N247" s="128" t="n"/>
    </row>
    <row r="248">
      <c r="C248" s="128" t="n"/>
      <c r="H248" s="128" t="n"/>
      <c r="I248" s="128" t="n"/>
      <c r="M248" s="128" t="n"/>
      <c r="N248" s="128" t="n"/>
    </row>
    <row r="249">
      <c r="C249" s="128" t="n"/>
      <c r="H249" s="128" t="n"/>
      <c r="I249" s="128" t="n"/>
      <c r="M249" s="128" t="n"/>
      <c r="N249" s="128" t="n"/>
    </row>
    <row r="250">
      <c r="C250" s="128" t="n"/>
      <c r="H250" s="128" t="n"/>
      <c r="I250" s="128" t="n"/>
      <c r="M250" s="128" t="n"/>
      <c r="N250" s="128" t="n"/>
    </row>
    <row r="251">
      <c r="C251" s="128" t="n"/>
      <c r="H251" s="128" t="n"/>
      <c r="I251" s="128" t="n"/>
      <c r="M251" s="128" t="n"/>
      <c r="N251" s="128" t="n"/>
    </row>
    <row r="252">
      <c r="C252" s="128" t="n"/>
      <c r="H252" s="128" t="n"/>
      <c r="I252" s="128" t="n"/>
      <c r="M252" s="128" t="n"/>
      <c r="N252" s="128" t="n"/>
    </row>
    <row r="253">
      <c r="C253" s="128" t="n"/>
      <c r="H253" s="128" t="n"/>
      <c r="I253" s="128" t="n"/>
      <c r="M253" s="128" t="n"/>
      <c r="N253" s="128" t="n"/>
    </row>
    <row r="254">
      <c r="C254" s="128" t="n"/>
      <c r="H254" s="128" t="n"/>
      <c r="I254" s="128" t="n"/>
      <c r="M254" s="128" t="n"/>
      <c r="N254" s="128" t="n"/>
    </row>
    <row r="255">
      <c r="C255" s="128" t="n"/>
      <c r="H255" s="128" t="n"/>
      <c r="I255" s="128" t="n"/>
      <c r="M255" s="128" t="n"/>
      <c r="N255" s="128" t="n"/>
    </row>
    <row r="256">
      <c r="C256" s="128" t="n"/>
      <c r="H256" s="128" t="n"/>
      <c r="I256" s="128" t="n"/>
      <c r="M256" s="128" t="n"/>
      <c r="N256" s="128" t="n"/>
    </row>
    <row r="257">
      <c r="C257" s="128" t="n"/>
      <c r="H257" s="128" t="n"/>
      <c r="I257" s="128" t="n"/>
      <c r="M257" s="128" t="n"/>
      <c r="N257" s="128" t="n"/>
    </row>
    <row r="258">
      <c r="C258" s="128" t="n"/>
      <c r="H258" s="128" t="n"/>
      <c r="I258" s="128" t="n"/>
      <c r="M258" s="128" t="n"/>
      <c r="N258" s="128" t="n"/>
    </row>
    <row r="259">
      <c r="C259" s="128" t="n"/>
      <c r="H259" s="128" t="n"/>
      <c r="I259" s="128" t="n"/>
      <c r="M259" s="128" t="n"/>
      <c r="N259" s="128" t="n"/>
    </row>
    <row r="260">
      <c r="C260" s="128" t="n"/>
      <c r="H260" s="128" t="n"/>
      <c r="I260" s="128" t="n"/>
      <c r="M260" s="128" t="n"/>
      <c r="N260" s="128" t="n"/>
    </row>
    <row r="261">
      <c r="C261" s="128" t="n"/>
      <c r="H261" s="128" t="n"/>
      <c r="I261" s="128" t="n"/>
      <c r="M261" s="128" t="n"/>
      <c r="N261" s="128" t="n"/>
    </row>
    <row r="262">
      <c r="C262" s="128" t="n"/>
      <c r="H262" s="128" t="n"/>
      <c r="I262" s="128" t="n"/>
      <c r="M262" s="128" t="n"/>
      <c r="N262" s="128" t="n"/>
    </row>
    <row r="263">
      <c r="C263" s="128" t="n"/>
      <c r="H263" s="128" t="n"/>
      <c r="I263" s="128" t="n"/>
      <c r="M263" s="128" t="n"/>
      <c r="N263" s="128" t="n"/>
    </row>
    <row r="264">
      <c r="C264" s="128" t="n"/>
      <c r="H264" s="128" t="n"/>
      <c r="I264" s="128" t="n"/>
      <c r="M264" s="128" t="n"/>
      <c r="N264" s="128" t="n"/>
    </row>
    <row r="265">
      <c r="C265" s="128" t="n"/>
      <c r="H265" s="128" t="n"/>
      <c r="I265" s="128" t="n"/>
      <c r="M265" s="128" t="n"/>
      <c r="N265" s="128" t="n"/>
    </row>
    <row r="266">
      <c r="C266" s="128" t="n"/>
      <c r="H266" s="128" t="n"/>
      <c r="I266" s="128" t="n"/>
      <c r="M266" s="128" t="n"/>
      <c r="N266" s="128" t="n"/>
    </row>
    <row r="267">
      <c r="C267" s="128" t="n"/>
      <c r="H267" s="128" t="n"/>
      <c r="I267" s="128" t="n"/>
      <c r="M267" s="128" t="n"/>
      <c r="N267" s="128" t="n"/>
    </row>
    <row r="268">
      <c r="C268" s="128" t="n"/>
      <c r="H268" s="128" t="n"/>
      <c r="I268" s="128" t="n"/>
    </row>
    <row r="269">
      <c r="C269" s="128" t="n"/>
      <c r="H269" s="128" t="n"/>
      <c r="I269" s="128" t="n"/>
    </row>
    <row r="270">
      <c r="C270" s="128" t="n"/>
      <c r="H270" s="128" t="n"/>
      <c r="I270" s="128" t="n"/>
    </row>
    <row r="271">
      <c r="C271" s="128" t="n"/>
      <c r="H271" s="128" t="n"/>
      <c r="I271" s="128" t="n"/>
    </row>
    <row r="272">
      <c r="C272" s="128" t="n"/>
      <c r="H272" s="128" t="n"/>
      <c r="I272" s="128" t="n"/>
    </row>
    <row r="273">
      <c r="C273" s="128" t="n"/>
      <c r="H273" s="128" t="n"/>
      <c r="I273" s="128" t="n"/>
    </row>
    <row r="274">
      <c r="C274" s="128" t="n"/>
      <c r="H274" s="128" t="n"/>
      <c r="I274" s="128" t="n"/>
    </row>
    <row r="275">
      <c r="C275" s="128" t="n"/>
      <c r="H275" s="128" t="n"/>
      <c r="I275" s="128" t="n"/>
    </row>
    <row r="276">
      <c r="C276" s="128" t="n"/>
      <c r="H276" s="128" t="n"/>
      <c r="I276" s="128" t="n"/>
    </row>
    <row r="277">
      <c r="C277" s="128" t="n"/>
      <c r="H277" s="128" t="n"/>
      <c r="I277" s="128" t="n"/>
    </row>
    <row r="278">
      <c r="C278" s="128" t="n"/>
      <c r="H278" s="128" t="n"/>
      <c r="I278" s="128" t="n"/>
    </row>
    <row r="279">
      <c r="C279" s="128" t="n"/>
      <c r="H279" s="128" t="n"/>
      <c r="I279" s="128" t="n"/>
    </row>
    <row r="280">
      <c r="C280" s="128" t="n"/>
      <c r="H280" s="128" t="n"/>
      <c r="I280" s="128" t="n"/>
    </row>
    <row r="281">
      <c r="C281" s="128" t="n"/>
      <c r="H281" s="128" t="n"/>
      <c r="I281" s="128" t="n"/>
    </row>
    <row r="282">
      <c r="C282" s="128" t="n"/>
      <c r="H282" s="128" t="n"/>
      <c r="I282" s="128" t="n"/>
    </row>
    <row r="283">
      <c r="C283" s="128" t="n"/>
      <c r="H283" s="128" t="n"/>
      <c r="I283" s="128" t="n"/>
    </row>
    <row r="284">
      <c r="C284" s="128" t="n"/>
      <c r="H284" s="128" t="n"/>
      <c r="I284" s="128" t="n"/>
    </row>
    <row r="285">
      <c r="C285" s="128" t="n"/>
      <c r="H285" s="128" t="n"/>
      <c r="I285" s="128" t="n"/>
    </row>
    <row r="286">
      <c r="C286" s="128" t="n"/>
      <c r="H286" s="128" t="n"/>
      <c r="I286" s="128" t="n"/>
    </row>
    <row r="287">
      <c r="C287" s="128" t="n"/>
      <c r="H287" s="128" t="n"/>
      <c r="I287" s="128" t="n"/>
    </row>
    <row r="288">
      <c r="C288" s="128" t="n"/>
      <c r="H288" s="128" t="n"/>
      <c r="I288" s="128" t="n"/>
    </row>
    <row r="289">
      <c r="C289" s="128" t="n"/>
      <c r="H289" s="128" t="n"/>
      <c r="I289" s="128" t="n"/>
    </row>
    <row r="290">
      <c r="C290" s="128" t="n"/>
      <c r="H290" s="128" t="n"/>
      <c r="I290" s="128" t="n"/>
    </row>
    <row r="291">
      <c r="C291" s="128" t="n"/>
      <c r="H291" s="128" t="n"/>
      <c r="I291" s="128" t="n"/>
    </row>
    <row r="292">
      <c r="C292" s="128" t="n"/>
      <c r="H292" s="128" t="n"/>
      <c r="I292" s="128" t="n"/>
    </row>
    <row r="293">
      <c r="C293" s="128" t="n"/>
      <c r="H293" s="128" t="n"/>
      <c r="I293" s="128" t="n"/>
    </row>
    <row r="294">
      <c r="C294" s="128" t="n"/>
      <c r="H294" s="128" t="n"/>
      <c r="I294" s="128" t="n"/>
    </row>
    <row r="295">
      <c r="C295" s="128" t="n"/>
      <c r="H295" s="128" t="n"/>
      <c r="I295" s="128" t="n"/>
    </row>
    <row r="296">
      <c r="C296" s="128" t="n"/>
      <c r="H296" s="128" t="n"/>
      <c r="I296" s="128" t="n"/>
    </row>
    <row r="297">
      <c r="C297" s="128" t="n"/>
      <c r="H297" s="128" t="n"/>
      <c r="I297" s="128" t="n"/>
    </row>
    <row r="298">
      <c r="C298" s="128" t="n"/>
      <c r="H298" s="128" t="n"/>
      <c r="I298" s="128" t="n"/>
    </row>
    <row r="299">
      <c r="C299" s="128" t="n"/>
      <c r="H299" s="128" t="n"/>
      <c r="I299" s="128" t="n"/>
    </row>
    <row r="300">
      <c r="C300" s="128" t="n"/>
      <c r="H300" s="128" t="n"/>
      <c r="I300" s="128" t="n"/>
    </row>
    <row r="301">
      <c r="C301" s="128" t="n"/>
      <c r="H301" s="128" t="n"/>
      <c r="I301" s="128" t="n"/>
    </row>
    <row r="302">
      <c r="C302" s="128" t="n"/>
      <c r="H302" s="128" t="n"/>
      <c r="I302" s="128" t="n"/>
    </row>
    <row r="303">
      <c r="C303" s="128" t="n"/>
      <c r="H303" s="128" t="n"/>
      <c r="I303" s="128" t="n"/>
    </row>
    <row r="304">
      <c r="C304" s="128" t="n"/>
      <c r="H304" s="128" t="n"/>
      <c r="I304" s="128" t="n"/>
    </row>
    <row r="305">
      <c r="C305" s="128" t="n"/>
      <c r="H305" s="128" t="n"/>
      <c r="I305" s="128" t="n"/>
    </row>
    <row r="306">
      <c r="C306" s="128" t="n"/>
      <c r="H306" s="128" t="n"/>
      <c r="I306" s="128" t="n"/>
    </row>
    <row r="307">
      <c r="C307" s="128" t="n"/>
      <c r="H307" s="128" t="n"/>
      <c r="I307" s="128" t="n"/>
    </row>
    <row r="308">
      <c r="C308" s="128" t="n"/>
      <c r="H308" s="128" t="n"/>
      <c r="I308" s="128" t="n"/>
    </row>
    <row r="309">
      <c r="C309" s="128" t="n"/>
      <c r="H309" s="128" t="n"/>
      <c r="I309" s="128" t="n"/>
    </row>
    <row r="310">
      <c r="C310" s="128" t="n"/>
      <c r="H310" s="128" t="n"/>
      <c r="I310" s="128" t="n"/>
    </row>
    <row r="311">
      <c r="C311" s="128" t="n"/>
      <c r="H311" s="128" t="n"/>
      <c r="I311" s="128" t="n"/>
    </row>
    <row r="312">
      <c r="C312" s="128" t="n"/>
      <c r="H312" s="128" t="n"/>
      <c r="I312" s="128" t="n"/>
    </row>
    <row r="313">
      <c r="C313" s="128" t="n"/>
      <c r="H313" s="128" t="n"/>
      <c r="I313" s="128" t="n"/>
    </row>
    <row r="314">
      <c r="C314" s="128" t="n"/>
      <c r="H314" s="128" t="n"/>
      <c r="I314" s="128" t="n"/>
    </row>
    <row r="315">
      <c r="C315" s="128" t="n"/>
      <c r="H315" s="128" t="n"/>
      <c r="I315" s="128" t="n"/>
    </row>
    <row r="316">
      <c r="C316" s="128" t="n"/>
      <c r="H316" s="128" t="n"/>
      <c r="I316" s="128" t="n"/>
    </row>
    <row r="317">
      <c r="C317" s="128" t="n"/>
      <c r="H317" s="128" t="n"/>
      <c r="I317" s="128" t="n"/>
    </row>
    <row r="318">
      <c r="C318" s="128" t="n"/>
      <c r="H318" s="128" t="n"/>
      <c r="I318" s="128" t="n"/>
    </row>
    <row r="319">
      <c r="C319" s="128" t="n"/>
      <c r="H319" s="128" t="n"/>
      <c r="I319" s="128" t="n"/>
    </row>
    <row r="320">
      <c r="C320" s="128" t="n"/>
      <c r="H320" s="128" t="n"/>
      <c r="I320" s="128" t="n"/>
    </row>
    <row r="321">
      <c r="C321" s="128" t="n"/>
      <c r="H321" s="128" t="n"/>
      <c r="I321" s="128" t="n"/>
    </row>
    <row r="322">
      <c r="C322" s="128" t="n"/>
      <c r="H322" s="128" t="n"/>
      <c r="I322" s="128" t="n"/>
    </row>
    <row r="323">
      <c r="C323" s="128" t="n"/>
      <c r="H323" s="128" t="n"/>
      <c r="I323" s="128" t="n"/>
    </row>
    <row r="324">
      <c r="C324" s="128" t="n"/>
      <c r="H324" s="128" t="n"/>
      <c r="I324" s="128" t="n"/>
    </row>
  </sheetData>
  <printOptions horizontalCentered="1" verticalCentered="1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L21"/>
  <sheetViews>
    <sheetView zoomScaleNormal="100" workbookViewId="0">
      <selection activeCell="C22" sqref="C22"/>
    </sheetView>
  </sheetViews>
  <sheetFormatPr baseColWidth="10" defaultColWidth="10.6640625" defaultRowHeight="13"/>
  <cols>
    <col width="25.33203125" customWidth="1" style="128" min="2" max="2"/>
  </cols>
  <sheetData>
    <row r="7" ht="21" customHeight="1" s="1">
      <c r="B7" s="286" t="inlineStr">
        <is>
          <t>Annual Subscription</t>
        </is>
      </c>
      <c r="C7" s="64" t="n"/>
    </row>
    <row r="8" ht="13.5" customHeight="1" s="1">
      <c r="B8" s="251" t="inlineStr">
        <is>
          <t>Zoho</t>
        </is>
      </c>
      <c r="C8" s="2" t="inlineStr">
        <is>
          <t xml:space="preserve"> </t>
        </is>
      </c>
    </row>
    <row r="9" ht="13.5" customHeight="1" s="1">
      <c r="B9" s="251" t="inlineStr">
        <is>
          <t>Search Atlas</t>
        </is>
      </c>
      <c r="C9" s="2" t="n"/>
    </row>
    <row r="10" ht="18" customHeight="1" s="1">
      <c r="B10" s="287" t="inlineStr">
        <is>
          <t xml:space="preserve"> </t>
        </is>
      </c>
      <c r="C10" s="65" t="inlineStr">
        <is>
          <t xml:space="preserve"> </t>
        </is>
      </c>
      <c r="D10" s="49" t="n"/>
    </row>
    <row r="11" ht="18" customHeight="1" s="1">
      <c r="B11" s="287" t="inlineStr">
        <is>
          <t>Canva</t>
        </is>
      </c>
      <c r="C11" s="65" t="n">
        <v>120</v>
      </c>
      <c r="D11" s="49" t="n"/>
    </row>
    <row r="12" ht="18" customHeight="1" s="1">
      <c r="B12" s="287" t="inlineStr">
        <is>
          <t>Hightail</t>
        </is>
      </c>
      <c r="C12" s="65" t="n">
        <v>180</v>
      </c>
      <c r="D12" s="49" t="n"/>
      <c r="L12" s="4" t="inlineStr">
        <is>
          <t xml:space="preserve"> </t>
        </is>
      </c>
    </row>
    <row r="13" ht="18" customHeight="1" s="1">
      <c r="B13" s="287" t="inlineStr">
        <is>
          <t>Zoom</t>
        </is>
      </c>
      <c r="C13" s="65" t="n">
        <v>160</v>
      </c>
      <c r="D13" s="49" t="n"/>
    </row>
    <row r="14" ht="18" customHeight="1" s="1">
      <c r="B14" s="287" t="inlineStr">
        <is>
          <t>Masterclass</t>
        </is>
      </c>
      <c r="C14" s="65" t="n">
        <v>180</v>
      </c>
      <c r="D14" s="49" t="n"/>
    </row>
    <row r="15" ht="18" customHeight="1" s="1">
      <c r="B15" s="287" t="inlineStr">
        <is>
          <t>Headspace</t>
        </is>
      </c>
      <c r="C15" s="65" t="n">
        <v>72</v>
      </c>
      <c r="D15" s="49" t="n"/>
    </row>
    <row r="16" ht="18" customHeight="1" s="1">
      <c r="B16" s="287" t="inlineStr">
        <is>
          <t>HBR</t>
        </is>
      </c>
      <c r="C16" s="65" t="n">
        <v>0</v>
      </c>
      <c r="D16" s="49" t="n"/>
    </row>
    <row r="17" ht="18" customHeight="1" s="1">
      <c r="B17" s="287" t="inlineStr">
        <is>
          <t>Yoast</t>
        </is>
      </c>
      <c r="C17" s="65" t="n">
        <v>0</v>
      </c>
      <c r="D17" s="49" t="n"/>
    </row>
    <row r="18" ht="18" customHeight="1" s="1">
      <c r="B18" s="287" t="inlineStr">
        <is>
          <t>Elementor</t>
        </is>
      </c>
      <c r="C18" s="65" t="n">
        <v>0</v>
      </c>
      <c r="D18" s="49" t="n"/>
    </row>
    <row r="19" ht="18" customHeight="1" s="1">
      <c r="B19" s="287" t="inlineStr">
        <is>
          <t>ISHC</t>
        </is>
      </c>
      <c r="C19" s="65" t="n">
        <v>1000</v>
      </c>
      <c r="D19" s="49" t="n"/>
    </row>
    <row r="20" ht="18" customHeight="1" s="1">
      <c r="B20" s="287" t="inlineStr">
        <is>
          <t>Clear</t>
        </is>
      </c>
      <c r="C20" s="65" t="n">
        <v>189</v>
      </c>
    </row>
    <row r="21" ht="18" customHeight="1" s="1">
      <c r="C21" s="380">
        <f>SUM(C8:C20)</f>
        <v/>
      </c>
      <c r="E21" s="381">
        <f>C21/12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topLeftCell="A24" zoomScaleNormal="100" workbookViewId="0">
      <selection activeCell="B48" sqref="B48"/>
    </sheetView>
  </sheetViews>
  <sheetFormatPr baseColWidth="10" defaultColWidth="10.6640625" defaultRowHeight="13"/>
  <cols>
    <col width="40" customWidth="1" style="127" min="1" max="1"/>
    <col width="13" customWidth="1" style="127" min="2" max="2"/>
    <col width="17" customWidth="1" style="127" min="3" max="3"/>
    <col width="43.83203125" bestFit="1" customWidth="1" style="127" min="4" max="4"/>
    <col width="10.6640625" customWidth="1" style="126" min="5" max="167"/>
  </cols>
  <sheetData>
    <row r="1" ht="15.75" customHeight="1" s="1">
      <c r="A1" s="357" t="inlineStr">
        <is>
          <t>Kate Burda | Personal Budget | Monthly View</t>
        </is>
      </c>
    </row>
    <row r="2" ht="16" customHeight="1" s="1">
      <c r="A2" s="311" t="inlineStr">
        <is>
          <t>Category</t>
        </is>
      </c>
      <c r="B2" s="311" t="inlineStr">
        <is>
          <t>Monthly ($)</t>
        </is>
      </c>
      <c r="C2" s="311" t="inlineStr">
        <is>
          <t>Annual ($)</t>
        </is>
      </c>
      <c r="D2" s="311" t="inlineStr">
        <is>
          <t>Notes</t>
        </is>
      </c>
    </row>
    <row r="3" ht="18" customHeight="1" s="1">
      <c r="A3" s="290" t="n"/>
      <c r="B3" s="290" t="n"/>
      <c r="C3" s="290" t="n"/>
      <c r="D3" s="290" t="n"/>
    </row>
    <row r="4" ht="16" customHeight="1" s="1">
      <c r="A4" s="312" t="inlineStr">
        <is>
          <t>INCOME</t>
        </is>
      </c>
      <c r="B4" s="312" t="n"/>
      <c r="C4" s="312" t="n"/>
      <c r="D4" s="312" t="n"/>
    </row>
    <row r="5" ht="12.75" customHeight="1" s="1">
      <c r="A5" s="141" t="inlineStr">
        <is>
          <t>Kate Salary (gross)</t>
        </is>
      </c>
      <c r="B5" s="382" t="n">
        <v>7000</v>
      </c>
      <c r="C5" s="314">
        <f>B5*'Kate Co Breakdown'!I5</f>
        <v/>
      </c>
      <c r="D5" s="141" t="inlineStr">
        <is>
          <t>Before 15% tax</t>
        </is>
      </c>
    </row>
    <row r="6" ht="16" customHeight="1" s="1">
      <c r="A6" s="141" t="inlineStr">
        <is>
          <t>Less: Tax (15%)</t>
        </is>
      </c>
      <c r="B6" s="142" t="n">
        <v>0</v>
      </c>
      <c r="C6" s="314">
        <f>B6*'Kate Co Breakdown'!$I$5</f>
        <v/>
      </c>
      <c r="D6" s="315" t="n"/>
    </row>
    <row r="7" ht="16" customHeight="1" s="1">
      <c r="A7" s="141" t="inlineStr">
        <is>
          <t>Chicago Net (income)</t>
        </is>
      </c>
      <c r="B7" s="142">
        <f>Chicago!F11</f>
        <v/>
      </c>
      <c r="C7" s="316">
        <f>B7*'Kate Co Breakdown'!$I$5</f>
        <v/>
      </c>
      <c r="D7" s="141" t="inlineStr">
        <is>
          <t>Rent $2,400 less mortgage/assoc/cable</t>
        </is>
      </c>
    </row>
    <row r="8" ht="16" customHeight="1" s="1">
      <c r="A8" s="317" t="inlineStr">
        <is>
          <t>TOTAL MONTHLY INCOME (take-home)</t>
        </is>
      </c>
      <c r="B8" s="383">
        <f>B5+B6+B7</f>
        <v/>
      </c>
      <c r="C8" s="330">
        <f>B8*'Kate Co Breakdown'!$I$5</f>
        <v/>
      </c>
      <c r="D8" s="317" t="n"/>
    </row>
    <row r="9" ht="16" customHeight="1" s="1">
      <c r="A9" s="290" t="n"/>
      <c r="B9" s="290" t="n"/>
      <c r="C9" s="320" t="n"/>
      <c r="D9" s="290" t="n"/>
    </row>
    <row r="10" ht="16" customHeight="1" s="1">
      <c r="A10" s="312" t="inlineStr">
        <is>
          <t>FIXED MONTHLY EXPENSES</t>
        </is>
      </c>
      <c r="B10" s="312" t="n"/>
      <c r="C10" s="321" t="n"/>
      <c r="D10" s="312" t="n"/>
    </row>
    <row r="11" ht="16" customHeight="1" s="1">
      <c r="A11" s="141" t="inlineStr">
        <is>
          <t>Health Insurance (starts July 2026)</t>
        </is>
      </c>
      <c r="B11" s="142">
        <f>Breakdown!D6</f>
        <v/>
      </c>
      <c r="C11" s="314">
        <f>B11*'Kate Co Breakdown'!$I$5</f>
        <v/>
      </c>
      <c r="D11" s="141" t="inlineStr">
        <is>
          <t xml:space="preserve"> </t>
        </is>
      </c>
    </row>
    <row r="12" ht="16" customHeight="1" s="1">
      <c r="A12" s="141" t="inlineStr">
        <is>
          <t>Mercedes (Ally)</t>
        </is>
      </c>
      <c r="B12" s="142">
        <f>Breakdown!D12</f>
        <v/>
      </c>
      <c r="C12" s="314">
        <f>B12*'Kate Co Breakdown'!$I$5</f>
        <v/>
      </c>
      <c r="D12" s="141" t="inlineStr">
        <is>
          <t>Car note</t>
        </is>
      </c>
    </row>
    <row r="13" ht="16" customHeight="1" s="1">
      <c r="A13" s="141" t="inlineStr">
        <is>
          <t>State Farm Insurance</t>
        </is>
      </c>
      <c r="B13" s="142">
        <f>'Monthly Spending'!H33</f>
        <v/>
      </c>
      <c r="C13" s="314">
        <f>B13*'Kate Co Breakdown'!$I$5</f>
        <v/>
      </c>
      <c r="D13" s="141" t="inlineStr">
        <is>
          <t>Audi, Mercedes, Dallas home, personal</t>
        </is>
      </c>
    </row>
    <row r="14" ht="16" customHeight="1" s="1">
      <c r="A14" s="141" t="inlineStr">
        <is>
          <t>Home Security (Alert 360)</t>
        </is>
      </c>
      <c r="B14" s="142">
        <f>Breakdown!D16</f>
        <v/>
      </c>
      <c r="C14" s="316">
        <f>B14*'Kate Co Breakdown'!$I$5</f>
        <v/>
      </c>
      <c r="D14" s="322" t="n"/>
    </row>
    <row r="15" ht="16" customHeight="1" s="1">
      <c r="A15" s="141" t="inlineStr">
        <is>
          <t>Northwestern Mutual</t>
        </is>
      </c>
      <c r="B15" s="142">
        <f>Breakdown!D18</f>
        <v/>
      </c>
      <c r="C15" s="314">
        <f>B15*'Kate Co Breakdown'!$I$5</f>
        <v/>
      </c>
      <c r="D15" s="315" t="n"/>
    </row>
    <row r="16" ht="16" customHeight="1" s="1">
      <c r="A16" s="141" t="inlineStr">
        <is>
          <t>Scottsdale Net (deficit)</t>
        </is>
      </c>
      <c r="B16" s="142">
        <f>-(Scottsdale!F12)</f>
        <v/>
      </c>
      <c r="C16" s="314">
        <f>B16*'Kate Co Breakdown'!$I$5</f>
        <v/>
      </c>
      <c r="D16" s="323" t="inlineStr">
        <is>
          <t>Rent $3,500 less mortgage/HELOC/assoc</t>
        </is>
      </c>
    </row>
    <row r="17" ht="16" customHeight="1" s="1">
      <c r="A17" s="317" t="inlineStr">
        <is>
          <t>TOTAL FIXED EXPENSES</t>
        </is>
      </c>
      <c r="B17" s="384">
        <f>B11+B12+B13+B14+B15+B16</f>
        <v/>
      </c>
      <c r="C17" s="325">
        <f>B17*'Kate Co Breakdown'!$I$5</f>
        <v/>
      </c>
      <c r="D17" s="317" t="n"/>
    </row>
    <row r="18" ht="16" customHeight="1" s="1">
      <c r="A18" s="139" t="n"/>
      <c r="B18" s="139" t="n"/>
      <c r="C18" s="326" t="n"/>
      <c r="D18" s="139" t="n"/>
    </row>
    <row r="19" ht="16" customHeight="1" s="1">
      <c r="A19" s="312" t="inlineStr">
        <is>
          <t>MONTHLY VARIABLE SPENDING</t>
        </is>
      </c>
      <c r="B19" s="312" t="n"/>
      <c r="C19" s="321" t="n"/>
      <c r="D19" s="312" t="n"/>
    </row>
    <row r="20" ht="16" customHeight="1" s="1">
      <c r="A20" s="141" t="inlineStr">
        <is>
          <t>Groceries</t>
        </is>
      </c>
      <c r="B20" s="142">
        <f>'Monthly Spending'!D9</f>
        <v/>
      </c>
      <c r="C20" s="314">
        <f>B20*'Kate Co Breakdown'!$I$5</f>
        <v/>
      </c>
      <c r="D20" s="315" t="n"/>
    </row>
    <row r="21" ht="16" customHeight="1" s="1">
      <c r="A21" s="141" t="inlineStr">
        <is>
          <t>Gas</t>
        </is>
      </c>
      <c r="B21" s="142">
        <f>'Monthly Spending'!D7</f>
        <v/>
      </c>
      <c r="C21" s="314">
        <f>B21*'Kate Co Breakdown'!$I$5</f>
        <v/>
      </c>
      <c r="D21" s="322" t="n"/>
    </row>
    <row r="22" ht="16" customHeight="1" s="1">
      <c r="A22" s="141" t="inlineStr">
        <is>
          <t>Dry Cleaning and Tailor</t>
        </is>
      </c>
      <c r="B22" s="142" t="n">
        <v>100</v>
      </c>
      <c r="C22" s="314">
        <f>B22*'Kate Co Breakdown'!$I$5</f>
        <v/>
      </c>
      <c r="D22" s="315" t="n"/>
    </row>
    <row r="23" ht="16" customHeight="1" s="1">
      <c r="A23" s="141" t="inlineStr">
        <is>
          <t>Apple</t>
        </is>
      </c>
      <c r="B23" s="142" t="n">
        <v>277</v>
      </c>
      <c r="C23" s="314">
        <f>B23*'Kate Co Breakdown'!$I$5</f>
        <v/>
      </c>
      <c r="D23" s="322" t="n"/>
    </row>
    <row r="24" ht="16" customHeight="1" s="1">
      <c r="A24" s="141" t="inlineStr">
        <is>
          <t>Orangetheory Fitness</t>
        </is>
      </c>
      <c r="B24" s="143" t="n">
        <v>110.09</v>
      </c>
      <c r="C24" s="316">
        <f>B24*'Kate Co Breakdown'!$I$5</f>
        <v/>
      </c>
      <c r="D24" s="323" t="inlineStr">
        <is>
          <t>Recurring, varies $109-110.09</t>
        </is>
      </c>
    </row>
    <row r="25" ht="16" customHeight="1" s="1">
      <c r="A25" s="141" t="inlineStr">
        <is>
          <t>Credit Pulse</t>
        </is>
      </c>
      <c r="B25" s="143" t="n">
        <v>19.99</v>
      </c>
      <c r="C25" s="316">
        <f>B25*'Kate Co Breakdown'!$I$5</f>
        <v/>
      </c>
      <c r="D25" s="322" t="n"/>
    </row>
    <row r="26" ht="16" customHeight="1" s="1">
      <c r="A26" s="327" t="inlineStr">
        <is>
          <t>Affirm XChair</t>
        </is>
      </c>
      <c r="B26" s="143" t="n">
        <v>76</v>
      </c>
      <c r="C26" s="314">
        <f>B26*'Kate Co Breakdown'!$I$5</f>
        <v/>
      </c>
      <c r="D26" s="322" t="n"/>
    </row>
    <row r="27" ht="16" customHeight="1" s="1">
      <c r="A27" s="327" t="inlineStr">
        <is>
          <t>Affirm Peloton</t>
        </is>
      </c>
      <c r="B27" s="143" t="n">
        <v>74</v>
      </c>
      <c r="C27" s="314">
        <f>B27*'Kate Co Breakdown'!$I$5</f>
        <v/>
      </c>
      <c r="D27" s="322" t="n"/>
    </row>
    <row r="28" ht="16" customHeight="1" s="1">
      <c r="A28" s="141" t="inlineStr">
        <is>
          <t>Zips Car Wash</t>
        </is>
      </c>
      <c r="B28" s="143" t="n">
        <v>22</v>
      </c>
      <c r="C28" s="314">
        <f>B28*'Kate Co Breakdown'!$I$5</f>
        <v/>
      </c>
      <c r="D28" s="323" t="inlineStr">
        <is>
          <t>Separate from existing Car Wash line; varies $17.99-26.84</t>
        </is>
      </c>
    </row>
    <row r="29" ht="16" customHeight="1" s="1">
      <c r="A29" s="141" t="inlineStr">
        <is>
          <t>Pool (maintenance supplies)</t>
        </is>
      </c>
      <c r="B29" s="142">
        <f>'Monthly Spending'!D15</f>
        <v/>
      </c>
      <c r="C29" s="314">
        <f>B29*'Kate Co Breakdown'!$I$5</f>
        <v/>
      </c>
      <c r="D29" s="322" t="n"/>
    </row>
    <row r="30" ht="16" customHeight="1" s="1">
      <c r="A30" s="141" t="inlineStr">
        <is>
          <t>Pierce (Dog)</t>
        </is>
      </c>
      <c r="B30" s="142">
        <f>'Monthly Spending'!D12</f>
        <v/>
      </c>
      <c r="C30" s="314">
        <f>B30*'Kate Co Breakdown'!$I$5</f>
        <v/>
      </c>
      <c r="D30" s="315" t="n"/>
    </row>
    <row r="31" ht="16" customHeight="1" s="1">
      <c r="A31" s="141" t="inlineStr">
        <is>
          <t>Nails</t>
        </is>
      </c>
      <c r="B31" s="142">
        <f>'Monthly Spending'!D13</f>
        <v/>
      </c>
      <c r="C31" s="314">
        <f>B31*'Kate Co Breakdown'!$I$5</f>
        <v/>
      </c>
      <c r="D31" s="323" t="inlineStr">
        <is>
          <t>Averaged $120 per 3 weeks</t>
        </is>
      </c>
    </row>
    <row r="32" ht="16" customHeight="1" s="1">
      <c r="A32" s="141" t="inlineStr">
        <is>
          <t>Personal Grooming</t>
        </is>
      </c>
      <c r="B32" s="142">
        <f>'Monthly Spending'!D14</f>
        <v/>
      </c>
      <c r="C32" s="316">
        <f>B32*'Kate Co Breakdown'!$I$5</f>
        <v/>
      </c>
      <c r="D32" s="323" t="inlineStr">
        <is>
          <t>Amortized: Dr. Perez x4, haircut x7, face</t>
        </is>
      </c>
    </row>
    <row r="33" ht="16" customHeight="1" s="1">
      <c r="A33" s="141" t="inlineStr">
        <is>
          <t>Doc / Medical</t>
        </is>
      </c>
      <c r="B33" s="142">
        <f>'Monthly Spending'!D8</f>
        <v/>
      </c>
      <c r="C33" s="314">
        <f>B33*'Kate Co Breakdown'!$I$5</f>
        <v/>
      </c>
      <c r="D33" s="322" t="n"/>
    </row>
    <row r="34" ht="16" customHeight="1" s="1">
      <c r="A34" s="141" t="inlineStr">
        <is>
          <t>Ro Health (weight loss)</t>
        </is>
      </c>
      <c r="B34" s="142" t="n">
        <v>297</v>
      </c>
      <c r="C34" s="314">
        <f>B34*'Kate Co Breakdown'!$I$5</f>
        <v/>
      </c>
      <c r="D34" s="323" t="inlineStr">
        <is>
          <t>Active</t>
        </is>
      </c>
    </row>
    <row r="35" ht="16" customHeight="1" s="1">
      <c r="A35" s="141" t="inlineStr">
        <is>
          <t xml:space="preserve"> </t>
        </is>
      </c>
      <c r="B35" s="142" t="n">
        <v>0</v>
      </c>
      <c r="C35" s="314">
        <f>B35*'Kate Co Breakdown'!$I$5</f>
        <v/>
      </c>
      <c r="D35" s="323" t="inlineStr">
        <is>
          <t xml:space="preserve"> </t>
        </is>
      </c>
    </row>
    <row r="36" ht="16" customHeight="1" s="1">
      <c r="A36" s="317" t="inlineStr">
        <is>
          <t>TOTAL VARIABLE SPENDING</t>
        </is>
      </c>
      <c r="B36" s="328" t="n">
        <v>2944.75</v>
      </c>
      <c r="C36" s="325">
        <f>B36*'Kate Co Breakdown'!$I$5</f>
        <v/>
      </c>
      <c r="D36" s="329" t="n"/>
    </row>
    <row r="37" ht="16" customHeight="1" s="1">
      <c r="A37" s="290" t="n"/>
      <c r="B37" s="290" t="n"/>
      <c r="C37" s="290" t="n"/>
      <c r="D37" s="290" t="n"/>
    </row>
    <row r="38" ht="16" customHeight="1" s="1">
      <c r="A38" s="312" t="inlineStr">
        <is>
          <t>PERSONAL SUBSCRIPTIONS (monthly)</t>
        </is>
      </c>
      <c r="B38" s="312" t="n"/>
      <c r="C38" s="312" t="n"/>
      <c r="D38" s="312" t="n"/>
    </row>
    <row r="39" ht="16" customHeight="1" s="1">
      <c r="A39" s="141" t="inlineStr">
        <is>
          <t>Apple (total)</t>
        </is>
      </c>
      <c r="B39" s="142">
        <f>'Monthly Spending'!H16</f>
        <v/>
      </c>
      <c r="C39" s="316">
        <f>B39*'Kate Co Breakdown'!$I$5</f>
        <v/>
      </c>
      <c r="D39" s="141" t="inlineStr">
        <is>
          <t>TV $12.99, Storage $4.32, Other $2.99, Prime $9.73</t>
        </is>
      </c>
    </row>
    <row r="40" ht="16" customHeight="1" s="1">
      <c r="A40" s="141" t="inlineStr">
        <is>
          <t>Audible</t>
        </is>
      </c>
      <c r="B40" s="142">
        <f>'Monthly Spending'!H17</f>
        <v/>
      </c>
      <c r="C40" s="316">
        <f>B40*'Kate Co Breakdown'!$I$5</f>
        <v/>
      </c>
      <c r="D40" s="322" t="n"/>
    </row>
    <row r="41" ht="16" customHeight="1" s="1">
      <c r="A41" s="141" t="inlineStr">
        <is>
          <t>Peacock</t>
        </is>
      </c>
      <c r="B41" s="142">
        <f>'Monthly Spending'!H19</f>
        <v/>
      </c>
      <c r="C41" s="316">
        <f>B41*'Kate Co Breakdown'!$I$5</f>
        <v/>
      </c>
      <c r="D41" s="315" t="n"/>
    </row>
    <row r="42" ht="16" customHeight="1" s="1">
      <c r="A42" s="141" t="inlineStr">
        <is>
          <t>Fubo</t>
        </is>
      </c>
      <c r="B42" s="142">
        <f>'Monthly Spending'!H20</f>
        <v/>
      </c>
      <c r="C42" s="316">
        <f>B42*'Kate Co Breakdown'!$I$5</f>
        <v/>
      </c>
      <c r="D42" s="322" t="n"/>
    </row>
    <row r="43" ht="16" customHeight="1" s="1">
      <c r="A43" s="141" t="inlineStr">
        <is>
          <t>Paramount</t>
        </is>
      </c>
      <c r="B43" s="142">
        <f>'Monthly Spending'!H21</f>
        <v/>
      </c>
      <c r="C43" s="316">
        <f>B43*'Kate Co Breakdown'!$I$5</f>
        <v/>
      </c>
      <c r="D43" s="315" t="n"/>
    </row>
    <row r="44" ht="16" customHeight="1" s="1">
      <c r="A44" s="141" t="inlineStr">
        <is>
          <t>Lifetime (gym)</t>
        </is>
      </c>
      <c r="B44" s="142">
        <f>'Monthly Spending'!H22</f>
        <v/>
      </c>
      <c r="C44" s="316">
        <f>B44*'Kate Co Breakdown'!$I$5</f>
        <v/>
      </c>
      <c r="D44" s="322" t="n"/>
    </row>
    <row r="45" ht="16" customHeight="1" s="1">
      <c r="A45" s="141" t="inlineStr">
        <is>
          <t>Netflix</t>
        </is>
      </c>
      <c r="B45" s="142">
        <f>'Monthly Spending'!H23</f>
        <v/>
      </c>
      <c r="C45" s="316">
        <f>B45*'Kate Co Breakdown'!$I$5</f>
        <v/>
      </c>
      <c r="D45" s="315" t="n"/>
    </row>
    <row r="46" ht="16" customHeight="1" s="1">
      <c r="A46" s="141" t="inlineStr">
        <is>
          <t>Spotify</t>
        </is>
      </c>
      <c r="B46" s="142">
        <f>'Monthly Spending'!H24</f>
        <v/>
      </c>
      <c r="C46" s="316">
        <f>B46*'Kate Co Breakdown'!$I$5</f>
        <v/>
      </c>
      <c r="D46" s="322" t="n"/>
    </row>
    <row r="47" ht="16" customHeight="1" s="1">
      <c r="A47" s="141" t="inlineStr">
        <is>
          <t>Hulu</t>
        </is>
      </c>
      <c r="B47" s="142">
        <f>'Monthly Spending'!H25</f>
        <v/>
      </c>
      <c r="C47" s="316">
        <f>B47*'Kate Co Breakdown'!$I$5</f>
        <v/>
      </c>
      <c r="D47" s="315" t="n"/>
    </row>
    <row r="48" ht="16" customHeight="1" s="1">
      <c r="A48" s="317" t="inlineStr">
        <is>
          <t>TOTAL SUBSCRIPTIONS</t>
        </is>
      </c>
      <c r="B48" s="319">
        <f>SUM(B39:B47)</f>
        <v/>
      </c>
      <c r="C48" s="337">
        <f>B48*'Kate Co Breakdown'!$I$5</f>
        <v/>
      </c>
      <c r="D48" s="317" t="n"/>
    </row>
    <row r="49" ht="16" customHeight="1" s="1">
      <c r="A49" s="290" t="n"/>
      <c r="B49" s="290" t="n"/>
      <c r="C49" s="331" t="n"/>
      <c r="D49" s="290" t="n"/>
    </row>
    <row r="50" ht="16" customHeight="1" s="1">
      <c r="A50" s="312" t="inlineStr">
        <is>
          <t>SUMMARY</t>
        </is>
      </c>
      <c r="B50" s="312" t="n"/>
      <c r="C50" s="332" t="n"/>
      <c r="D50" s="312" t="n"/>
    </row>
    <row r="51" ht="16" customHeight="1" s="1">
      <c r="A51" s="141" t="inlineStr">
        <is>
          <t>Total Fixed Expenses</t>
        </is>
      </c>
      <c r="B51" s="316">
        <f>B17</f>
        <v/>
      </c>
      <c r="C51" s="316" t="n">
        <v>13950.4</v>
      </c>
      <c r="D51" s="322" t="n"/>
    </row>
    <row r="52" ht="16" customHeight="1" s="1">
      <c r="A52" s="141" t="inlineStr">
        <is>
          <t>Total Variable Spending</t>
        </is>
      </c>
      <c r="B52" s="316" t="n">
        <v>2944.75</v>
      </c>
      <c r="C52" s="316" t="n">
        <v>11779</v>
      </c>
      <c r="D52" s="315" t="n"/>
    </row>
    <row r="53" ht="15" customHeight="1" s="1">
      <c r="A53" s="141" t="inlineStr">
        <is>
          <t>Total Subscriptions</t>
        </is>
      </c>
      <c r="B53" s="316">
        <f>B48</f>
        <v/>
      </c>
      <c r="C53" s="316" t="n">
        <v>1369.08</v>
      </c>
      <c r="D53" s="322" t="n"/>
    </row>
    <row r="54" ht="33" customHeight="1" s="1">
      <c r="A54" s="317" t="inlineStr">
        <is>
          <t>TOTAL PERSONAL EXPENSES</t>
        </is>
      </c>
      <c r="B54" s="328">
        <f>SUM(B51:B53)</f>
        <v/>
      </c>
      <c r="C54" s="330" t="n">
        <v>27098.48</v>
      </c>
      <c r="D54" s="317" t="n"/>
    </row>
    <row r="55" ht="16" customHeight="1" s="1">
      <c r="A55" s="290" t="n"/>
      <c r="B55" s="290" t="n"/>
      <c r="C55" s="290" t="n"/>
      <c r="D55" s="290" t="n"/>
    </row>
    <row r="56" ht="34" customHeight="1" s="1">
      <c r="A56" s="333" t="inlineStr">
        <is>
          <t>MONTHLY RESIDUAL (income minus all personal expenses)</t>
        </is>
      </c>
      <c r="B56" s="334">
        <f>B8-B54</f>
        <v/>
      </c>
      <c r="C56" s="335" t="n">
        <v>5185.08</v>
      </c>
      <c r="D56" s="336" t="inlineStr">
        <is>
          <t>Yellow = needs attention if negative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5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9" sqref="B9"/>
    </sheetView>
  </sheetViews>
  <sheetFormatPr baseColWidth="10" defaultColWidth="10.6640625" defaultRowHeight="13"/>
  <cols>
    <col width="40" customWidth="1" style="1" min="1" max="1"/>
    <col width="13" customWidth="1" style="1" min="2" max="14"/>
    <col width="10.6640625" customWidth="1" style="1" min="15" max="42"/>
  </cols>
  <sheetData>
    <row r="2" ht="18" customHeight="1" s="1">
      <c r="A2" s="358" t="inlineStr">
        <is>
          <t>Kate Burda | Personal Cash Flow | 2027</t>
        </is>
      </c>
    </row>
    <row r="3" ht="16" customHeight="1" s="1">
      <c r="A3" s="135" t="n"/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</row>
    <row r="4" ht="12.75" customHeight="1" s="1">
      <c r="A4" s="136" t="n"/>
      <c r="B4" s="137" t="inlineStr">
        <is>
          <t>Jan</t>
        </is>
      </c>
      <c r="C4" s="137" t="inlineStr">
        <is>
          <t>Feb</t>
        </is>
      </c>
      <c r="D4" s="137" t="inlineStr">
        <is>
          <t>Mar</t>
        </is>
      </c>
      <c r="E4" s="137" t="inlineStr">
        <is>
          <t>Apr</t>
        </is>
      </c>
      <c r="F4" s="137" t="inlineStr">
        <is>
          <t>May</t>
        </is>
      </c>
      <c r="G4" s="137" t="inlineStr">
        <is>
          <t>Jun</t>
        </is>
      </c>
      <c r="H4" s="137" t="inlineStr">
        <is>
          <t>Jul</t>
        </is>
      </c>
      <c r="I4" s="137" t="inlineStr">
        <is>
          <t>Aug</t>
        </is>
      </c>
      <c r="J4" s="137" t="inlineStr">
        <is>
          <t>Sep</t>
        </is>
      </c>
      <c r="K4" s="138" t="inlineStr">
        <is>
          <t>Oct</t>
        </is>
      </c>
      <c r="L4" s="138" t="inlineStr">
        <is>
          <t>Nov</t>
        </is>
      </c>
      <c r="M4" s="138" t="inlineStr">
        <is>
          <t>Dec</t>
        </is>
      </c>
      <c r="N4" s="138" t="inlineStr">
        <is>
          <t>Annual</t>
        </is>
      </c>
    </row>
    <row r="5" ht="16" customHeight="1" s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</row>
    <row r="6" ht="16" customHeight="1" s="1">
      <c r="A6" s="140" t="inlineStr">
        <is>
          <t>PERSONAL INCOME</t>
        </is>
      </c>
      <c r="B6" s="140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</row>
    <row r="7" ht="16" customHeight="1" s="1">
      <c r="A7" s="141">
        <f>'Personal Budget Assumptions'!A5</f>
        <v/>
      </c>
      <c r="B7" s="142" t="n">
        <v>7000</v>
      </c>
      <c r="C7" s="142">
        <f>B7</f>
        <v/>
      </c>
      <c r="D7" s="142">
        <f>C7</f>
        <v/>
      </c>
      <c r="E7" s="142">
        <f>D7</f>
        <v/>
      </c>
      <c r="F7" s="142">
        <f>E7</f>
        <v/>
      </c>
      <c r="G7" s="142">
        <f>F7</f>
        <v/>
      </c>
      <c r="H7" s="142">
        <f>G7</f>
        <v/>
      </c>
      <c r="I7" s="142">
        <f>H7</f>
        <v/>
      </c>
      <c r="J7" s="142">
        <f>I7</f>
        <v/>
      </c>
      <c r="K7" s="142">
        <f>J7</f>
        <v/>
      </c>
      <c r="L7" s="142">
        <f>K7</f>
        <v/>
      </c>
      <c r="M7" s="142">
        <f>L7</f>
        <v/>
      </c>
      <c r="N7" s="143">
        <f>SUM(B7:M7)</f>
        <v/>
      </c>
    </row>
    <row r="8" ht="16" customHeight="1" s="1">
      <c r="A8" s="141">
        <f>'Personal Budget Assumptions'!A7</f>
        <v/>
      </c>
      <c r="B8" s="142">
        <f>'Personal Budget Assumptions'!B7</f>
        <v/>
      </c>
      <c r="C8" s="142">
        <f>B8</f>
        <v/>
      </c>
      <c r="D8" s="142">
        <f>C8</f>
        <v/>
      </c>
      <c r="E8" s="142">
        <f>D8</f>
        <v/>
      </c>
      <c r="F8" s="142">
        <f>E8</f>
        <v/>
      </c>
      <c r="G8" s="142">
        <f>F8</f>
        <v/>
      </c>
      <c r="H8" s="142">
        <f>G8</f>
        <v/>
      </c>
      <c r="I8" s="142">
        <f>H8</f>
        <v/>
      </c>
      <c r="J8" s="142">
        <f>I8</f>
        <v/>
      </c>
      <c r="K8" s="142">
        <f>J8</f>
        <v/>
      </c>
      <c r="L8" s="142">
        <f>K8</f>
        <v/>
      </c>
      <c r="M8" s="142">
        <f>L8</f>
        <v/>
      </c>
      <c r="N8" s="143">
        <f>SUM(B8:M8)</f>
        <v/>
      </c>
    </row>
    <row r="9" ht="16" customHeight="1" s="1">
      <c r="A9" s="144" t="inlineStr">
        <is>
          <t>TOTAL INCOME</t>
        </is>
      </c>
      <c r="B9" s="145">
        <f>SUM(B7:B8)</f>
        <v/>
      </c>
      <c r="C9" s="347">
        <f>B9</f>
        <v/>
      </c>
      <c r="D9" s="347">
        <f>C9</f>
        <v/>
      </c>
      <c r="E9" s="347">
        <f>D9</f>
        <v/>
      </c>
      <c r="F9" s="347">
        <f>E9</f>
        <v/>
      </c>
      <c r="G9" s="347">
        <f>F9</f>
        <v/>
      </c>
      <c r="H9" s="347">
        <f>G9</f>
        <v/>
      </c>
      <c r="I9" s="347">
        <f>H9</f>
        <v/>
      </c>
      <c r="J9" s="347">
        <f>I9</f>
        <v/>
      </c>
      <c r="K9" s="347">
        <f>J9</f>
        <v/>
      </c>
      <c r="L9" s="347">
        <f>K9</f>
        <v/>
      </c>
      <c r="M9" s="347">
        <f>L9</f>
        <v/>
      </c>
      <c r="N9" s="284">
        <f>SUM(B9:M9)</f>
        <v/>
      </c>
    </row>
    <row r="10" ht="16" customHeight="1" s="1">
      <c r="A10" s="139" t="n"/>
      <c r="B10" s="139" t="n"/>
      <c r="C10" s="348" t="inlineStr">
        <is>
          <t xml:space="preserve"> </t>
        </is>
      </c>
      <c r="D10" s="348" t="inlineStr">
        <is>
          <t xml:space="preserve"> </t>
        </is>
      </c>
      <c r="E10" s="348" t="inlineStr">
        <is>
          <t xml:space="preserve"> </t>
        </is>
      </c>
      <c r="F10" s="348" t="inlineStr">
        <is>
          <t xml:space="preserve"> </t>
        </is>
      </c>
      <c r="G10" s="348" t="inlineStr">
        <is>
          <t xml:space="preserve"> </t>
        </is>
      </c>
      <c r="H10" s="348" t="inlineStr">
        <is>
          <t xml:space="preserve"> </t>
        </is>
      </c>
      <c r="I10" s="348" t="inlineStr">
        <is>
          <t xml:space="preserve"> </t>
        </is>
      </c>
      <c r="J10" s="348" t="inlineStr">
        <is>
          <t xml:space="preserve"> </t>
        </is>
      </c>
      <c r="K10" s="348" t="inlineStr">
        <is>
          <t xml:space="preserve"> </t>
        </is>
      </c>
      <c r="L10" s="348" t="inlineStr">
        <is>
          <t xml:space="preserve"> </t>
        </is>
      </c>
      <c r="M10" s="348" t="inlineStr">
        <is>
          <t xml:space="preserve"> </t>
        </is>
      </c>
      <c r="N10" s="139" t="n"/>
    </row>
    <row r="11" ht="16" customHeight="1" s="1">
      <c r="A11" s="140" t="inlineStr">
        <is>
          <t>FIXED EXPENSES</t>
        </is>
      </c>
      <c r="B11" s="140" t="n"/>
      <c r="C11" s="346" t="inlineStr">
        <is>
          <t xml:space="preserve"> </t>
        </is>
      </c>
      <c r="D11" s="346" t="inlineStr">
        <is>
          <t xml:space="preserve"> </t>
        </is>
      </c>
      <c r="E11" s="346" t="inlineStr">
        <is>
          <t xml:space="preserve"> </t>
        </is>
      </c>
      <c r="F11" s="346" t="inlineStr">
        <is>
          <t xml:space="preserve"> </t>
        </is>
      </c>
      <c r="G11" s="346" t="inlineStr">
        <is>
          <t xml:space="preserve"> </t>
        </is>
      </c>
      <c r="H11" s="346" t="inlineStr">
        <is>
          <t xml:space="preserve"> </t>
        </is>
      </c>
      <c r="I11" s="346" t="inlineStr">
        <is>
          <t xml:space="preserve"> </t>
        </is>
      </c>
      <c r="J11" s="346" t="inlineStr">
        <is>
          <t xml:space="preserve"> </t>
        </is>
      </c>
      <c r="K11" s="346" t="inlineStr">
        <is>
          <t xml:space="preserve"> </t>
        </is>
      </c>
      <c r="L11" s="346" t="inlineStr">
        <is>
          <t xml:space="preserve"> </t>
        </is>
      </c>
      <c r="M11" s="346" t="inlineStr">
        <is>
          <t xml:space="preserve"> </t>
        </is>
      </c>
      <c r="N11" s="140" t="n"/>
    </row>
    <row r="12" ht="16" customHeight="1" s="1">
      <c r="A12" s="141">
        <f>'Personal Budget Assumptions'!A11</f>
        <v/>
      </c>
      <c r="B12" s="142">
        <f>'Personal Budget Assumptions'!B11</f>
        <v/>
      </c>
      <c r="C12" s="142">
        <f>B12</f>
        <v/>
      </c>
      <c r="D12" s="142">
        <f>C12</f>
        <v/>
      </c>
      <c r="E12" s="142">
        <f>D12</f>
        <v/>
      </c>
      <c r="F12" s="142">
        <f>E12</f>
        <v/>
      </c>
      <c r="G12" s="142">
        <f>F12</f>
        <v/>
      </c>
      <c r="H12" s="142">
        <f>G12</f>
        <v/>
      </c>
      <c r="I12" s="142">
        <f>H12</f>
        <v/>
      </c>
      <c r="J12" s="142">
        <f>I12</f>
        <v/>
      </c>
      <c r="K12" s="142">
        <f>J12</f>
        <v/>
      </c>
      <c r="L12" s="142">
        <f>K12</f>
        <v/>
      </c>
      <c r="M12" s="142">
        <f>L12</f>
        <v/>
      </c>
      <c r="N12" s="143">
        <f>SUM(B12:M12)</f>
        <v/>
      </c>
    </row>
    <row r="13" ht="16" customHeight="1" s="1">
      <c r="A13" s="141">
        <f>'Personal Budget Assumptions'!A12</f>
        <v/>
      </c>
      <c r="B13" s="142">
        <f>'Personal Budget Assumptions'!B12</f>
        <v/>
      </c>
      <c r="C13" s="142">
        <f>B13</f>
        <v/>
      </c>
      <c r="D13" s="142">
        <f>C13</f>
        <v/>
      </c>
      <c r="E13" s="142">
        <f>D13</f>
        <v/>
      </c>
      <c r="F13" s="142">
        <f>E13</f>
        <v/>
      </c>
      <c r="G13" s="142">
        <f>F13</f>
        <v/>
      </c>
      <c r="H13" s="142">
        <f>G13</f>
        <v/>
      </c>
      <c r="I13" s="142">
        <f>H13</f>
        <v/>
      </c>
      <c r="J13" s="142">
        <f>I13</f>
        <v/>
      </c>
      <c r="K13" s="142">
        <f>J13</f>
        <v/>
      </c>
      <c r="L13" s="142">
        <f>K13</f>
        <v/>
      </c>
      <c r="M13" s="142">
        <f>L13</f>
        <v/>
      </c>
      <c r="N13" s="143">
        <f>SUM(B13:M13)</f>
        <v/>
      </c>
    </row>
    <row r="14" ht="16" customHeight="1" s="1">
      <c r="A14" s="141">
        <f>'Personal Budget Assumptions'!A13</f>
        <v/>
      </c>
      <c r="B14" s="142">
        <f>'Personal Budget Assumptions'!B13</f>
        <v/>
      </c>
      <c r="C14" s="142">
        <f>B14</f>
        <v/>
      </c>
      <c r="D14" s="142">
        <f>C14</f>
        <v/>
      </c>
      <c r="E14" s="142">
        <f>D14</f>
        <v/>
      </c>
      <c r="F14" s="142">
        <f>E14</f>
        <v/>
      </c>
      <c r="G14" s="142">
        <f>F14</f>
        <v/>
      </c>
      <c r="H14" s="142">
        <f>G14</f>
        <v/>
      </c>
      <c r="I14" s="142">
        <f>H14</f>
        <v/>
      </c>
      <c r="J14" s="142">
        <f>I14</f>
        <v/>
      </c>
      <c r="K14" s="142">
        <f>J14</f>
        <v/>
      </c>
      <c r="L14" s="142">
        <f>K14</f>
        <v/>
      </c>
      <c r="M14" s="142">
        <f>L14</f>
        <v/>
      </c>
      <c r="N14" s="143">
        <f>SUM(B14:M14)</f>
        <v/>
      </c>
    </row>
    <row r="15" ht="16" customHeight="1" s="1">
      <c r="A15" s="141">
        <f>'Personal Budget Assumptions'!A14</f>
        <v/>
      </c>
      <c r="B15" s="142">
        <f>'Personal Budget Assumptions'!B14</f>
        <v/>
      </c>
      <c r="C15" s="142">
        <f>B15</f>
        <v/>
      </c>
      <c r="D15" s="142">
        <f>C15</f>
        <v/>
      </c>
      <c r="E15" s="142">
        <f>D15</f>
        <v/>
      </c>
      <c r="F15" s="142">
        <f>E15</f>
        <v/>
      </c>
      <c r="G15" s="142">
        <f>F15</f>
        <v/>
      </c>
      <c r="H15" s="142">
        <f>G15</f>
        <v/>
      </c>
      <c r="I15" s="142">
        <f>H15</f>
        <v/>
      </c>
      <c r="J15" s="142">
        <f>I15</f>
        <v/>
      </c>
      <c r="K15" s="142">
        <f>J15</f>
        <v/>
      </c>
      <c r="L15" s="142">
        <f>K15</f>
        <v/>
      </c>
      <c r="M15" s="142">
        <f>L15</f>
        <v/>
      </c>
      <c r="N15" s="143">
        <f>SUM(B15:M15)</f>
        <v/>
      </c>
    </row>
    <row r="16" ht="16" customHeight="1" s="1">
      <c r="A16" s="141">
        <f>'Personal Budget Assumptions'!A15</f>
        <v/>
      </c>
      <c r="B16" s="142">
        <f>'Personal Budget Assumptions'!B15</f>
        <v/>
      </c>
      <c r="C16" s="142">
        <f>B16</f>
        <v/>
      </c>
      <c r="D16" s="142">
        <f>C16</f>
        <v/>
      </c>
      <c r="E16" s="142">
        <f>D16</f>
        <v/>
      </c>
      <c r="F16" s="142">
        <f>E16</f>
        <v/>
      </c>
      <c r="G16" s="142">
        <f>F16</f>
        <v/>
      </c>
      <c r="H16" s="142">
        <f>G16</f>
        <v/>
      </c>
      <c r="I16" s="142">
        <f>H16</f>
        <v/>
      </c>
      <c r="J16" s="142">
        <f>I16</f>
        <v/>
      </c>
      <c r="K16" s="142">
        <f>J16</f>
        <v/>
      </c>
      <c r="L16" s="142">
        <f>K16</f>
        <v/>
      </c>
      <c r="M16" s="142">
        <f>L16</f>
        <v/>
      </c>
      <c r="N16" s="143">
        <f>SUM(B16:M16)</f>
        <v/>
      </c>
    </row>
    <row r="17" ht="16" customHeight="1" s="1">
      <c r="A17" s="141">
        <f>'Personal Budget Assumptions'!A16</f>
        <v/>
      </c>
      <c r="B17" s="142">
        <f>'Personal Budget Assumptions'!B16</f>
        <v/>
      </c>
      <c r="C17" s="142">
        <f>B17</f>
        <v/>
      </c>
      <c r="D17" s="142">
        <f>C17</f>
        <v/>
      </c>
      <c r="E17" s="142">
        <f>D17</f>
        <v/>
      </c>
      <c r="F17" s="142">
        <f>E17</f>
        <v/>
      </c>
      <c r="G17" s="142">
        <f>F17</f>
        <v/>
      </c>
      <c r="H17" s="142">
        <f>G17</f>
        <v/>
      </c>
      <c r="I17" s="142">
        <f>H17</f>
        <v/>
      </c>
      <c r="J17" s="142">
        <f>I17</f>
        <v/>
      </c>
      <c r="K17" s="142">
        <f>J17</f>
        <v/>
      </c>
      <c r="L17" s="142">
        <f>K17</f>
        <v/>
      </c>
      <c r="M17" s="142">
        <f>L17</f>
        <v/>
      </c>
      <c r="N17" s="143">
        <f>SUM(B17:M17)</f>
        <v/>
      </c>
    </row>
    <row r="18" ht="16" customHeight="1" s="1">
      <c r="A18" s="144" t="inlineStr">
        <is>
          <t>TOTAL FIXED</t>
        </is>
      </c>
      <c r="B18" s="145">
        <f>SUM(B12:B17)</f>
        <v/>
      </c>
      <c r="C18" s="347">
        <f>B18</f>
        <v/>
      </c>
      <c r="D18" s="347">
        <f>C18</f>
        <v/>
      </c>
      <c r="E18" s="347">
        <f>D18</f>
        <v/>
      </c>
      <c r="F18" s="347">
        <f>E18</f>
        <v/>
      </c>
      <c r="G18" s="347">
        <f>F18</f>
        <v/>
      </c>
      <c r="H18" s="347">
        <f>G18</f>
        <v/>
      </c>
      <c r="I18" s="347">
        <f>H18</f>
        <v/>
      </c>
      <c r="J18" s="347">
        <f>I18</f>
        <v/>
      </c>
      <c r="K18" s="347">
        <f>J18</f>
        <v/>
      </c>
      <c r="L18" s="347">
        <f>K18</f>
        <v/>
      </c>
      <c r="M18" s="347">
        <f>L18</f>
        <v/>
      </c>
      <c r="N18" s="146">
        <f>SUM(N12:N17)</f>
        <v/>
      </c>
    </row>
    <row r="19" ht="16" customHeight="1" s="1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</row>
    <row r="20" ht="16" customHeight="1" s="1">
      <c r="A20" s="140" t="inlineStr">
        <is>
          <t>VARIABLE SPENDING</t>
        </is>
      </c>
      <c r="B20" s="140" t="n"/>
      <c r="C20" s="140" t="n"/>
      <c r="D20" s="140" t="n"/>
      <c r="E20" s="140" t="n"/>
      <c r="F20" s="140" t="n"/>
      <c r="G20" s="140" t="n"/>
      <c r="H20" s="140" t="n"/>
      <c r="I20" s="140" t="n"/>
      <c r="J20" s="140" t="n"/>
      <c r="K20" s="140" t="n"/>
      <c r="L20" s="140" t="n"/>
      <c r="M20" s="140" t="n"/>
      <c r="N20" s="140" t="n"/>
    </row>
    <row r="21" ht="16" customHeight="1" s="1">
      <c r="A21" s="141">
        <f>'Personal Budget Assumptions'!A20</f>
        <v/>
      </c>
      <c r="B21" s="142">
        <f>'Personal Budget Assumptions'!B20</f>
        <v/>
      </c>
      <c r="C21" s="142">
        <f>B21</f>
        <v/>
      </c>
      <c r="D21" s="142">
        <f>C21</f>
        <v/>
      </c>
      <c r="E21" s="142">
        <f>D21</f>
        <v/>
      </c>
      <c r="F21" s="142">
        <f>E21</f>
        <v/>
      </c>
      <c r="G21" s="142">
        <f>F21</f>
        <v/>
      </c>
      <c r="H21" s="142">
        <f>G21</f>
        <v/>
      </c>
      <c r="I21" s="142">
        <f>H21</f>
        <v/>
      </c>
      <c r="J21" s="142">
        <f>I21</f>
        <v/>
      </c>
      <c r="K21" s="142">
        <f>J21</f>
        <v/>
      </c>
      <c r="L21" s="142">
        <f>K21</f>
        <v/>
      </c>
      <c r="M21" s="142">
        <f>L21</f>
        <v/>
      </c>
      <c r="N21" s="143">
        <f>SUM(B21:M21)</f>
        <v/>
      </c>
    </row>
    <row r="22" ht="16" customHeight="1" s="1">
      <c r="A22" s="141">
        <f>'Personal Budget Assumptions'!A21</f>
        <v/>
      </c>
      <c r="B22" s="142">
        <f>'Personal Budget Assumptions'!B21</f>
        <v/>
      </c>
      <c r="C22" s="142">
        <f>B22</f>
        <v/>
      </c>
      <c r="D22" s="142">
        <f>C22</f>
        <v/>
      </c>
      <c r="E22" s="142">
        <f>D22</f>
        <v/>
      </c>
      <c r="F22" s="142">
        <f>E22</f>
        <v/>
      </c>
      <c r="G22" s="142">
        <f>F22</f>
        <v/>
      </c>
      <c r="H22" s="142">
        <f>G22</f>
        <v/>
      </c>
      <c r="I22" s="142">
        <f>H22</f>
        <v/>
      </c>
      <c r="J22" s="142">
        <f>I22</f>
        <v/>
      </c>
      <c r="K22" s="142">
        <f>J22</f>
        <v/>
      </c>
      <c r="L22" s="142">
        <f>K22</f>
        <v/>
      </c>
      <c r="M22" s="142">
        <f>L22</f>
        <v/>
      </c>
      <c r="N22" s="143">
        <f>SUM(B22:M22)</f>
        <v/>
      </c>
    </row>
    <row r="23" ht="16" customHeight="1" s="1">
      <c r="A23" s="141">
        <f>'Personal Budget Assumptions'!A22</f>
        <v/>
      </c>
      <c r="B23" s="142">
        <f>'Personal Budget Assumptions'!B22</f>
        <v/>
      </c>
      <c r="C23" s="142">
        <f>B23</f>
        <v/>
      </c>
      <c r="D23" s="142">
        <f>C23</f>
        <v/>
      </c>
      <c r="E23" s="142">
        <f>D23</f>
        <v/>
      </c>
      <c r="F23" s="142">
        <f>E23</f>
        <v/>
      </c>
      <c r="G23" s="142">
        <f>F23</f>
        <v/>
      </c>
      <c r="H23" s="142">
        <f>G23</f>
        <v/>
      </c>
      <c r="I23" s="142">
        <f>H23</f>
        <v/>
      </c>
      <c r="J23" s="142">
        <f>I23</f>
        <v/>
      </c>
      <c r="K23" s="142">
        <f>J23</f>
        <v/>
      </c>
      <c r="L23" s="142">
        <f>K23</f>
        <v/>
      </c>
      <c r="M23" s="142">
        <f>L23</f>
        <v/>
      </c>
      <c r="N23" s="143">
        <f>SUM(B23:M23)</f>
        <v/>
      </c>
    </row>
    <row r="24" ht="16" customHeight="1" s="1">
      <c r="A24" s="141">
        <f>'Personal Budget Assumptions'!A23</f>
        <v/>
      </c>
      <c r="B24" s="142">
        <f>'Personal Budget Assumptions'!B23</f>
        <v/>
      </c>
      <c r="C24" s="142">
        <f>B24</f>
        <v/>
      </c>
      <c r="D24" s="142">
        <f>C24</f>
        <v/>
      </c>
      <c r="E24" s="142">
        <f>D24</f>
        <v/>
      </c>
      <c r="F24" s="142">
        <f>E24</f>
        <v/>
      </c>
      <c r="G24" s="142">
        <f>F24</f>
        <v/>
      </c>
      <c r="H24" s="142">
        <f>G24</f>
        <v/>
      </c>
      <c r="I24" s="142">
        <f>H24</f>
        <v/>
      </c>
      <c r="J24" s="142">
        <f>I24</f>
        <v/>
      </c>
      <c r="K24" s="142">
        <f>J24</f>
        <v/>
      </c>
      <c r="L24" s="142">
        <f>K24</f>
        <v/>
      </c>
      <c r="M24" s="142">
        <f>L24</f>
        <v/>
      </c>
      <c r="N24" s="143">
        <f>SUM(B24:M24)</f>
        <v/>
      </c>
    </row>
    <row r="25" ht="16" customHeight="1" s="1">
      <c r="A25" s="141">
        <f>'Personal Budget Assumptions'!A24</f>
        <v/>
      </c>
      <c r="B25" s="142">
        <f>'Personal Budget Assumptions'!B24</f>
        <v/>
      </c>
      <c r="C25" s="142">
        <f>B25</f>
        <v/>
      </c>
      <c r="D25" s="142">
        <f>C25</f>
        <v/>
      </c>
      <c r="E25" s="142">
        <f>D25</f>
        <v/>
      </c>
      <c r="F25" s="142">
        <f>E25</f>
        <v/>
      </c>
      <c r="G25" s="142">
        <f>F25</f>
        <v/>
      </c>
      <c r="H25" s="142">
        <f>G25</f>
        <v/>
      </c>
      <c r="I25" s="142">
        <f>H25</f>
        <v/>
      </c>
      <c r="J25" s="142">
        <f>I25</f>
        <v/>
      </c>
      <c r="K25" s="142">
        <f>J25</f>
        <v/>
      </c>
      <c r="L25" s="142">
        <f>K25</f>
        <v/>
      </c>
      <c r="M25" s="142">
        <f>L25</f>
        <v/>
      </c>
      <c r="N25" s="143">
        <f>SUM(B25:M25)</f>
        <v/>
      </c>
    </row>
    <row r="26" ht="16" customHeight="1" s="1">
      <c r="A26" s="141">
        <f>'Personal Budget Assumptions'!A25</f>
        <v/>
      </c>
      <c r="B26" s="142">
        <f>'Personal Budget Assumptions'!B25</f>
        <v/>
      </c>
      <c r="C26" s="142">
        <f>B26</f>
        <v/>
      </c>
      <c r="D26" s="142">
        <f>C26</f>
        <v/>
      </c>
      <c r="E26" s="142">
        <f>D26</f>
        <v/>
      </c>
      <c r="F26" s="142">
        <f>E26</f>
        <v/>
      </c>
      <c r="G26" s="142">
        <f>F26</f>
        <v/>
      </c>
      <c r="H26" s="142">
        <f>G26</f>
        <v/>
      </c>
      <c r="I26" s="142">
        <f>H26</f>
        <v/>
      </c>
      <c r="J26" s="142">
        <f>I26</f>
        <v/>
      </c>
      <c r="K26" s="142">
        <f>J26</f>
        <v/>
      </c>
      <c r="L26" s="142">
        <f>K26</f>
        <v/>
      </c>
      <c r="M26" s="142">
        <f>L26</f>
        <v/>
      </c>
      <c r="N26" s="143">
        <f>SUM(B26:M26)</f>
        <v/>
      </c>
    </row>
    <row r="27" ht="16" customHeight="1" s="1">
      <c r="A27" s="141">
        <f>'Personal Budget Assumptions'!A26</f>
        <v/>
      </c>
      <c r="B27" s="142">
        <f>'Personal Budget Assumptions'!B26</f>
        <v/>
      </c>
      <c r="C27" s="142">
        <f>B27</f>
        <v/>
      </c>
      <c r="D27" s="142">
        <f>C27</f>
        <v/>
      </c>
      <c r="E27" s="142">
        <f>D27</f>
        <v/>
      </c>
      <c r="F27" s="142">
        <f>E27</f>
        <v/>
      </c>
      <c r="G27" s="142">
        <f>F27</f>
        <v/>
      </c>
      <c r="H27" s="142">
        <f>G27</f>
        <v/>
      </c>
      <c r="I27" s="142" t="inlineStr">
        <is>
          <t xml:space="preserve"> </t>
        </is>
      </c>
      <c r="J27" s="142">
        <f>I27</f>
        <v/>
      </c>
      <c r="K27" s="142">
        <f>J27</f>
        <v/>
      </c>
      <c r="L27" s="142">
        <f>K27</f>
        <v/>
      </c>
      <c r="M27" s="142">
        <f>L27</f>
        <v/>
      </c>
      <c r="N27" s="143">
        <f>SUM(B27:M27)</f>
        <v/>
      </c>
    </row>
    <row r="28" ht="16" customHeight="1" s="1">
      <c r="A28" s="141">
        <f>'Personal Budget Assumptions'!A27</f>
        <v/>
      </c>
      <c r="B28" s="142">
        <f>'Personal Budget Assumptions'!B27</f>
        <v/>
      </c>
      <c r="C28" s="142">
        <f>B28</f>
        <v/>
      </c>
      <c r="D28" s="142">
        <f>C28</f>
        <v/>
      </c>
      <c r="E28" s="142">
        <f>D28</f>
        <v/>
      </c>
      <c r="F28" s="142">
        <f>E28</f>
        <v/>
      </c>
      <c r="G28" s="142">
        <f>F28</f>
        <v/>
      </c>
      <c r="H28" s="142">
        <f>G28</f>
        <v/>
      </c>
      <c r="I28" s="142">
        <f>H28</f>
        <v/>
      </c>
      <c r="J28" s="142">
        <f>I28</f>
        <v/>
      </c>
      <c r="K28" s="142">
        <f>J28</f>
        <v/>
      </c>
      <c r="L28" s="142">
        <f>K28</f>
        <v/>
      </c>
      <c r="M28" s="142">
        <f>L28</f>
        <v/>
      </c>
      <c r="N28" s="143">
        <f>SUM(B28:M28)</f>
        <v/>
      </c>
    </row>
    <row r="29" ht="16" customHeight="1" s="1">
      <c r="A29" s="141">
        <f>'Personal Budget Assumptions'!A28</f>
        <v/>
      </c>
      <c r="B29" s="142">
        <f>'Personal Budget Assumptions'!B28</f>
        <v/>
      </c>
      <c r="C29" s="142">
        <f>B29</f>
        <v/>
      </c>
      <c r="D29" s="142">
        <f>C29</f>
        <v/>
      </c>
      <c r="E29" s="142">
        <f>D29</f>
        <v/>
      </c>
      <c r="F29" s="142">
        <f>E29</f>
        <v/>
      </c>
      <c r="G29" s="142">
        <f>F29</f>
        <v/>
      </c>
      <c r="H29" s="142">
        <f>G29</f>
        <v/>
      </c>
      <c r="I29" s="142">
        <f>H29</f>
        <v/>
      </c>
      <c r="J29" s="142">
        <f>I29</f>
        <v/>
      </c>
      <c r="K29" s="142">
        <f>J29</f>
        <v/>
      </c>
      <c r="L29" s="142">
        <f>K29</f>
        <v/>
      </c>
      <c r="M29" s="142">
        <f>L29</f>
        <v/>
      </c>
      <c r="N29" s="143">
        <f>SUM(B29:M29)</f>
        <v/>
      </c>
    </row>
    <row r="30" ht="16" customHeight="1" s="1">
      <c r="A30" s="141">
        <f>'Personal Budget Assumptions'!A29</f>
        <v/>
      </c>
      <c r="B30" s="142">
        <f>'Personal Budget Assumptions'!B29</f>
        <v/>
      </c>
      <c r="C30" s="142">
        <f>B30</f>
        <v/>
      </c>
      <c r="D30" s="142">
        <f>C30</f>
        <v/>
      </c>
      <c r="E30" s="142">
        <f>D30</f>
        <v/>
      </c>
      <c r="F30" s="142">
        <f>E30</f>
        <v/>
      </c>
      <c r="G30" s="142">
        <f>F30</f>
        <v/>
      </c>
      <c r="H30" s="142">
        <f>G30</f>
        <v/>
      </c>
      <c r="I30" s="142">
        <f>H30</f>
        <v/>
      </c>
      <c r="J30" s="142">
        <f>I30</f>
        <v/>
      </c>
      <c r="K30" s="142">
        <f>J30</f>
        <v/>
      </c>
      <c r="L30" s="142">
        <f>K30</f>
        <v/>
      </c>
      <c r="M30" s="142">
        <f>L30</f>
        <v/>
      </c>
      <c r="N30" s="143">
        <f>SUM(B30:M30)</f>
        <v/>
      </c>
    </row>
    <row r="31" ht="16" customHeight="1" s="1">
      <c r="A31" s="141">
        <f>'Personal Budget Assumptions'!A30</f>
        <v/>
      </c>
      <c r="B31" s="142">
        <f>'Personal Budget Assumptions'!B30</f>
        <v/>
      </c>
      <c r="C31" s="142">
        <f>B31</f>
        <v/>
      </c>
      <c r="D31" s="142">
        <f>C31</f>
        <v/>
      </c>
      <c r="E31" s="142">
        <f>D31</f>
        <v/>
      </c>
      <c r="F31" s="142">
        <f>E31</f>
        <v/>
      </c>
      <c r="G31" s="142">
        <f>F31</f>
        <v/>
      </c>
      <c r="H31" s="142">
        <f>G31</f>
        <v/>
      </c>
      <c r="I31" s="142">
        <f>H31</f>
        <v/>
      </c>
      <c r="J31" s="142">
        <f>I31</f>
        <v/>
      </c>
      <c r="K31" s="142">
        <f>J31</f>
        <v/>
      </c>
      <c r="L31" s="142">
        <f>K31</f>
        <v/>
      </c>
      <c r="M31" s="142">
        <f>L31</f>
        <v/>
      </c>
      <c r="N31" s="143">
        <f>SUM(B31:M31)</f>
        <v/>
      </c>
    </row>
    <row r="32" ht="16" customHeight="1" s="1">
      <c r="A32" s="141">
        <f>'Personal Budget Assumptions'!A31</f>
        <v/>
      </c>
      <c r="B32" s="142">
        <f>'Personal Budget Assumptions'!B31</f>
        <v/>
      </c>
      <c r="C32" s="142">
        <f>B32</f>
        <v/>
      </c>
      <c r="D32" s="142">
        <f>C32</f>
        <v/>
      </c>
      <c r="E32" s="142">
        <f>D32</f>
        <v/>
      </c>
      <c r="F32" s="142">
        <f>E32</f>
        <v/>
      </c>
      <c r="G32" s="142">
        <f>F32</f>
        <v/>
      </c>
      <c r="H32" s="142">
        <f>G32</f>
        <v/>
      </c>
      <c r="I32" s="142">
        <f>H32</f>
        <v/>
      </c>
      <c r="J32" s="142">
        <f>I32</f>
        <v/>
      </c>
      <c r="K32" s="142">
        <f>J32</f>
        <v/>
      </c>
      <c r="L32" s="142">
        <f>K32</f>
        <v/>
      </c>
      <c r="M32" s="142">
        <f>L32</f>
        <v/>
      </c>
      <c r="N32" s="143">
        <f>SUM(B32:M32)</f>
        <v/>
      </c>
    </row>
    <row r="33" ht="16" customHeight="1" s="1">
      <c r="A33" s="141">
        <f>'Personal Budget Assumptions'!A32</f>
        <v/>
      </c>
      <c r="B33" s="142">
        <f>'Personal Budget Assumptions'!B32</f>
        <v/>
      </c>
      <c r="C33" s="142">
        <f>B33</f>
        <v/>
      </c>
      <c r="D33" s="142">
        <f>C33</f>
        <v/>
      </c>
      <c r="E33" s="142">
        <f>D33</f>
        <v/>
      </c>
      <c r="F33" s="142">
        <f>E33</f>
        <v/>
      </c>
      <c r="G33" s="142">
        <f>F33</f>
        <v/>
      </c>
      <c r="H33" s="142">
        <f>G33</f>
        <v/>
      </c>
      <c r="I33" s="142">
        <f>H33</f>
        <v/>
      </c>
      <c r="J33" s="142">
        <f>I33</f>
        <v/>
      </c>
      <c r="K33" s="142">
        <f>J33</f>
        <v/>
      </c>
      <c r="L33" s="142">
        <f>K33</f>
        <v/>
      </c>
      <c r="M33" s="142">
        <f>L33</f>
        <v/>
      </c>
      <c r="N33" s="143">
        <f>SUM(C33:M33)</f>
        <v/>
      </c>
    </row>
    <row r="34" ht="16" customHeight="1" s="1">
      <c r="A34" s="141">
        <f>'Personal Budget Assumptions'!A33</f>
        <v/>
      </c>
      <c r="B34" s="142">
        <f>'Personal Budget Assumptions'!B33</f>
        <v/>
      </c>
      <c r="C34" s="142">
        <f>B34</f>
        <v/>
      </c>
      <c r="D34" s="142">
        <f>C34</f>
        <v/>
      </c>
      <c r="E34" s="142">
        <f>D34</f>
        <v/>
      </c>
      <c r="F34" s="142">
        <f>E34</f>
        <v/>
      </c>
      <c r="G34" s="142">
        <f>F34</f>
        <v/>
      </c>
      <c r="H34" s="142">
        <f>G34</f>
        <v/>
      </c>
      <c r="I34" s="142">
        <f>H34</f>
        <v/>
      </c>
      <c r="J34" s="142">
        <f>I34</f>
        <v/>
      </c>
      <c r="K34" s="142">
        <f>J34</f>
        <v/>
      </c>
      <c r="L34" s="142">
        <f>K34</f>
        <v/>
      </c>
      <c r="M34" s="142">
        <f>L34</f>
        <v/>
      </c>
      <c r="N34" s="143">
        <f>SUM(B34:M34)</f>
        <v/>
      </c>
    </row>
    <row r="35" ht="16" customHeight="1" s="1">
      <c r="A35" s="141">
        <f>'Personal Budget Assumptions'!A34</f>
        <v/>
      </c>
      <c r="B35" s="142">
        <f>'Personal Budget Assumptions'!B34</f>
        <v/>
      </c>
      <c r="C35" s="142">
        <f>B35</f>
        <v/>
      </c>
      <c r="D35" s="142">
        <f>C35</f>
        <v/>
      </c>
      <c r="E35" s="142">
        <f>D35</f>
        <v/>
      </c>
      <c r="F35" s="142">
        <f>E35</f>
        <v/>
      </c>
      <c r="G35" s="142">
        <f>F35</f>
        <v/>
      </c>
      <c r="H35" s="142">
        <f>G35</f>
        <v/>
      </c>
      <c r="I35" s="142">
        <f>H35</f>
        <v/>
      </c>
      <c r="J35" s="142">
        <f>I35</f>
        <v/>
      </c>
      <c r="K35" s="142">
        <f>J35</f>
        <v/>
      </c>
      <c r="L35" s="142">
        <f>K35</f>
        <v/>
      </c>
      <c r="M35" s="142">
        <f>L35</f>
        <v/>
      </c>
      <c r="N35" s="143">
        <f>SUM(B35:M35)</f>
        <v/>
      </c>
    </row>
    <row r="36" ht="16" customHeight="1" s="1">
      <c r="A36" s="144" t="inlineStr">
        <is>
          <t>TOTAL VARIABLE</t>
        </is>
      </c>
      <c r="B36" s="145">
        <f>SUM(B21:B35)</f>
        <v/>
      </c>
      <c r="C36" s="145">
        <f>SUM(C21:C35)</f>
        <v/>
      </c>
      <c r="D36" s="145">
        <f>SUM(D21:D35)</f>
        <v/>
      </c>
      <c r="E36" s="145">
        <f>SUM(E21:E35)</f>
        <v/>
      </c>
      <c r="F36" s="145">
        <f>SUM(F21:F35)</f>
        <v/>
      </c>
      <c r="G36" s="145">
        <f>SUM(G21:G35)</f>
        <v/>
      </c>
      <c r="H36" s="145">
        <f>SUM(H21:H35)</f>
        <v/>
      </c>
      <c r="I36" s="145">
        <f>SUM(I21:I35)</f>
        <v/>
      </c>
      <c r="J36" s="145">
        <f>SUM(J21:J35)</f>
        <v/>
      </c>
      <c r="K36" s="145">
        <f>SUM(K21:K35)</f>
        <v/>
      </c>
      <c r="L36" s="145">
        <f>SUM(L21:L35)</f>
        <v/>
      </c>
      <c r="M36" s="145">
        <f>SUM(M21:M35)</f>
        <v/>
      </c>
      <c r="N36" s="146">
        <f>SUM(N21:N35)</f>
        <v/>
      </c>
    </row>
    <row r="37" ht="16" customHeight="1" s="1">
      <c r="A37" s="139" t="n"/>
      <c r="B37" s="385" t="n"/>
      <c r="C37" s="385" t="n"/>
      <c r="D37" s="385" t="n"/>
      <c r="E37" s="385" t="n"/>
      <c r="F37" s="385" t="n"/>
      <c r="G37" s="385" t="n"/>
      <c r="H37" s="385" t="n"/>
      <c r="I37" s="385" t="n"/>
      <c r="J37" s="385" t="n"/>
      <c r="K37" s="385" t="n"/>
      <c r="L37" s="385" t="n"/>
      <c r="M37" s="385" t="n"/>
      <c r="N37" s="139" t="n"/>
    </row>
    <row r="38" ht="16" customHeight="1" s="1">
      <c r="A38" s="140" t="inlineStr">
        <is>
          <t>SUBSCRIPTIONS</t>
        </is>
      </c>
      <c r="B38" s="386" t="n"/>
      <c r="C38" s="386" t="n"/>
      <c r="D38" s="386" t="n"/>
      <c r="E38" s="386" t="n"/>
      <c r="F38" s="386" t="n"/>
      <c r="G38" s="386" t="n"/>
      <c r="H38" s="386" t="n"/>
      <c r="I38" s="386" t="n"/>
      <c r="J38" s="386" t="n"/>
      <c r="K38" s="386" t="n"/>
      <c r="L38" s="386" t="n"/>
      <c r="M38" s="386" t="n"/>
      <c r="N38" s="140" t="n"/>
    </row>
    <row r="39" ht="16" customHeight="1" s="1">
      <c r="A39" s="149">
        <f>'Personal Budget Assumptions'!A39</f>
        <v/>
      </c>
      <c r="B39" s="150">
        <f>'Personal Budget Assumptions'!B39</f>
        <v/>
      </c>
      <c r="C39" s="150">
        <f>B39</f>
        <v/>
      </c>
      <c r="D39" s="150">
        <f>C39</f>
        <v/>
      </c>
      <c r="E39" s="150">
        <f>D39</f>
        <v/>
      </c>
      <c r="F39" s="150">
        <f>E39</f>
        <v/>
      </c>
      <c r="G39" s="150">
        <f>F39</f>
        <v/>
      </c>
      <c r="H39" s="150">
        <f>G39</f>
        <v/>
      </c>
      <c r="I39" s="150">
        <f>H39</f>
        <v/>
      </c>
      <c r="J39" s="150">
        <f>I39</f>
        <v/>
      </c>
      <c r="K39" s="150">
        <f>J39</f>
        <v/>
      </c>
      <c r="L39" s="150">
        <f>K39</f>
        <v/>
      </c>
      <c r="M39" s="150">
        <f>L39</f>
        <v/>
      </c>
      <c r="N39" s="151">
        <f>SUM(B39:M39)</f>
        <v/>
      </c>
    </row>
    <row r="40" ht="16" customHeight="1" s="1">
      <c r="A40" s="149">
        <f>'Personal Budget Assumptions'!A40</f>
        <v/>
      </c>
      <c r="B40" s="150">
        <f>'Personal Budget Assumptions'!B40</f>
        <v/>
      </c>
      <c r="C40" s="150">
        <f>B40</f>
        <v/>
      </c>
      <c r="D40" s="150">
        <f>C40</f>
        <v/>
      </c>
      <c r="E40" s="150">
        <f>D40</f>
        <v/>
      </c>
      <c r="F40" s="150">
        <f>E40</f>
        <v/>
      </c>
      <c r="G40" s="150">
        <f>F40</f>
        <v/>
      </c>
      <c r="H40" s="150">
        <f>G40</f>
        <v/>
      </c>
      <c r="I40" s="150">
        <f>H40</f>
        <v/>
      </c>
      <c r="J40" s="150">
        <f>I40</f>
        <v/>
      </c>
      <c r="K40" s="150">
        <f>J40</f>
        <v/>
      </c>
      <c r="L40" s="150">
        <f>K40</f>
        <v/>
      </c>
      <c r="M40" s="150">
        <f>L40</f>
        <v/>
      </c>
      <c r="N40" s="151">
        <f>SUM(B40:M40)</f>
        <v/>
      </c>
    </row>
    <row r="41" ht="16" customHeight="1" s="1">
      <c r="A41" s="149">
        <f>'Personal Budget Assumptions'!A41</f>
        <v/>
      </c>
      <c r="B41" s="150">
        <f>'Personal Budget Assumptions'!B41</f>
        <v/>
      </c>
      <c r="C41" s="150">
        <f>B41</f>
        <v/>
      </c>
      <c r="D41" s="150">
        <f>C41</f>
        <v/>
      </c>
      <c r="E41" s="150">
        <f>D41</f>
        <v/>
      </c>
      <c r="F41" s="150">
        <f>E41</f>
        <v/>
      </c>
      <c r="G41" s="150">
        <f>F41</f>
        <v/>
      </c>
      <c r="H41" s="150">
        <f>G41</f>
        <v/>
      </c>
      <c r="I41" s="150">
        <f>H41</f>
        <v/>
      </c>
      <c r="J41" s="150">
        <f>I41</f>
        <v/>
      </c>
      <c r="K41" s="150">
        <f>J41</f>
        <v/>
      </c>
      <c r="L41" s="150">
        <f>K41</f>
        <v/>
      </c>
      <c r="M41" s="150">
        <f>L41</f>
        <v/>
      </c>
      <c r="N41" s="151">
        <f>SUM(B41:M41)</f>
        <v/>
      </c>
    </row>
    <row r="42" ht="16" customHeight="1" s="1">
      <c r="A42" s="149">
        <f>'Personal Budget Assumptions'!A42</f>
        <v/>
      </c>
      <c r="B42" s="150">
        <f>'Personal Budget Assumptions'!B42</f>
        <v/>
      </c>
      <c r="C42" s="150">
        <f>B42</f>
        <v/>
      </c>
      <c r="D42" s="150">
        <f>C42</f>
        <v/>
      </c>
      <c r="E42" s="150">
        <f>D42</f>
        <v/>
      </c>
      <c r="F42" s="150">
        <f>E42</f>
        <v/>
      </c>
      <c r="G42" s="150">
        <f>F42</f>
        <v/>
      </c>
      <c r="H42" s="150">
        <f>G42</f>
        <v/>
      </c>
      <c r="I42" s="150">
        <f>H42</f>
        <v/>
      </c>
      <c r="J42" s="150">
        <f>I42</f>
        <v/>
      </c>
      <c r="K42" s="150">
        <f>J42</f>
        <v/>
      </c>
      <c r="L42" s="150">
        <f>K42</f>
        <v/>
      </c>
      <c r="M42" s="150">
        <f>L42</f>
        <v/>
      </c>
      <c r="N42" s="151">
        <f>SUM(B42:M42)</f>
        <v/>
      </c>
    </row>
    <row r="43" ht="16" customHeight="1" s="1">
      <c r="A43" s="149">
        <f>'Personal Budget Assumptions'!A43</f>
        <v/>
      </c>
      <c r="B43" s="150">
        <f>'Personal Budget Assumptions'!B43</f>
        <v/>
      </c>
      <c r="C43" s="150">
        <f>B43</f>
        <v/>
      </c>
      <c r="D43" s="150">
        <f>C43</f>
        <v/>
      </c>
      <c r="E43" s="150">
        <f>D43</f>
        <v/>
      </c>
      <c r="F43" s="150">
        <f>E43</f>
        <v/>
      </c>
      <c r="G43" s="150">
        <f>F43</f>
        <v/>
      </c>
      <c r="H43" s="150">
        <f>G43</f>
        <v/>
      </c>
      <c r="I43" s="150">
        <f>H43</f>
        <v/>
      </c>
      <c r="J43" s="150">
        <f>I43</f>
        <v/>
      </c>
      <c r="K43" s="150">
        <f>J43</f>
        <v/>
      </c>
      <c r="L43" s="150">
        <f>K43</f>
        <v/>
      </c>
      <c r="M43" s="150">
        <f>L43</f>
        <v/>
      </c>
      <c r="N43" s="151">
        <f>SUM(B43:M43)</f>
        <v/>
      </c>
    </row>
    <row r="44" ht="16" customHeight="1" s="1">
      <c r="A44" s="149">
        <f>'Personal Budget Assumptions'!A44</f>
        <v/>
      </c>
      <c r="B44" s="150">
        <f>'Personal Budget Assumptions'!B44</f>
        <v/>
      </c>
      <c r="C44" s="150">
        <f>B44</f>
        <v/>
      </c>
      <c r="D44" s="150">
        <f>C44</f>
        <v/>
      </c>
      <c r="E44" s="150">
        <f>D44</f>
        <v/>
      </c>
      <c r="F44" s="150">
        <f>E44</f>
        <v/>
      </c>
      <c r="G44" s="150">
        <f>F44</f>
        <v/>
      </c>
      <c r="H44" s="150">
        <f>G44</f>
        <v/>
      </c>
      <c r="I44" s="150">
        <f>H44</f>
        <v/>
      </c>
      <c r="J44" s="150">
        <f>I44</f>
        <v/>
      </c>
      <c r="K44" s="150">
        <f>J44</f>
        <v/>
      </c>
      <c r="L44" s="150">
        <f>K44</f>
        <v/>
      </c>
      <c r="M44" s="150">
        <f>L44</f>
        <v/>
      </c>
      <c r="N44" s="151">
        <f>SUM(B44:M44)</f>
        <v/>
      </c>
    </row>
    <row r="45" ht="16" customHeight="1" s="1">
      <c r="A45" s="149">
        <f>'Personal Budget Assumptions'!A45</f>
        <v/>
      </c>
      <c r="B45" s="150">
        <f>'Personal Budget Assumptions'!B45</f>
        <v/>
      </c>
      <c r="C45" s="150">
        <f>B45</f>
        <v/>
      </c>
      <c r="D45" s="150">
        <f>C45</f>
        <v/>
      </c>
      <c r="E45" s="150">
        <f>D45</f>
        <v/>
      </c>
      <c r="F45" s="150">
        <f>E45</f>
        <v/>
      </c>
      <c r="G45" s="150">
        <f>F45</f>
        <v/>
      </c>
      <c r="H45" s="150">
        <f>G45</f>
        <v/>
      </c>
      <c r="I45" s="150">
        <f>H45</f>
        <v/>
      </c>
      <c r="J45" s="150">
        <f>I45</f>
        <v/>
      </c>
      <c r="K45" s="150">
        <f>J45</f>
        <v/>
      </c>
      <c r="L45" s="150">
        <f>K45</f>
        <v/>
      </c>
      <c r="M45" s="150">
        <f>L45</f>
        <v/>
      </c>
      <c r="N45" s="151">
        <f>SUM(B45:M45)</f>
        <v/>
      </c>
    </row>
    <row r="46" ht="16" customHeight="1" s="1">
      <c r="A46" s="149">
        <f>'Personal Budget Assumptions'!A46</f>
        <v/>
      </c>
      <c r="B46" s="150">
        <f>'Personal Budget Assumptions'!B46</f>
        <v/>
      </c>
      <c r="C46" s="150">
        <f>B46</f>
        <v/>
      </c>
      <c r="D46" s="150">
        <f>C46</f>
        <v/>
      </c>
      <c r="E46" s="150">
        <f>D46</f>
        <v/>
      </c>
      <c r="F46" s="150">
        <f>E46</f>
        <v/>
      </c>
      <c r="G46" s="150">
        <f>F46</f>
        <v/>
      </c>
      <c r="H46" s="150">
        <f>G46</f>
        <v/>
      </c>
      <c r="I46" s="150">
        <f>H46</f>
        <v/>
      </c>
      <c r="J46" s="150">
        <f>I46</f>
        <v/>
      </c>
      <c r="K46" s="150">
        <f>J46</f>
        <v/>
      </c>
      <c r="L46" s="150">
        <f>K46</f>
        <v/>
      </c>
      <c r="M46" s="150">
        <f>L46</f>
        <v/>
      </c>
      <c r="N46" s="151">
        <f>SUM(B46:M46)</f>
        <v/>
      </c>
    </row>
    <row r="47" ht="16" customHeight="1" s="1">
      <c r="A47" s="149">
        <f>'Personal Budget Assumptions'!A47</f>
        <v/>
      </c>
      <c r="B47" s="150">
        <f>'Personal Budget Assumptions'!B47</f>
        <v/>
      </c>
      <c r="C47" s="150">
        <f>B47</f>
        <v/>
      </c>
      <c r="D47" s="150">
        <f>C47</f>
        <v/>
      </c>
      <c r="E47" s="150">
        <f>D47</f>
        <v/>
      </c>
      <c r="F47" s="150">
        <f>E47</f>
        <v/>
      </c>
      <c r="G47" s="150">
        <f>F47</f>
        <v/>
      </c>
      <c r="H47" s="150">
        <f>G47</f>
        <v/>
      </c>
      <c r="I47" s="150">
        <f>H47</f>
        <v/>
      </c>
      <c r="J47" s="150">
        <f>I47</f>
        <v/>
      </c>
      <c r="K47" s="150">
        <f>J47</f>
        <v/>
      </c>
      <c r="L47" s="150">
        <f>K47</f>
        <v/>
      </c>
      <c r="M47" s="150">
        <f>L47</f>
        <v/>
      </c>
      <c r="N47" s="151">
        <f>SUM(B47:M47)</f>
        <v/>
      </c>
    </row>
    <row r="48" ht="16" customHeight="1" s="1">
      <c r="A48" s="144" t="inlineStr">
        <is>
          <t>TOTAL SUBSCRIPTIONS</t>
        </is>
      </c>
      <c r="B48" s="145">
        <f>SUM(B39:B47)</f>
        <v/>
      </c>
      <c r="C48" s="145">
        <f>SUM(C39:C47)</f>
        <v/>
      </c>
      <c r="D48" s="145">
        <f>SUM(D39:D47)</f>
        <v/>
      </c>
      <c r="E48" s="145">
        <f>SUM(E39:E47)</f>
        <v/>
      </c>
      <c r="F48" s="145">
        <f>SUM(F39:F47)</f>
        <v/>
      </c>
      <c r="G48" s="145">
        <f>SUM(G39:G47)</f>
        <v/>
      </c>
      <c r="H48" s="145">
        <f>SUM(H39:H47)</f>
        <v/>
      </c>
      <c r="I48" s="145">
        <f>SUM(I39:I47)</f>
        <v/>
      </c>
      <c r="J48" s="145">
        <f>SUM(J39:J47)</f>
        <v/>
      </c>
      <c r="K48" s="145">
        <f>SUM(K39:K47)</f>
        <v/>
      </c>
      <c r="L48" s="145">
        <f>SUM(L39:L47)</f>
        <v/>
      </c>
      <c r="M48" s="145">
        <f>SUM(M39:M47)</f>
        <v/>
      </c>
      <c r="N48" s="146">
        <f>SUM(B48:M48)</f>
        <v/>
      </c>
    </row>
    <row r="49" ht="16" customHeight="1" s="1">
      <c r="A49" s="139" t="n"/>
      <c r="B49" s="385" t="n"/>
      <c r="C49" s="385" t="n"/>
      <c r="D49" s="385" t="n"/>
      <c r="E49" s="385" t="n"/>
      <c r="F49" s="385" t="n"/>
      <c r="G49" s="385" t="n"/>
      <c r="H49" s="385" t="n"/>
      <c r="I49" s="385" t="n"/>
      <c r="J49" s="385" t="n"/>
      <c r="K49" s="385" t="n"/>
      <c r="L49" s="385" t="n"/>
      <c r="M49" s="385" t="n"/>
      <c r="N49" s="139" t="n"/>
    </row>
    <row r="50" ht="16" customHeight="1" s="1">
      <c r="A50" s="144" t="inlineStr">
        <is>
          <t>TOTAL PERSONAL EXPENSES</t>
        </is>
      </c>
      <c r="B50" s="145">
        <f>B18+B36+B48</f>
        <v/>
      </c>
      <c r="C50" s="145">
        <f>C18+C36+C48</f>
        <v/>
      </c>
      <c r="D50" s="145">
        <f>D18+D36+D48</f>
        <v/>
      </c>
      <c r="E50" s="145">
        <f>E18+E36+E48</f>
        <v/>
      </c>
      <c r="F50" s="145">
        <f>F18+F36+F48</f>
        <v/>
      </c>
      <c r="G50" s="145">
        <f>G18+G36+G48</f>
        <v/>
      </c>
      <c r="H50" s="145">
        <f>H18+H36+H48</f>
        <v/>
      </c>
      <c r="I50" s="145">
        <f>I18+I36+I48</f>
        <v/>
      </c>
      <c r="J50" s="145">
        <f>J18+J36+J48</f>
        <v/>
      </c>
      <c r="K50" s="145">
        <f>K18+K36+K48</f>
        <v/>
      </c>
      <c r="L50" s="145">
        <f>L18+L36+L48</f>
        <v/>
      </c>
      <c r="M50" s="145">
        <f>M18+M36+M48</f>
        <v/>
      </c>
      <c r="N50" s="146">
        <f>SUM(B50:M50)</f>
        <v/>
      </c>
    </row>
    <row r="51" ht="16" customHeight="1" s="1">
      <c r="A51" s="139" t="n"/>
      <c r="B51" s="385" t="n"/>
      <c r="C51" s="385" t="n"/>
      <c r="D51" s="385" t="n"/>
      <c r="E51" s="385" t="n"/>
      <c r="F51" s="385" t="n"/>
      <c r="G51" s="385" t="n"/>
      <c r="H51" s="385" t="n"/>
      <c r="I51" s="385" t="n"/>
      <c r="J51" s="385" t="n"/>
      <c r="K51" s="385" t="n"/>
      <c r="L51" s="385" t="n"/>
      <c r="M51" s="385" t="n"/>
      <c r="N51" s="139" t="n"/>
    </row>
    <row r="52" ht="12.75" customHeight="1" s="1">
      <c r="A52" s="144" t="inlineStr">
        <is>
          <t>NET PERSONAL CASH</t>
        </is>
      </c>
      <c r="B52" s="146">
        <f>B9-B50</f>
        <v/>
      </c>
      <c r="C52" s="146">
        <f>C9-C50</f>
        <v/>
      </c>
      <c r="D52" s="146">
        <f>D9-D50</f>
        <v/>
      </c>
      <c r="E52" s="146">
        <f>E9-E50</f>
        <v/>
      </c>
      <c r="F52" s="146">
        <f>F9-F50</f>
        <v/>
      </c>
      <c r="G52" s="146">
        <f>G9-G50</f>
        <v/>
      </c>
      <c r="H52" s="146">
        <f>H9-H50</f>
        <v/>
      </c>
      <c r="I52" s="146">
        <f>I9-I50</f>
        <v/>
      </c>
      <c r="J52" s="146">
        <f>J9-J50</f>
        <v/>
      </c>
      <c r="K52" s="146">
        <f>K9-K50</f>
        <v/>
      </c>
      <c r="L52" s="146">
        <f>L9-L50</f>
        <v/>
      </c>
      <c r="M52" s="146">
        <f>M9-M50</f>
        <v/>
      </c>
      <c r="N52" s="146">
        <f>SUM(B52:M52)</f>
        <v/>
      </c>
    </row>
    <row r="53" ht="12.75" customHeight="1" s="1">
      <c r="A53" s="99" t="n"/>
      <c r="B53" s="387" t="n"/>
      <c r="C53" s="387" t="n"/>
      <c r="D53" s="387" t="n"/>
      <c r="E53" s="387" t="n"/>
      <c r="F53" s="387" t="n"/>
      <c r="G53" s="387" t="n"/>
      <c r="H53" s="387" t="n"/>
      <c r="I53" s="99" t="n"/>
      <c r="J53" s="99" t="n"/>
      <c r="K53" s="99" t="n"/>
      <c r="L53" s="99" t="n"/>
      <c r="M53" s="99" t="n"/>
      <c r="N53" s="99" t="n"/>
    </row>
    <row r="54" ht="12.75" customHeight="1" s="1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</row>
    <row r="55" ht="12.75" customHeight="1" s="1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</row>
    <row r="56" ht="12.75" customHeight="1" s="1">
      <c r="A56" s="99" t="n"/>
      <c r="B56" s="387" t="n"/>
      <c r="C56" s="387" t="n"/>
      <c r="D56" s="387" t="n"/>
      <c r="E56" s="387" t="n"/>
      <c r="F56" s="387" t="n"/>
      <c r="G56" s="387" t="n"/>
      <c r="H56" s="387" t="n"/>
      <c r="I56" s="99" t="n"/>
      <c r="J56" s="99" t="n"/>
      <c r="K56" s="99" t="n"/>
      <c r="L56" s="99" t="n"/>
      <c r="M56" s="99" t="n"/>
      <c r="N56" s="99" t="n"/>
    </row>
  </sheetData>
  <mergeCells count="1">
    <mergeCell ref="A2:N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000000"/>
    <outlinePr summaryBelow="1" summaryRight="1"/>
    <pageSetUpPr fitToPage="1"/>
  </sheetPr>
  <dimension ref="A1:Q691"/>
  <sheetViews>
    <sheetView zoomScale="150" zoomScaleNormal="150" workbookViewId="0">
      <selection activeCell="D7" sqref="D7"/>
    </sheetView>
  </sheetViews>
  <sheetFormatPr baseColWidth="10" defaultColWidth="8.83203125" defaultRowHeight="13"/>
  <cols>
    <col width="18" customWidth="1" style="1" min="3" max="3"/>
    <col width="10.33203125" customWidth="1" style="1" min="4" max="4"/>
    <col width="11.83203125" customWidth="1" style="1" min="5" max="5"/>
    <col width="2.83203125" customWidth="1" style="1" min="6" max="6"/>
    <col width="21.33203125" customWidth="1" style="1" min="7" max="7"/>
    <col width="24" customWidth="1" style="1" min="8" max="8"/>
    <col width="2.6640625" customWidth="1" style="1" min="9" max="9"/>
    <col width="13.33203125" customWidth="1" style="1" min="10" max="10"/>
    <col width="2.6640625" customWidth="1" style="128" min="13" max="13"/>
  </cols>
  <sheetData>
    <row r="1" ht="12.75" customHeight="1" s="1"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</row>
    <row r="2" ht="13.5" customHeight="1" s="1">
      <c r="A2" s="67" t="n"/>
      <c r="B2" s="68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</row>
    <row r="3" ht="15" customHeight="1" s="1">
      <c r="A3" s="67" t="n"/>
      <c r="B3" s="68" t="n"/>
      <c r="C3" s="69" t="inlineStr">
        <is>
          <t>Budget</t>
        </is>
      </c>
      <c r="D3" s="128" t="n"/>
      <c r="E3" s="128" t="n"/>
      <c r="F3" s="70" t="n"/>
      <c r="G3" s="70" t="n"/>
      <c r="H3" s="70" t="n"/>
      <c r="I3" s="68" t="n"/>
      <c r="J3" s="68" t="n"/>
      <c r="K3" s="71" t="inlineStr">
        <is>
          <t xml:space="preserve"> </t>
        </is>
      </c>
    </row>
    <row r="4" ht="13.5" customHeight="1" s="1" thickBot="1">
      <c r="A4" s="67" t="n"/>
      <c r="B4" s="68" t="n"/>
      <c r="C4" s="282" t="inlineStr">
        <is>
          <t>Monthly Expenses</t>
        </is>
      </c>
      <c r="D4" s="128" t="n"/>
      <c r="E4" s="128" t="n"/>
      <c r="F4" s="70" t="n"/>
      <c r="G4" s="281" t="inlineStr">
        <is>
          <t>Monthly Expenses</t>
        </is>
      </c>
      <c r="H4" s="281" t="inlineStr">
        <is>
          <t>Annual Expenses</t>
        </is>
      </c>
      <c r="I4" s="68" t="n"/>
      <c r="J4" s="68" t="n"/>
      <c r="K4" s="68" t="inlineStr">
        <is>
          <t xml:space="preserve"> </t>
        </is>
      </c>
      <c r="L4" s="67" t="inlineStr">
        <is>
          <t xml:space="preserve"> </t>
        </is>
      </c>
      <c r="M4" s="161" t="inlineStr">
        <is>
          <t xml:space="preserve"> </t>
        </is>
      </c>
    </row>
    <row r="5" ht="16.5" customHeight="1" s="1" thickBot="1">
      <c r="A5" s="67" t="n"/>
      <c r="B5" s="68" t="n"/>
      <c r="C5" s="77" t="n"/>
      <c r="D5" s="153" t="inlineStr">
        <is>
          <t>&lt;-&gt;</t>
        </is>
      </c>
      <c r="E5" s="154" t="inlineStr">
        <is>
          <t>&lt;+&gt;</t>
        </is>
      </c>
      <c r="F5" s="70" t="n"/>
      <c r="G5" s="73">
        <f>D24+(-E24)</f>
        <v/>
      </c>
      <c r="H5" s="73">
        <f>G5*12</f>
        <v/>
      </c>
      <c r="I5" s="68" t="inlineStr">
        <is>
          <t xml:space="preserve"> </t>
        </is>
      </c>
      <c r="J5" s="68" t="n"/>
      <c r="K5" s="71" t="inlineStr">
        <is>
          <t xml:space="preserve"> </t>
        </is>
      </c>
    </row>
    <row r="6" ht="15" customHeight="1" s="1" thickBot="1">
      <c r="A6" s="67" t="n"/>
      <c r="B6" s="68" t="n"/>
      <c r="C6" s="72" t="inlineStr">
        <is>
          <t>Health Insurance</t>
        </is>
      </c>
      <c r="D6" s="70" t="n">
        <v>609</v>
      </c>
      <c r="E6" s="74" t="n"/>
      <c r="F6" s="70" t="n"/>
      <c r="G6" s="70" t="n"/>
      <c r="H6" s="70" t="n"/>
      <c r="I6" s="68" t="n"/>
      <c r="J6" s="75" t="inlineStr">
        <is>
          <t>Monthly Salary</t>
        </is>
      </c>
      <c r="K6" s="76" t="inlineStr">
        <is>
          <t>Months</t>
        </is>
      </c>
    </row>
    <row r="7" ht="13.5" customHeight="1" s="1" thickBot="1">
      <c r="A7" s="67" t="n"/>
      <c r="B7" s="68" t="n"/>
      <c r="C7" s="72" t="n"/>
      <c r="D7" s="70" t="n"/>
      <c r="E7" s="74" t="n"/>
      <c r="F7" s="70" t="n"/>
      <c r="G7" s="77">
        <f>J7*K7</f>
        <v/>
      </c>
      <c r="H7" s="78" t="inlineStr">
        <is>
          <t>Salary</t>
        </is>
      </c>
      <c r="I7" s="68" t="n"/>
      <c r="J7" s="79" t="n">
        <v>7000</v>
      </c>
      <c r="K7" s="283">
        <f>'Kate Co Breakdown'!I5</f>
        <v/>
      </c>
    </row>
    <row r="8" ht="13.5" customHeight="1" s="1">
      <c r="A8" s="67" t="n"/>
      <c r="B8" s="68" t="n"/>
      <c r="C8" s="72" t="inlineStr">
        <is>
          <t>Chicago</t>
        </is>
      </c>
      <c r="D8" s="80" t="n">
        <v>0</v>
      </c>
      <c r="E8" s="81">
        <f>Chicago!F11</f>
        <v/>
      </c>
      <c r="F8" s="70" t="n"/>
      <c r="G8" s="72" t="inlineStr">
        <is>
          <t xml:space="preserve"> </t>
        </is>
      </c>
      <c r="H8" s="82" t="inlineStr">
        <is>
          <t>Taxes</t>
        </is>
      </c>
      <c r="I8" s="68" t="n"/>
      <c r="J8" s="68" t="n"/>
      <c r="K8" s="83" t="n"/>
    </row>
    <row r="9" ht="15" customHeight="1" s="1">
      <c r="A9" s="67" t="n"/>
      <c r="B9" s="68" t="n"/>
      <c r="C9" s="72" t="n"/>
      <c r="D9" s="70" t="n"/>
      <c r="E9" s="74" t="n"/>
      <c r="F9" s="70" t="n"/>
      <c r="G9" s="84">
        <f>G7</f>
        <v/>
      </c>
      <c r="H9" s="85" t="inlineStr">
        <is>
          <t>Take- Home</t>
        </is>
      </c>
      <c r="I9" s="68" t="n"/>
      <c r="J9" s="68" t="inlineStr">
        <is>
          <t xml:space="preserve"> </t>
        </is>
      </c>
      <c r="K9" s="71" t="inlineStr">
        <is>
          <t xml:space="preserve"> </t>
        </is>
      </c>
    </row>
    <row r="10" ht="13.5" customHeight="1" s="1">
      <c r="A10" s="67" t="n"/>
      <c r="B10" s="68" t="n"/>
      <c r="C10" s="72" t="inlineStr">
        <is>
          <t>Monthly Spending</t>
        </is>
      </c>
      <c r="D10" s="80">
        <f>'Monthly Spending'!D26</f>
        <v/>
      </c>
      <c r="E10" s="74" t="n"/>
      <c r="F10" s="70" t="n"/>
      <c r="G10" s="86">
        <f>G9/K7</f>
        <v/>
      </c>
      <c r="H10" s="74" t="inlineStr">
        <is>
          <t>Monthly available less taxes</t>
        </is>
      </c>
      <c r="I10" s="68" t="n"/>
      <c r="J10" s="68" t="n"/>
      <c r="K10" s="71" t="n"/>
    </row>
    <row r="11" ht="15.75" customHeight="1" s="1" thickBot="1">
      <c r="A11" s="67" t="n"/>
      <c r="B11" s="68" t="n"/>
      <c r="C11" s="72" t="n"/>
      <c r="D11" s="70" t="n"/>
      <c r="E11" s="74" t="n"/>
      <c r="F11" s="70" t="n"/>
      <c r="G11" s="87">
        <f>G10-G5</f>
        <v/>
      </c>
      <c r="H11" s="88" t="inlineStr">
        <is>
          <t>Residual</t>
        </is>
      </c>
      <c r="I11" s="68" t="n"/>
      <c r="J11" s="68" t="n"/>
      <c r="K11" s="68" t="n"/>
    </row>
    <row r="12" ht="13.5" customHeight="1" s="1">
      <c r="A12" s="67" t="n"/>
      <c r="B12" s="68" t="n"/>
      <c r="C12" s="72" t="inlineStr">
        <is>
          <t>Mercedes</t>
        </is>
      </c>
      <c r="D12" s="70" t="n">
        <v>1125</v>
      </c>
      <c r="E12" s="74" t="n"/>
      <c r="F12" s="70" t="n"/>
      <c r="G12" s="70" t="inlineStr">
        <is>
          <t xml:space="preserve"> </t>
        </is>
      </c>
      <c r="H12" s="89" t="n"/>
      <c r="I12" s="68" t="inlineStr">
        <is>
          <t xml:space="preserve"> </t>
        </is>
      </c>
      <c r="J12" s="68" t="inlineStr">
        <is>
          <t xml:space="preserve"> </t>
        </is>
      </c>
      <c r="K12" s="68" t="inlineStr">
        <is>
          <t xml:space="preserve"> </t>
        </is>
      </c>
      <c r="L12" s="67" t="n"/>
    </row>
    <row r="13" ht="13.5" customHeight="1" s="1">
      <c r="A13" s="67" t="n"/>
      <c r="B13" s="68" t="n"/>
      <c r="C13" s="72" t="n"/>
      <c r="D13" s="70" t="n"/>
      <c r="E13" s="74" t="n"/>
      <c r="F13" s="70" t="n"/>
      <c r="G13" s="70" t="inlineStr">
        <is>
          <t xml:space="preserve"> </t>
        </is>
      </c>
      <c r="H13" s="89" t="inlineStr">
        <is>
          <t xml:space="preserve"> </t>
        </is>
      </c>
      <c r="I13" s="68" t="n"/>
      <c r="J13" s="68" t="n"/>
      <c r="K13" s="68" t="n">
        <v>3264.96</v>
      </c>
      <c r="L13" s="67" t="n"/>
    </row>
    <row r="14" ht="13.5" customHeight="1" s="1">
      <c r="A14" s="67" t="n"/>
      <c r="B14" s="68" t="n"/>
      <c r="C14" s="72" t="inlineStr">
        <is>
          <t>State Farm</t>
        </is>
      </c>
      <c r="D14" s="80">
        <f>'Monthly Spending'!H33</f>
        <v/>
      </c>
      <c r="E14" s="74" t="n"/>
      <c r="F14" s="70" t="n"/>
      <c r="G14" s="70" t="n"/>
      <c r="H14" s="89" t="n"/>
      <c r="I14" s="68" t="n"/>
      <c r="J14" s="68" t="n"/>
      <c r="K14" s="68" t="n"/>
      <c r="L14" s="67" t="n"/>
    </row>
    <row r="15" ht="13.5" customHeight="1" s="1">
      <c r="A15" s="67" t="n"/>
      <c r="B15" s="68" t="n"/>
      <c r="C15" s="72" t="inlineStr">
        <is>
          <t xml:space="preserve"> </t>
        </is>
      </c>
      <c r="D15" s="70" t="inlineStr">
        <is>
          <t xml:space="preserve"> </t>
        </is>
      </c>
      <c r="E15" s="74" t="n"/>
      <c r="F15" s="70" t="n"/>
      <c r="G15" s="70" t="inlineStr">
        <is>
          <t xml:space="preserve"> </t>
        </is>
      </c>
      <c r="H15" s="89" t="inlineStr">
        <is>
          <t xml:space="preserve"> </t>
        </is>
      </c>
      <c r="I15" s="68" t="inlineStr">
        <is>
          <t xml:space="preserve"> </t>
        </is>
      </c>
      <c r="J15" s="68" t="inlineStr">
        <is>
          <t xml:space="preserve"> </t>
        </is>
      </c>
      <c r="K15" s="68" t="n"/>
      <c r="L15" s="67" t="n"/>
    </row>
    <row r="16" ht="13.5" customHeight="1" s="1">
      <c r="A16" s="67" t="n"/>
      <c r="B16" s="68" t="n"/>
      <c r="C16" s="72" t="inlineStr">
        <is>
          <t>Home Security</t>
        </is>
      </c>
      <c r="D16" s="80" t="n">
        <v>41.6</v>
      </c>
      <c r="E16" s="74" t="n"/>
      <c r="F16" s="70" t="n"/>
      <c r="G16" s="80" t="inlineStr">
        <is>
          <t xml:space="preserve"> </t>
        </is>
      </c>
      <c r="H16" s="89" t="inlineStr">
        <is>
          <t xml:space="preserve"> </t>
        </is>
      </c>
      <c r="I16" s="68" t="inlineStr">
        <is>
          <t xml:space="preserve"> </t>
        </is>
      </c>
      <c r="J16" s="68" t="inlineStr">
        <is>
          <t xml:space="preserve"> </t>
        </is>
      </c>
      <c r="K16" s="68" t="n"/>
      <c r="L16" s="67" t="n"/>
      <c r="Q16" s="4" t="inlineStr">
        <is>
          <t xml:space="preserve"> </t>
        </is>
      </c>
    </row>
    <row r="17" ht="13.5" customHeight="1" s="1">
      <c r="A17" s="67" t="n"/>
      <c r="B17" s="68" t="n"/>
      <c r="C17" s="72" t="n"/>
      <c r="D17" s="70" t="n"/>
      <c r="E17" s="74" t="n"/>
      <c r="F17" s="70" t="n"/>
      <c r="G17" s="388" t="n"/>
      <c r="H17" s="89" t="n"/>
      <c r="I17" s="68" t="n"/>
      <c r="J17" s="68" t="n"/>
      <c r="K17" s="68" t="n"/>
      <c r="L17" s="67" t="n"/>
      <c r="Q17" s="4" t="inlineStr">
        <is>
          <t xml:space="preserve"> </t>
        </is>
      </c>
    </row>
    <row r="18" ht="13.5" customHeight="1" s="1">
      <c r="A18" s="67" t="n"/>
      <c r="B18" s="68" t="n"/>
      <c r="C18" s="72" t="inlineStr">
        <is>
          <t>Northwestern Mutual</t>
        </is>
      </c>
      <c r="D18" s="70" t="n">
        <v>400</v>
      </c>
      <c r="E18" s="74" t="n"/>
      <c r="F18" s="70" t="n"/>
      <c r="G18" s="388" t="n"/>
      <c r="H18" s="89" t="n"/>
      <c r="I18" s="68" t="n"/>
      <c r="J18" s="68" t="n"/>
      <c r="K18" s="68" t="n"/>
      <c r="L18" s="67" t="n"/>
      <c r="Q18" s="4" t="inlineStr">
        <is>
          <t xml:space="preserve"> </t>
        </is>
      </c>
    </row>
    <row r="19" ht="13.5" customHeight="1" s="1">
      <c r="A19" s="67" t="n"/>
      <c r="B19" s="68" t="n"/>
      <c r="C19" s="72" t="n"/>
      <c r="D19" s="70" t="n"/>
      <c r="E19" s="74" t="n"/>
      <c r="F19" s="70" t="n"/>
      <c r="G19" s="70" t="n"/>
      <c r="H19" s="70" t="n"/>
      <c r="I19" s="68" t="n"/>
      <c r="J19" s="68" t="n"/>
      <c r="K19" s="68" t="n"/>
      <c r="L19" s="67" t="n"/>
      <c r="Q19" s="4" t="inlineStr">
        <is>
          <t xml:space="preserve"> </t>
        </is>
      </c>
    </row>
    <row r="20" ht="15" customHeight="1" s="1" thickBot="1">
      <c r="A20" s="67" t="n"/>
      <c r="B20" s="68" t="n"/>
      <c r="C20" s="72" t="inlineStr">
        <is>
          <t>Scottsdale</t>
        </is>
      </c>
      <c r="D20" s="80" t="n"/>
      <c r="E20" s="81">
        <f>Scottsdale!F12</f>
        <v/>
      </c>
      <c r="F20" s="70" t="n"/>
      <c r="G20" s="70" t="n"/>
      <c r="H20" s="70" t="n"/>
      <c r="I20" s="68" t="n"/>
      <c r="J20" s="68" t="n"/>
      <c r="K20" s="68" t="n"/>
      <c r="L20" s="67" t="n"/>
      <c r="Q20" s="4" t="inlineStr">
        <is>
          <t xml:space="preserve"> </t>
        </is>
      </c>
    </row>
    <row r="21" ht="13.5" customHeight="1" s="1">
      <c r="A21" s="67" t="n"/>
      <c r="B21" s="68" t="n"/>
      <c r="C21" s="72" t="n"/>
      <c r="D21" s="70" t="n"/>
      <c r="E21" s="74" t="n"/>
      <c r="F21" s="70" t="n"/>
      <c r="G21" s="91" t="inlineStr">
        <is>
          <t>E*Trade</t>
        </is>
      </c>
      <c r="H21" s="70" t="n"/>
      <c r="I21" s="68" t="n"/>
      <c r="J21" s="68" t="n"/>
      <c r="K21" s="68" t="n"/>
      <c r="L21" s="67" t="n"/>
      <c r="Q21" s="4" t="inlineStr">
        <is>
          <t xml:space="preserve"> </t>
        </is>
      </c>
    </row>
    <row r="22" ht="15" customHeight="1" s="1" thickBot="1">
      <c r="A22" s="67" t="n"/>
      <c r="B22" s="68" t="n"/>
      <c r="C22" s="155" t="inlineStr">
        <is>
          <t xml:space="preserve"> </t>
        </is>
      </c>
      <c r="D22" s="92" t="inlineStr">
        <is>
          <t xml:space="preserve"> </t>
        </is>
      </c>
      <c r="E22" s="156" t="n"/>
      <c r="F22" s="70" t="n"/>
      <c r="G22" s="93">
        <f>G11</f>
        <v/>
      </c>
      <c r="H22" s="70" t="n"/>
      <c r="I22" s="68" t="n"/>
      <c r="J22" s="68" t="n"/>
      <c r="K22" s="68" t="n"/>
      <c r="L22" s="67" t="n"/>
    </row>
    <row r="23" ht="13.5" customHeight="1" s="1">
      <c r="A23" s="67" t="n"/>
      <c r="B23" s="68" t="n"/>
      <c r="C23" s="68" t="n"/>
      <c r="D23" s="68" t="inlineStr">
        <is>
          <t xml:space="preserve"> </t>
        </is>
      </c>
      <c r="E23" s="68" t="n"/>
      <c r="F23" s="70" t="n"/>
      <c r="G23" s="94" t="n">
        <v>12</v>
      </c>
      <c r="H23" s="70" t="n"/>
      <c r="I23" s="68" t="n"/>
      <c r="J23" s="68" t="n"/>
      <c r="K23" s="68" t="n"/>
      <c r="L23" s="67" t="n"/>
    </row>
    <row r="24" ht="13.5" customHeight="1" s="1">
      <c r="A24" s="67" t="n"/>
      <c r="B24" s="68" t="n"/>
      <c r="C24" s="68" t="n"/>
      <c r="D24" s="95">
        <f>SUM(D6:D21)</f>
        <v/>
      </c>
      <c r="E24" s="95">
        <f>SUM(E7:E22)</f>
        <v/>
      </c>
      <c r="F24" s="70" t="n"/>
      <c r="G24" s="94">
        <f>G22*G23</f>
        <v/>
      </c>
      <c r="H24" s="70" t="n"/>
      <c r="I24" s="68" t="n"/>
      <c r="J24" s="68" t="n"/>
      <c r="K24" s="68" t="n"/>
      <c r="L24" s="67" t="n"/>
    </row>
    <row r="25" ht="15" customHeight="1" s="1">
      <c r="A25" s="67" t="n"/>
      <c r="B25" s="68" t="n"/>
      <c r="C25" s="128" t="n"/>
      <c r="D25" s="128" t="n"/>
      <c r="E25" s="128" t="n"/>
      <c r="F25" s="157" t="n"/>
      <c r="G25" s="158" t="n"/>
      <c r="H25" s="157" t="n"/>
      <c r="I25" s="159" t="n"/>
      <c r="J25" s="159" t="n"/>
      <c r="K25" s="159" t="n"/>
      <c r="L25" s="67" t="n"/>
    </row>
    <row r="26" ht="13.5" customHeight="1" s="1">
      <c r="A26" s="67" t="n"/>
      <c r="B26" s="68" t="n"/>
      <c r="C26" s="128" t="n"/>
      <c r="D26" s="128" t="n"/>
      <c r="E26" s="128" t="n"/>
      <c r="F26" s="157" t="n"/>
      <c r="G26" s="160" t="inlineStr">
        <is>
          <t xml:space="preserve"> </t>
        </is>
      </c>
      <c r="H26" s="157" t="n"/>
      <c r="I26" s="159" t="inlineStr">
        <is>
          <t xml:space="preserve"> </t>
        </is>
      </c>
      <c r="J26" s="159" t="n"/>
      <c r="K26" s="159" t="n"/>
      <c r="L26" s="67" t="n"/>
    </row>
    <row r="27" ht="13.5" customHeight="1" s="1">
      <c r="A27" s="67" t="n"/>
      <c r="B27" s="68" t="n"/>
      <c r="C27" s="128" t="n"/>
      <c r="D27" s="128" t="n"/>
      <c r="E27" s="128" t="n"/>
      <c r="F27" s="157" t="n"/>
      <c r="G27" s="160" t="n"/>
      <c r="H27" s="157" t="n"/>
      <c r="I27" s="161" t="inlineStr">
        <is>
          <t xml:space="preserve"> </t>
        </is>
      </c>
      <c r="J27" s="161" t="n"/>
      <c r="K27" s="161" t="n"/>
      <c r="L27" s="67" t="n"/>
    </row>
    <row r="28" ht="12.75" customHeight="1" s="1">
      <c r="A28" s="67" t="n"/>
      <c r="B28" s="68" t="n"/>
      <c r="C28" s="128" t="n"/>
      <c r="D28" s="128" t="n"/>
      <c r="E28" s="162" t="inlineStr">
        <is>
          <t xml:space="preserve"> </t>
        </is>
      </c>
      <c r="F28" s="159" t="n"/>
      <c r="G28" s="163" t="n"/>
      <c r="H28" s="159" t="n"/>
      <c r="I28" s="161" t="inlineStr">
        <is>
          <t xml:space="preserve"> </t>
        </is>
      </c>
      <c r="J28" s="161" t="n"/>
      <c r="K28" s="161" t="n"/>
      <c r="L28" s="67" t="inlineStr">
        <is>
          <t xml:space="preserve"> </t>
        </is>
      </c>
    </row>
    <row r="29" ht="12.75" customHeight="1" s="1">
      <c r="A29" s="67" t="n"/>
      <c r="B29" s="68" t="n"/>
      <c r="C29" s="128" t="n"/>
      <c r="D29" s="128" t="n"/>
      <c r="E29" s="128" t="n"/>
      <c r="F29" s="159" t="n"/>
      <c r="G29" s="163" t="n"/>
      <c r="H29" s="159" t="n"/>
      <c r="I29" s="161" t="n"/>
      <c r="J29" s="161" t="n"/>
      <c r="K29" s="161" t="n"/>
      <c r="L29" s="67" t="n"/>
    </row>
    <row r="30" ht="12.75" customHeight="1" s="1">
      <c r="A30" s="67" t="n"/>
      <c r="B30" s="68" t="n"/>
      <c r="C30" s="128" t="n"/>
      <c r="D30" s="128" t="n"/>
      <c r="E30" s="128" t="n"/>
      <c r="F30" s="161" t="n"/>
      <c r="G30" s="160" t="n"/>
      <c r="H30" s="161" t="n"/>
      <c r="I30" s="161" t="n"/>
      <c r="J30" s="161" t="n"/>
      <c r="K30" s="161" t="n"/>
      <c r="L30" s="67" t="n"/>
    </row>
    <row r="31" ht="12.75" customHeight="1" s="1">
      <c r="A31" s="67" t="n"/>
      <c r="B31" s="68" t="n"/>
      <c r="C31" s="128" t="n"/>
      <c r="D31" s="128" t="n"/>
      <c r="E31" s="128" t="n"/>
      <c r="F31" s="161" t="n"/>
      <c r="G31" s="159" t="inlineStr">
        <is>
          <t xml:space="preserve"> </t>
        </is>
      </c>
      <c r="H31" s="161" t="n"/>
      <c r="I31" s="161" t="inlineStr">
        <is>
          <t xml:space="preserve"> </t>
        </is>
      </c>
      <c r="J31" s="161" t="n"/>
      <c r="K31" s="161" t="n"/>
      <c r="L31" s="67" t="n"/>
    </row>
    <row r="32" ht="12.75" customHeight="1" s="1">
      <c r="A32" s="67" t="n"/>
      <c r="B32" s="68" t="n"/>
      <c r="C32" s="128" t="n"/>
      <c r="D32" s="128" t="n"/>
      <c r="E32" s="128" t="n"/>
      <c r="F32" s="161" t="n"/>
      <c r="G32" s="164" t="inlineStr">
        <is>
          <t xml:space="preserve"> </t>
        </is>
      </c>
      <c r="H32" s="161" t="n"/>
      <c r="I32" s="161" t="n"/>
      <c r="J32" s="161" t="n"/>
      <c r="K32" s="161" t="n"/>
      <c r="L32" s="67" t="n"/>
    </row>
    <row r="33" ht="12.75" customHeight="1" s="1">
      <c r="A33" s="67" t="n"/>
      <c r="B33" s="68" t="n"/>
      <c r="C33" s="128" t="n"/>
      <c r="D33" s="128" t="n"/>
      <c r="E33" s="128" t="n"/>
      <c r="F33" s="161" t="n"/>
      <c r="G33" s="159" t="n"/>
      <c r="H33" s="159" t="n"/>
      <c r="I33" s="161" t="n"/>
      <c r="J33" s="161" t="n"/>
      <c r="K33" s="161" t="n"/>
      <c r="L33" s="67" t="n"/>
    </row>
    <row r="34" ht="12.75" customHeight="1" s="1">
      <c r="A34" s="67" t="n"/>
      <c r="B34" s="68" t="n"/>
      <c r="C34" s="128" t="n"/>
      <c r="D34" s="128" t="n"/>
      <c r="E34" s="128" t="n"/>
      <c r="F34" s="161" t="n"/>
      <c r="G34" s="159" t="n"/>
      <c r="H34" s="159" t="n"/>
      <c r="I34" s="161" t="n"/>
      <c r="J34" s="161" t="n"/>
      <c r="K34" s="161" t="n"/>
      <c r="L34" s="67" t="n"/>
    </row>
    <row r="35" ht="12.75" customHeight="1" s="1">
      <c r="A35" s="67" t="n"/>
      <c r="B35" s="68" t="n"/>
      <c r="C35" s="128" t="n"/>
      <c r="D35" s="128" t="n"/>
      <c r="E35" s="128" t="n"/>
      <c r="F35" s="161" t="n"/>
      <c r="G35" s="128" t="n"/>
      <c r="H35" s="159" t="n"/>
      <c r="I35" s="161" t="n"/>
      <c r="J35" s="161" t="n"/>
      <c r="K35" s="161" t="n"/>
      <c r="L35" s="67" t="n"/>
    </row>
    <row r="36" ht="12.75" customHeight="1" s="1">
      <c r="A36" s="67" t="n"/>
      <c r="B36" s="68" t="n"/>
      <c r="C36" s="128" t="n"/>
      <c r="D36" s="128" t="n"/>
      <c r="E36" s="128" t="n"/>
      <c r="F36" s="161" t="n"/>
      <c r="G36" s="128" t="n"/>
      <c r="H36" s="159" t="n"/>
      <c r="I36" s="161" t="n"/>
      <c r="J36" s="161" t="n"/>
      <c r="K36" s="161" t="n"/>
      <c r="L36" s="67" t="n"/>
    </row>
    <row r="37" ht="12.75" customHeight="1" s="1">
      <c r="A37" s="67" t="n"/>
      <c r="B37" s="68" t="n"/>
      <c r="C37" s="128" t="n"/>
      <c r="D37" s="128" t="n"/>
      <c r="E37" s="128" t="n"/>
      <c r="F37" s="161" t="n"/>
      <c r="G37" s="128" t="n"/>
      <c r="H37" s="159" t="n"/>
      <c r="I37" s="161" t="n"/>
      <c r="J37" s="161" t="n"/>
      <c r="K37" s="161" t="n"/>
      <c r="L37" s="67" t="n"/>
    </row>
    <row r="38" ht="12.75" customHeight="1" s="1">
      <c r="A38" s="67" t="n"/>
      <c r="B38" s="68" t="n"/>
      <c r="C38" s="128" t="n"/>
      <c r="D38" s="128" t="n"/>
      <c r="E38" s="128" t="n"/>
      <c r="F38" s="161" t="n"/>
      <c r="G38" s="128" t="n"/>
      <c r="H38" s="161" t="n"/>
      <c r="I38" s="161" t="n"/>
      <c r="J38" s="161" t="n"/>
      <c r="K38" s="161" t="n"/>
      <c r="L38" s="67" t="n"/>
    </row>
    <row r="39" ht="14.25" customHeight="1" s="1">
      <c r="A39" s="67" t="n"/>
      <c r="B39" s="68" t="n"/>
      <c r="C39" s="128" t="n"/>
      <c r="D39" s="128" t="n"/>
      <c r="E39" s="128" t="n"/>
      <c r="F39" s="159" t="n"/>
      <c r="G39" s="128" t="n"/>
      <c r="H39" s="165" t="n"/>
      <c r="I39" s="159" t="n"/>
      <c r="J39" s="159" t="n"/>
      <c r="K39" s="159" t="n"/>
      <c r="L39" s="68" t="n"/>
    </row>
    <row r="40" ht="14.25" customHeight="1" s="1">
      <c r="A40" s="67" t="n"/>
      <c r="B40" s="68" t="n"/>
      <c r="C40" s="128" t="n"/>
      <c r="D40" s="128" t="n"/>
      <c r="E40" s="128" t="n"/>
      <c r="F40" s="159" t="n"/>
      <c r="G40" s="128" t="n"/>
      <c r="H40" s="161" t="n"/>
      <c r="I40" s="159" t="n"/>
      <c r="J40" s="159" t="n"/>
      <c r="K40" s="159" t="n"/>
      <c r="L40" s="68" t="n"/>
    </row>
    <row r="41" ht="12.75" customHeight="1" s="1">
      <c r="A41" s="67" t="n"/>
      <c r="B41" s="68" t="n"/>
      <c r="C41" s="128" t="n"/>
      <c r="D41" s="128" t="n"/>
      <c r="E41" s="128" t="n"/>
      <c r="F41" s="159" t="n"/>
      <c r="G41" s="128" t="n"/>
      <c r="H41" s="128" t="n"/>
      <c r="I41" s="166" t="n"/>
      <c r="J41" s="159" t="n"/>
      <c r="K41" s="159" t="n"/>
      <c r="L41" s="68" t="n"/>
    </row>
    <row r="42" ht="12.75" customHeight="1" s="1">
      <c r="A42" s="67" t="n"/>
      <c r="B42" s="67" t="n"/>
      <c r="C42" s="128" t="n"/>
      <c r="D42" s="128" t="n"/>
      <c r="E42" s="128" t="n"/>
      <c r="F42" s="161" t="n"/>
      <c r="G42" s="128" t="n"/>
      <c r="H42" s="128" t="n"/>
      <c r="I42" s="128" t="n"/>
      <c r="J42" s="128" t="n"/>
      <c r="K42" s="129" t="n"/>
    </row>
    <row r="43" ht="13.5" customHeight="1" s="1">
      <c r="B43" s="96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9" t="n"/>
    </row>
    <row r="44" ht="13.5" customHeight="1" s="1">
      <c r="B44" s="96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9" t="n"/>
    </row>
    <row r="45" ht="13.5" customHeight="1" s="1">
      <c r="B45" s="96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9" t="n"/>
    </row>
    <row r="46"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9" t="n"/>
    </row>
    <row r="47"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9" t="n"/>
    </row>
    <row r="48"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9" t="n"/>
    </row>
    <row r="49"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9" t="n"/>
    </row>
    <row r="50"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9" t="n"/>
    </row>
    <row r="51"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9" t="n"/>
    </row>
    <row r="52"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9" t="n"/>
    </row>
    <row r="53"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9" t="n"/>
    </row>
    <row r="54"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9" t="n"/>
    </row>
    <row r="55"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9" t="n"/>
    </row>
    <row r="56"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9" t="n"/>
    </row>
    <row r="57"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9" t="n"/>
    </row>
    <row r="58"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9" t="n"/>
    </row>
    <row r="59"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9" t="n"/>
    </row>
    <row r="60"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9" t="n"/>
    </row>
    <row r="61"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9" t="n"/>
    </row>
    <row r="62"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9" t="n"/>
    </row>
    <row r="63"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9" t="n"/>
    </row>
    <row r="64"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9" t="n"/>
    </row>
    <row r="65"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9" t="n"/>
    </row>
    <row r="66"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9" t="n"/>
    </row>
    <row r="67"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9" t="n"/>
    </row>
    <row r="68"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9" t="n"/>
    </row>
    <row r="69"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9" t="n"/>
    </row>
    <row r="70"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9" t="n"/>
    </row>
    <row r="71"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9" t="n"/>
    </row>
    <row r="72"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9" t="n"/>
    </row>
    <row r="73"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9" t="n"/>
    </row>
    <row r="74"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9" t="n"/>
    </row>
    <row r="75"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9" t="n"/>
    </row>
    <row r="76"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9" t="n"/>
    </row>
    <row r="77"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9" t="n"/>
    </row>
    <row r="78"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9" t="n"/>
    </row>
    <row r="79"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9" t="n"/>
    </row>
    <row r="80"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9" t="n"/>
    </row>
    <row r="81"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9" t="n"/>
    </row>
    <row r="82"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9" t="n"/>
    </row>
    <row r="83"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9" t="n"/>
    </row>
    <row r="84"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9" t="n"/>
    </row>
    <row r="85"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9" t="n"/>
    </row>
    <row r="86"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9" t="n"/>
    </row>
    <row r="87"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9" t="n"/>
    </row>
    <row r="88"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9" t="n"/>
    </row>
    <row r="89"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9" t="n"/>
    </row>
    <row r="90"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9" t="n"/>
    </row>
    <row r="91"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9" t="n"/>
    </row>
    <row r="92"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9" t="n"/>
    </row>
    <row r="93"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9" t="n"/>
    </row>
    <row r="94"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9" t="n"/>
    </row>
    <row r="95"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9" t="n"/>
    </row>
    <row r="96"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9" t="n"/>
    </row>
    <row r="97"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9" t="n"/>
    </row>
    <row r="98"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9" t="n"/>
    </row>
    <row r="99"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9" t="n"/>
    </row>
    <row r="100"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9" t="n"/>
    </row>
    <row r="101"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9" t="n"/>
    </row>
    <row r="102"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9" t="n"/>
    </row>
    <row r="103"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9" t="n"/>
    </row>
    <row r="104"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9" t="n"/>
    </row>
    <row r="105"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9" t="n"/>
    </row>
    <row r="106"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9" t="n"/>
    </row>
    <row r="107"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9" t="n"/>
    </row>
    <row r="108"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9" t="n"/>
    </row>
    <row r="109"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9" t="n"/>
    </row>
    <row r="110"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9" t="n"/>
    </row>
    <row r="111"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9" t="n"/>
    </row>
    <row r="112"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9" t="n"/>
    </row>
    <row r="113"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9" t="n"/>
    </row>
    <row r="114"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9" t="n"/>
    </row>
    <row r="115"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9" t="n"/>
    </row>
    <row r="116"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9" t="n"/>
    </row>
    <row r="117"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9" t="n"/>
    </row>
    <row r="118"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9" t="n"/>
    </row>
    <row r="119"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9" t="n"/>
    </row>
    <row r="120"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9" t="n"/>
    </row>
    <row r="121"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9" t="n"/>
    </row>
    <row r="122"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9" t="n"/>
    </row>
    <row r="123"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9" t="n"/>
    </row>
    <row r="124"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9" t="n"/>
    </row>
    <row r="125"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9" t="n"/>
    </row>
    <row r="126"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9" t="n"/>
    </row>
    <row r="127"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9" t="n"/>
    </row>
    <row r="128"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9" t="n"/>
    </row>
    <row r="129"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9" t="n"/>
    </row>
    <row r="130"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9" t="n"/>
    </row>
    <row r="131"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9" t="n"/>
    </row>
    <row r="132"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9" t="n"/>
    </row>
    <row r="133"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9" t="n"/>
    </row>
    <row r="134"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9" t="n"/>
    </row>
    <row r="135"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9" t="n"/>
    </row>
    <row r="136"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9" t="n"/>
    </row>
    <row r="137">
      <c r="C137" s="128" t="n"/>
      <c r="D137" s="128" t="n"/>
      <c r="E137" s="128" t="n"/>
      <c r="F137" s="128" t="n"/>
      <c r="G137" s="128" t="n"/>
      <c r="H137" s="128" t="n"/>
      <c r="I137" s="128" t="n"/>
      <c r="J137" s="128" t="n"/>
      <c r="K137" s="129" t="n"/>
    </row>
    <row r="138"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9" t="n"/>
    </row>
    <row r="139"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9" t="n"/>
    </row>
    <row r="140"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9" t="n"/>
    </row>
    <row r="141"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9" t="n"/>
    </row>
    <row r="142"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9" t="n"/>
    </row>
    <row r="143"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9" t="n"/>
    </row>
    <row r="144"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9" t="n"/>
    </row>
    <row r="145"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9" t="n"/>
    </row>
    <row r="146"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9" t="n"/>
    </row>
    <row r="147"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9" t="n"/>
    </row>
    <row r="148"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9" t="n"/>
    </row>
    <row r="149"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9" t="n"/>
    </row>
    <row r="150"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9" t="n"/>
    </row>
    <row r="151"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9" t="n"/>
    </row>
    <row r="152"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9" t="n"/>
    </row>
    <row r="153"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9" t="n"/>
    </row>
    <row r="154"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9" t="n"/>
    </row>
    <row r="155"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9" t="n"/>
    </row>
    <row r="156"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9" t="n"/>
    </row>
    <row r="157">
      <c r="C157" s="128" t="n"/>
      <c r="D157" s="128" t="n"/>
      <c r="E157" s="128" t="n"/>
      <c r="F157" s="128" t="n"/>
      <c r="G157" s="128" t="n"/>
      <c r="H157" s="128" t="n"/>
      <c r="I157" s="128" t="n"/>
      <c r="J157" s="128" t="n"/>
      <c r="K157" s="129" t="n"/>
    </row>
    <row r="158">
      <c r="C158" s="128" t="n"/>
      <c r="D158" s="128" t="n"/>
      <c r="E158" s="128" t="n"/>
      <c r="F158" s="128" t="n"/>
      <c r="G158" s="128" t="n"/>
      <c r="H158" s="128" t="n"/>
      <c r="I158" s="128" t="n"/>
      <c r="J158" s="128" t="n"/>
      <c r="K158" s="129" t="n"/>
    </row>
    <row r="159"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9" t="n"/>
    </row>
    <row r="160"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9" t="n"/>
    </row>
    <row r="161"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9" t="n"/>
    </row>
    <row r="162"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9" t="n"/>
    </row>
    <row r="163"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9" t="n"/>
    </row>
    <row r="164"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9" t="n"/>
    </row>
    <row r="165"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9" t="n"/>
    </row>
    <row r="166"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9" t="n"/>
    </row>
    <row r="167"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9" t="n"/>
    </row>
    <row r="168"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9" t="n"/>
    </row>
    <row r="169"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9" t="n"/>
    </row>
    <row r="170"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9" t="n"/>
    </row>
    <row r="171"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9" t="n"/>
    </row>
    <row r="172"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9" t="n"/>
    </row>
    <row r="173"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9" t="n"/>
    </row>
    <row r="174"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9" t="n"/>
    </row>
    <row r="175">
      <c r="C175" s="128" t="n"/>
      <c r="D175" s="128" t="n"/>
      <c r="E175" s="128" t="n"/>
      <c r="F175" s="128" t="n"/>
      <c r="G175" s="128" t="n"/>
      <c r="H175" s="128" t="n"/>
      <c r="I175" s="128" t="n"/>
      <c r="J175" s="128" t="n"/>
      <c r="K175" s="129" t="n"/>
    </row>
    <row r="176">
      <c r="C176" s="128" t="n"/>
      <c r="D176" s="128" t="n"/>
      <c r="E176" s="128" t="n"/>
      <c r="F176" s="128" t="n"/>
      <c r="G176" s="128" t="n"/>
      <c r="H176" s="128" t="n"/>
      <c r="I176" s="128" t="n"/>
      <c r="J176" s="128" t="n"/>
      <c r="K176" s="129" t="n"/>
    </row>
    <row r="177"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9" t="n"/>
    </row>
    <row r="178"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9" t="n"/>
    </row>
    <row r="179"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9" t="n"/>
    </row>
    <row r="180"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9" t="n"/>
    </row>
    <row r="181"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9" t="n"/>
    </row>
    <row r="182"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9" t="n"/>
    </row>
    <row r="183"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9" t="n"/>
    </row>
    <row r="184"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9" t="n"/>
    </row>
    <row r="185"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9" t="n"/>
    </row>
    <row r="186"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9" t="n"/>
    </row>
    <row r="187"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9" t="n"/>
    </row>
    <row r="188"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9" t="n"/>
    </row>
    <row r="189"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9" t="n"/>
    </row>
    <row r="190"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9" t="n"/>
    </row>
    <row r="191"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9" t="n"/>
    </row>
    <row r="192"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9" t="n"/>
    </row>
    <row r="193"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9" t="n"/>
    </row>
    <row r="194"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9" t="n"/>
    </row>
    <row r="195"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9" t="n"/>
    </row>
    <row r="196"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9" t="n"/>
    </row>
    <row r="197"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9" t="n"/>
    </row>
    <row r="198">
      <c r="C198" s="128" t="n"/>
      <c r="D198" s="128" t="n"/>
      <c r="E198" s="128" t="n"/>
      <c r="F198" s="128" t="n"/>
      <c r="G198" s="128" t="n"/>
      <c r="H198" s="128" t="n"/>
      <c r="I198" s="128" t="n"/>
      <c r="J198" s="128" t="n"/>
      <c r="K198" s="129" t="n"/>
    </row>
    <row r="199">
      <c r="C199" s="128" t="n"/>
      <c r="D199" s="128" t="n"/>
      <c r="E199" s="128" t="n"/>
      <c r="F199" s="128" t="n"/>
      <c r="G199" s="128" t="n"/>
      <c r="H199" s="128" t="n"/>
      <c r="I199" s="128" t="n"/>
      <c r="J199" s="128" t="n"/>
      <c r="K199" s="129" t="n"/>
    </row>
    <row r="200">
      <c r="C200" s="128" t="n"/>
      <c r="D200" s="128" t="n"/>
      <c r="E200" s="128" t="n"/>
      <c r="F200" s="128" t="n"/>
      <c r="G200" s="128" t="n"/>
      <c r="H200" s="128" t="n"/>
      <c r="I200" s="128" t="n"/>
      <c r="J200" s="128" t="n"/>
      <c r="K200" s="129" t="n"/>
    </row>
    <row r="201">
      <c r="C201" s="128" t="n"/>
      <c r="D201" s="128" t="n"/>
      <c r="E201" s="128" t="n"/>
      <c r="F201" s="128" t="n"/>
      <c r="G201" s="128" t="n"/>
      <c r="H201" s="128" t="n"/>
      <c r="I201" s="128" t="n"/>
      <c r="J201" s="128" t="n"/>
      <c r="K201" s="129" t="n"/>
    </row>
    <row r="202">
      <c r="C202" s="128" t="n"/>
      <c r="D202" s="128" t="n"/>
      <c r="E202" s="128" t="n"/>
      <c r="F202" s="128" t="n"/>
      <c r="G202" s="128" t="n"/>
      <c r="H202" s="128" t="n"/>
      <c r="I202" s="128" t="n"/>
      <c r="J202" s="128" t="n"/>
      <c r="K202" s="129" t="n"/>
    </row>
    <row r="203">
      <c r="C203" s="128" t="n"/>
      <c r="D203" s="128" t="n"/>
      <c r="E203" s="128" t="n"/>
      <c r="F203" s="128" t="n"/>
      <c r="G203" s="128" t="n"/>
      <c r="H203" s="128" t="n"/>
      <c r="I203" s="128" t="n"/>
      <c r="J203" s="128" t="n"/>
      <c r="K203" s="129" t="n"/>
    </row>
    <row r="204">
      <c r="C204" s="128" t="n"/>
      <c r="D204" s="128" t="n"/>
      <c r="E204" s="128" t="n"/>
      <c r="F204" s="128" t="n"/>
      <c r="G204" s="128" t="n"/>
      <c r="H204" s="128" t="n"/>
      <c r="I204" s="128" t="n"/>
      <c r="J204" s="128" t="n"/>
      <c r="K204" s="129" t="n"/>
    </row>
    <row r="205">
      <c r="C205" s="128" t="n"/>
      <c r="D205" s="128" t="n"/>
      <c r="E205" s="128" t="n"/>
      <c r="F205" s="128" t="n"/>
      <c r="G205" s="128" t="n"/>
      <c r="H205" s="128" t="n"/>
      <c r="I205" s="128" t="n"/>
      <c r="J205" s="128" t="n"/>
      <c r="K205" s="129" t="n"/>
    </row>
    <row r="206">
      <c r="C206" s="128" t="n"/>
      <c r="D206" s="128" t="n"/>
      <c r="E206" s="128" t="n"/>
      <c r="F206" s="128" t="n"/>
      <c r="G206" s="128" t="n"/>
      <c r="H206" s="128" t="n"/>
      <c r="I206" s="128" t="n"/>
      <c r="J206" s="128" t="n"/>
      <c r="K206" s="129" t="n"/>
    </row>
    <row r="207">
      <c r="C207" s="128" t="n"/>
      <c r="D207" s="128" t="n"/>
      <c r="E207" s="128" t="n"/>
      <c r="F207" s="128" t="n"/>
      <c r="G207" s="128" t="n"/>
      <c r="H207" s="128" t="n"/>
      <c r="I207" s="128" t="n"/>
      <c r="J207" s="128" t="n"/>
      <c r="K207" s="129" t="n"/>
    </row>
    <row r="208">
      <c r="C208" s="128" t="n"/>
      <c r="D208" s="128" t="n"/>
      <c r="E208" s="128" t="n"/>
      <c r="F208" s="128" t="n"/>
      <c r="G208" s="128" t="n"/>
      <c r="H208" s="128" t="n"/>
      <c r="I208" s="128" t="n"/>
      <c r="J208" s="128" t="n"/>
      <c r="K208" s="129" t="n"/>
    </row>
    <row r="209">
      <c r="C209" s="128" t="n"/>
      <c r="D209" s="128" t="n"/>
      <c r="E209" s="128" t="n"/>
      <c r="F209" s="128" t="n"/>
      <c r="G209" s="128" t="n"/>
      <c r="H209" s="128" t="n"/>
      <c r="I209" s="128" t="n"/>
      <c r="J209" s="128" t="n"/>
      <c r="K209" s="129" t="n"/>
    </row>
    <row r="210">
      <c r="C210" s="128" t="n"/>
      <c r="D210" s="128" t="n"/>
      <c r="E210" s="128" t="n"/>
      <c r="F210" s="128" t="n"/>
      <c r="G210" s="128" t="n"/>
      <c r="H210" s="128" t="n"/>
      <c r="I210" s="128" t="n"/>
      <c r="J210" s="128" t="n"/>
      <c r="K210" s="129" t="n"/>
    </row>
    <row r="211">
      <c r="C211" s="128" t="n"/>
      <c r="D211" s="128" t="n"/>
      <c r="E211" s="128" t="n"/>
      <c r="F211" s="128" t="n"/>
      <c r="G211" s="128" t="n"/>
      <c r="H211" s="128" t="n"/>
      <c r="I211" s="128" t="n"/>
      <c r="J211" s="128" t="n"/>
      <c r="K211" s="129" t="n"/>
    </row>
    <row r="212">
      <c r="C212" s="128" t="n"/>
      <c r="D212" s="128" t="n"/>
      <c r="E212" s="128" t="n"/>
      <c r="F212" s="128" t="n"/>
      <c r="G212" s="128" t="n"/>
      <c r="H212" s="128" t="n"/>
      <c r="I212" s="128" t="n"/>
      <c r="J212" s="128" t="n"/>
      <c r="K212" s="129" t="n"/>
    </row>
    <row r="213">
      <c r="C213" s="128" t="n"/>
      <c r="D213" s="128" t="n"/>
      <c r="E213" s="128" t="n"/>
      <c r="F213" s="128" t="n"/>
      <c r="G213" s="128" t="n"/>
      <c r="H213" s="128" t="n"/>
      <c r="I213" s="128" t="n"/>
      <c r="J213" s="128" t="n"/>
      <c r="K213" s="129" t="n"/>
    </row>
    <row r="214">
      <c r="C214" s="128" t="n"/>
      <c r="D214" s="128" t="n"/>
      <c r="E214" s="128" t="n"/>
      <c r="F214" s="128" t="n"/>
      <c r="G214" s="128" t="n"/>
      <c r="H214" s="128" t="n"/>
      <c r="I214" s="128" t="n"/>
      <c r="J214" s="128" t="n"/>
      <c r="K214" s="129" t="n"/>
    </row>
    <row r="215">
      <c r="C215" s="128" t="n"/>
      <c r="D215" s="128" t="n"/>
      <c r="E215" s="128" t="n"/>
      <c r="F215" s="128" t="n"/>
      <c r="G215" s="128" t="n"/>
      <c r="H215" s="128" t="n"/>
      <c r="I215" s="128" t="n"/>
      <c r="J215" s="128" t="n"/>
      <c r="K215" s="129" t="n"/>
    </row>
    <row r="216">
      <c r="C216" s="128" t="n"/>
      <c r="D216" s="128" t="n"/>
      <c r="E216" s="128" t="n"/>
      <c r="F216" s="128" t="n"/>
      <c r="G216" s="128" t="n"/>
      <c r="H216" s="128" t="n"/>
      <c r="I216" s="128" t="n"/>
      <c r="J216" s="128" t="n"/>
      <c r="K216" s="129" t="n"/>
    </row>
    <row r="217">
      <c r="C217" s="128" t="n"/>
      <c r="D217" s="128" t="n"/>
      <c r="E217" s="128" t="n"/>
      <c r="F217" s="128" t="n"/>
      <c r="G217" s="128" t="n"/>
      <c r="H217" s="128" t="n"/>
      <c r="I217" s="128" t="n"/>
      <c r="J217" s="128" t="n"/>
      <c r="K217" s="129" t="n"/>
    </row>
    <row r="218">
      <c r="C218" s="128" t="n"/>
      <c r="D218" s="128" t="n"/>
      <c r="E218" s="128" t="n"/>
      <c r="F218" s="128" t="n"/>
      <c r="G218" s="128" t="n"/>
      <c r="H218" s="128" t="n"/>
      <c r="I218" s="128" t="n"/>
      <c r="J218" s="128" t="n"/>
      <c r="K218" s="129" t="n"/>
    </row>
    <row r="219">
      <c r="C219" s="128" t="n"/>
      <c r="D219" s="128" t="n"/>
      <c r="E219" s="128" t="n"/>
      <c r="F219" s="128" t="n"/>
      <c r="G219" s="128" t="n"/>
      <c r="H219" s="128" t="n"/>
      <c r="I219" s="128" t="n"/>
      <c r="J219" s="128" t="n"/>
      <c r="K219" s="129" t="n"/>
    </row>
    <row r="220">
      <c r="C220" s="128" t="n"/>
      <c r="D220" s="128" t="n"/>
      <c r="E220" s="128" t="n"/>
      <c r="F220" s="128" t="n"/>
      <c r="G220" s="128" t="n"/>
      <c r="H220" s="128" t="n"/>
      <c r="I220" s="128" t="n"/>
      <c r="J220" s="128" t="n"/>
      <c r="K220" s="129" t="n"/>
    </row>
    <row r="221">
      <c r="C221" s="128" t="n"/>
      <c r="D221" s="128" t="n"/>
      <c r="E221" s="128" t="n"/>
      <c r="F221" s="128" t="n"/>
      <c r="G221" s="128" t="n"/>
      <c r="H221" s="128" t="n"/>
      <c r="I221" s="128" t="n"/>
      <c r="J221" s="128" t="n"/>
      <c r="K221" s="129" t="n"/>
    </row>
    <row r="222">
      <c r="C222" s="128" t="n"/>
      <c r="D222" s="128" t="n"/>
      <c r="E222" s="128" t="n"/>
      <c r="F222" s="128" t="n"/>
      <c r="G222" s="128" t="n"/>
      <c r="H222" s="128" t="n"/>
      <c r="I222" s="128" t="n"/>
      <c r="J222" s="128" t="n"/>
      <c r="K222" s="129" t="n"/>
    </row>
    <row r="223"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9" t="n"/>
    </row>
    <row r="224">
      <c r="C224" s="128" t="n"/>
      <c r="D224" s="128" t="n"/>
      <c r="E224" s="128" t="n"/>
      <c r="F224" s="128" t="n"/>
      <c r="G224" s="128" t="n"/>
      <c r="H224" s="128" t="n"/>
      <c r="I224" s="128" t="n"/>
      <c r="J224" s="128" t="n"/>
      <c r="K224" s="129" t="n"/>
    </row>
    <row r="225">
      <c r="C225" s="128" t="n"/>
      <c r="D225" s="128" t="n"/>
      <c r="E225" s="128" t="n"/>
      <c r="F225" s="128" t="n"/>
      <c r="G225" s="128" t="n"/>
      <c r="H225" s="128" t="n"/>
      <c r="I225" s="128" t="n"/>
      <c r="J225" s="128" t="n"/>
      <c r="K225" s="129" t="n"/>
    </row>
    <row r="226">
      <c r="C226" s="128" t="n"/>
      <c r="D226" s="128" t="n"/>
      <c r="E226" s="128" t="n"/>
      <c r="F226" s="128" t="n"/>
      <c r="G226" s="128" t="n"/>
      <c r="H226" s="128" t="n"/>
      <c r="I226" s="128" t="n"/>
      <c r="J226" s="128" t="n"/>
      <c r="K226" s="129" t="n"/>
    </row>
    <row r="227">
      <c r="C227" s="128" t="n"/>
      <c r="D227" s="128" t="n"/>
      <c r="E227" s="128" t="n"/>
      <c r="F227" s="128" t="n"/>
      <c r="G227" s="128" t="n"/>
      <c r="H227" s="128" t="n"/>
      <c r="I227" s="128" t="n"/>
      <c r="J227" s="128" t="n"/>
      <c r="K227" s="129" t="n"/>
    </row>
    <row r="228">
      <c r="C228" s="128" t="n"/>
      <c r="D228" s="128" t="n"/>
      <c r="E228" s="128" t="n"/>
      <c r="F228" s="128" t="n"/>
      <c r="G228" s="128" t="n"/>
      <c r="H228" s="128" t="n"/>
      <c r="I228" s="128" t="n"/>
      <c r="J228" s="128" t="n"/>
      <c r="K228" s="129" t="n"/>
    </row>
    <row r="229">
      <c r="C229" s="128" t="n"/>
      <c r="D229" s="128" t="n"/>
      <c r="E229" s="128" t="n"/>
      <c r="F229" s="128" t="n"/>
      <c r="G229" s="128" t="n"/>
      <c r="H229" s="128" t="n"/>
      <c r="I229" s="128" t="n"/>
      <c r="J229" s="128" t="n"/>
      <c r="K229" s="129" t="n"/>
    </row>
    <row r="230">
      <c r="C230" s="128" t="n"/>
      <c r="D230" s="128" t="n"/>
      <c r="E230" s="128" t="n"/>
      <c r="F230" s="128" t="n"/>
      <c r="G230" s="128" t="n"/>
      <c r="H230" s="128" t="n"/>
      <c r="I230" s="128" t="n"/>
      <c r="J230" s="128" t="n"/>
      <c r="K230" s="129" t="n"/>
    </row>
    <row r="231">
      <c r="C231" s="128" t="n"/>
      <c r="D231" s="128" t="n"/>
      <c r="E231" s="128" t="n"/>
      <c r="F231" s="128" t="n"/>
      <c r="G231" s="128" t="n"/>
      <c r="H231" s="128" t="n"/>
      <c r="I231" s="128" t="n"/>
      <c r="J231" s="128" t="n"/>
      <c r="K231" s="129" t="n"/>
    </row>
    <row r="232">
      <c r="C232" s="128" t="n"/>
      <c r="D232" s="128" t="n"/>
      <c r="E232" s="128" t="n"/>
      <c r="F232" s="128" t="n"/>
      <c r="G232" s="128" t="n"/>
      <c r="H232" s="128" t="n"/>
      <c r="I232" s="128" t="n"/>
      <c r="J232" s="128" t="n"/>
      <c r="K232" s="129" t="n"/>
    </row>
    <row r="233">
      <c r="C233" s="128" t="n"/>
      <c r="D233" s="128" t="n"/>
      <c r="E233" s="128" t="n"/>
      <c r="F233" s="128" t="n"/>
      <c r="G233" s="128" t="n"/>
      <c r="H233" s="128" t="n"/>
      <c r="I233" s="128" t="n"/>
      <c r="J233" s="128" t="n"/>
      <c r="K233" s="129" t="n"/>
    </row>
    <row r="234">
      <c r="C234" s="128" t="n"/>
      <c r="D234" s="128" t="n"/>
      <c r="E234" s="128" t="n"/>
      <c r="F234" s="128" t="n"/>
      <c r="G234" s="128" t="n"/>
      <c r="H234" s="128" t="n"/>
      <c r="I234" s="128" t="n"/>
      <c r="J234" s="128" t="n"/>
      <c r="K234" s="129" t="n"/>
    </row>
    <row r="235">
      <c r="C235" s="128" t="n"/>
      <c r="D235" s="128" t="n"/>
      <c r="E235" s="128" t="n"/>
      <c r="F235" s="128" t="n"/>
      <c r="G235" s="128" t="n"/>
      <c r="H235" s="128" t="n"/>
      <c r="I235" s="128" t="n"/>
      <c r="J235" s="128" t="n"/>
      <c r="K235" s="129" t="n"/>
    </row>
    <row r="236">
      <c r="C236" s="128" t="n"/>
      <c r="D236" s="128" t="n"/>
      <c r="E236" s="128" t="n"/>
      <c r="F236" s="128" t="n"/>
      <c r="G236" s="128" t="n"/>
      <c r="H236" s="128" t="n"/>
      <c r="I236" s="128" t="n"/>
      <c r="J236" s="128" t="n"/>
      <c r="K236" s="129" t="n"/>
    </row>
    <row r="237">
      <c r="C237" s="128" t="n"/>
      <c r="D237" s="128" t="n"/>
      <c r="E237" s="128" t="n"/>
      <c r="F237" s="128" t="n"/>
      <c r="G237" s="128" t="n"/>
      <c r="H237" s="128" t="n"/>
      <c r="I237" s="128" t="n"/>
      <c r="J237" s="128" t="n"/>
      <c r="K237" s="129" t="n"/>
    </row>
    <row r="238">
      <c r="C238" s="128" t="n"/>
      <c r="D238" s="128" t="n"/>
      <c r="E238" s="128" t="n"/>
      <c r="F238" s="128" t="n"/>
      <c r="G238" s="128" t="n"/>
      <c r="H238" s="128" t="n"/>
      <c r="I238" s="128" t="n"/>
      <c r="J238" s="128" t="n"/>
      <c r="K238" s="129" t="n"/>
    </row>
    <row r="239">
      <c r="C239" s="128" t="n"/>
      <c r="D239" s="128" t="n"/>
      <c r="E239" s="128" t="n"/>
      <c r="F239" s="128" t="n"/>
      <c r="G239" s="128" t="n"/>
      <c r="H239" s="128" t="n"/>
      <c r="I239" s="128" t="n"/>
      <c r="J239" s="128" t="n"/>
      <c r="K239" s="129" t="n"/>
    </row>
    <row r="240">
      <c r="C240" s="128" t="n"/>
      <c r="D240" s="128" t="n"/>
      <c r="E240" s="128" t="n"/>
      <c r="F240" s="128" t="n"/>
      <c r="G240" s="128" t="n"/>
      <c r="H240" s="128" t="n"/>
      <c r="I240" s="128" t="n"/>
      <c r="J240" s="128" t="n"/>
      <c r="K240" s="129" t="n"/>
    </row>
    <row r="241">
      <c r="C241" s="128" t="n"/>
      <c r="D241" s="128" t="n"/>
      <c r="E241" s="128" t="n"/>
      <c r="F241" s="128" t="n"/>
      <c r="G241" s="128" t="n"/>
      <c r="H241" s="128" t="n"/>
      <c r="I241" s="128" t="n"/>
      <c r="J241" s="128" t="n"/>
      <c r="K241" s="129" t="n"/>
    </row>
    <row r="242">
      <c r="C242" s="128" t="n"/>
      <c r="D242" s="128" t="n"/>
      <c r="E242" s="128" t="n"/>
      <c r="F242" s="128" t="n"/>
      <c r="G242" s="128" t="n"/>
      <c r="H242" s="128" t="n"/>
      <c r="I242" s="128" t="n"/>
      <c r="J242" s="128" t="n"/>
      <c r="K242" s="129" t="n"/>
    </row>
    <row r="243">
      <c r="C243" s="128" t="n"/>
      <c r="D243" s="128" t="n"/>
      <c r="E243" s="128" t="n"/>
      <c r="F243" s="128" t="n"/>
      <c r="G243" s="128" t="n"/>
      <c r="H243" s="128" t="n"/>
      <c r="I243" s="128" t="n"/>
      <c r="J243" s="128" t="n"/>
      <c r="K243" s="129" t="n"/>
    </row>
    <row r="244">
      <c r="C244" s="128" t="n"/>
      <c r="D244" s="128" t="n"/>
      <c r="E244" s="128" t="n"/>
      <c r="F244" s="128" t="n"/>
      <c r="G244" s="128" t="n"/>
      <c r="H244" s="128" t="n"/>
      <c r="I244" s="128" t="n"/>
      <c r="J244" s="128" t="n"/>
      <c r="K244" s="129" t="n"/>
    </row>
    <row r="245">
      <c r="C245" s="128" t="n"/>
      <c r="D245" s="128" t="n"/>
      <c r="E245" s="128" t="n"/>
      <c r="F245" s="128" t="n"/>
      <c r="G245" s="128" t="n"/>
      <c r="H245" s="128" t="n"/>
      <c r="I245" s="128" t="n"/>
      <c r="J245" s="128" t="n"/>
      <c r="K245" s="129" t="n"/>
    </row>
    <row r="246">
      <c r="C246" s="128" t="n"/>
      <c r="D246" s="128" t="n"/>
      <c r="E246" s="128" t="n"/>
      <c r="F246" s="128" t="n"/>
      <c r="G246" s="128" t="n"/>
      <c r="H246" s="128" t="n"/>
      <c r="I246" s="128" t="n"/>
      <c r="J246" s="128" t="n"/>
      <c r="K246" s="129" t="n"/>
    </row>
    <row r="247">
      <c r="C247" s="128" t="n"/>
      <c r="D247" s="128" t="n"/>
      <c r="E247" s="128" t="n"/>
      <c r="F247" s="128" t="n"/>
      <c r="G247" s="128" t="n"/>
      <c r="H247" s="128" t="n"/>
      <c r="I247" s="128" t="n"/>
      <c r="J247" s="128" t="n"/>
      <c r="K247" s="129" t="n"/>
    </row>
    <row r="248">
      <c r="C248" s="128" t="n"/>
      <c r="D248" s="128" t="n"/>
      <c r="E248" s="128" t="n"/>
      <c r="F248" s="128" t="n"/>
      <c r="G248" s="128" t="n"/>
      <c r="H248" s="128" t="n"/>
      <c r="I248" s="128" t="n"/>
      <c r="J248" s="128" t="n"/>
      <c r="K248" s="129" t="n"/>
    </row>
    <row r="249">
      <c r="C249" s="128" t="n"/>
      <c r="D249" s="128" t="n"/>
      <c r="E249" s="128" t="n"/>
      <c r="F249" s="128" t="n"/>
      <c r="G249" s="128" t="n"/>
      <c r="H249" s="128" t="n"/>
      <c r="I249" s="128" t="n"/>
      <c r="J249" s="128" t="n"/>
      <c r="K249" s="129" t="n"/>
    </row>
    <row r="250">
      <c r="C250" s="128" t="n"/>
      <c r="D250" s="128" t="n"/>
      <c r="E250" s="128" t="n"/>
      <c r="F250" s="128" t="n"/>
      <c r="G250" s="128" t="n"/>
      <c r="H250" s="128" t="n"/>
      <c r="I250" s="128" t="n"/>
      <c r="J250" s="128" t="n"/>
      <c r="K250" s="129" t="n"/>
    </row>
    <row r="251">
      <c r="C251" s="128" t="n"/>
      <c r="D251" s="128" t="n"/>
      <c r="E251" s="128" t="n"/>
      <c r="F251" s="128" t="n"/>
      <c r="G251" s="128" t="n"/>
      <c r="H251" s="128" t="n"/>
      <c r="I251" s="128" t="n"/>
      <c r="J251" s="128" t="n"/>
      <c r="K251" s="129" t="n"/>
    </row>
    <row r="252">
      <c r="C252" s="128" t="n"/>
      <c r="D252" s="128" t="n"/>
      <c r="E252" s="128" t="n"/>
      <c r="F252" s="128" t="n"/>
      <c r="G252" s="128" t="n"/>
      <c r="H252" s="128" t="n"/>
      <c r="I252" s="128" t="n"/>
      <c r="J252" s="128" t="n"/>
      <c r="K252" s="129" t="n"/>
    </row>
    <row r="253">
      <c r="C253" s="128" t="n"/>
      <c r="D253" s="128" t="n"/>
      <c r="E253" s="128" t="n"/>
      <c r="F253" s="128" t="n"/>
      <c r="G253" s="128" t="n"/>
      <c r="H253" s="128" t="n"/>
      <c r="I253" s="128" t="n"/>
      <c r="J253" s="128" t="n"/>
      <c r="K253" s="129" t="n"/>
    </row>
    <row r="254">
      <c r="C254" s="128" t="n"/>
      <c r="D254" s="128" t="n"/>
      <c r="E254" s="128" t="n"/>
      <c r="F254" s="128" t="n"/>
      <c r="G254" s="128" t="n"/>
      <c r="H254" s="128" t="n"/>
      <c r="I254" s="128" t="n"/>
      <c r="J254" s="128" t="n"/>
      <c r="K254" s="129" t="n"/>
    </row>
    <row r="255">
      <c r="C255" s="128" t="n"/>
      <c r="D255" s="128" t="n"/>
      <c r="E255" s="128" t="n"/>
      <c r="F255" s="128" t="n"/>
      <c r="G255" s="128" t="n"/>
      <c r="H255" s="128" t="n"/>
      <c r="I255" s="128" t="n"/>
      <c r="J255" s="128" t="n"/>
      <c r="K255" s="129" t="n"/>
    </row>
    <row r="256">
      <c r="C256" s="128" t="n"/>
      <c r="D256" s="128" t="n"/>
      <c r="E256" s="128" t="n"/>
      <c r="F256" s="128" t="n"/>
      <c r="G256" s="128" t="n"/>
      <c r="H256" s="128" t="n"/>
      <c r="I256" s="128" t="n"/>
      <c r="J256" s="128" t="n"/>
      <c r="K256" s="129" t="n"/>
    </row>
    <row r="257">
      <c r="C257" s="128" t="n"/>
      <c r="D257" s="128" t="n"/>
      <c r="E257" s="128" t="n"/>
      <c r="F257" s="128" t="n"/>
      <c r="G257" s="128" t="n"/>
      <c r="H257" s="128" t="n"/>
      <c r="I257" s="128" t="n"/>
      <c r="J257" s="128" t="n"/>
      <c r="K257" s="129" t="n"/>
    </row>
    <row r="258">
      <c r="C258" s="128" t="n"/>
      <c r="D258" s="128" t="n"/>
      <c r="E258" s="128" t="n"/>
      <c r="F258" s="128" t="n"/>
      <c r="G258" s="128" t="n"/>
      <c r="H258" s="128" t="n"/>
      <c r="I258" s="128" t="n"/>
      <c r="J258" s="128" t="n"/>
      <c r="K258" s="129" t="n"/>
    </row>
    <row r="259">
      <c r="C259" s="128" t="n"/>
      <c r="D259" s="128" t="n"/>
      <c r="E259" s="128" t="n"/>
      <c r="F259" s="128" t="n"/>
      <c r="G259" s="128" t="n"/>
      <c r="H259" s="128" t="n"/>
      <c r="I259" s="128" t="n"/>
      <c r="J259" s="128" t="n"/>
      <c r="K259" s="129" t="n"/>
    </row>
    <row r="260">
      <c r="C260" s="128" t="n"/>
      <c r="D260" s="128" t="n"/>
      <c r="E260" s="128" t="n"/>
      <c r="F260" s="128" t="n"/>
      <c r="G260" s="128" t="n"/>
      <c r="H260" s="128" t="n"/>
      <c r="I260" s="128" t="n"/>
      <c r="J260" s="128" t="n"/>
      <c r="K260" s="129" t="n"/>
    </row>
    <row r="261">
      <c r="C261" s="128" t="n"/>
      <c r="D261" s="128" t="n"/>
      <c r="E261" s="128" t="n"/>
      <c r="F261" s="128" t="n"/>
      <c r="G261" s="128" t="n"/>
      <c r="H261" s="128" t="n"/>
      <c r="I261" s="128" t="n"/>
      <c r="J261" s="128" t="n"/>
      <c r="K261" s="129" t="n"/>
    </row>
    <row r="262">
      <c r="C262" s="128" t="n"/>
      <c r="D262" s="128" t="n"/>
      <c r="E262" s="128" t="n"/>
      <c r="F262" s="128" t="n"/>
      <c r="G262" s="128" t="n"/>
      <c r="H262" s="128" t="n"/>
      <c r="I262" s="128" t="n"/>
      <c r="J262" s="128" t="n"/>
      <c r="K262" s="129" t="n"/>
    </row>
    <row r="263">
      <c r="C263" s="128" t="n"/>
      <c r="D263" s="128" t="n"/>
      <c r="E263" s="128" t="n"/>
      <c r="F263" s="128" t="n"/>
      <c r="G263" s="128" t="n"/>
      <c r="H263" s="128" t="n"/>
      <c r="I263" s="128" t="n"/>
      <c r="J263" s="128" t="n"/>
      <c r="K263" s="129" t="n"/>
    </row>
    <row r="264">
      <c r="C264" s="128" t="n"/>
      <c r="D264" s="128" t="n"/>
      <c r="E264" s="128" t="n"/>
      <c r="F264" s="128" t="n"/>
      <c r="G264" s="128" t="n"/>
      <c r="H264" s="128" t="n"/>
      <c r="I264" s="128" t="n"/>
      <c r="J264" s="128" t="n"/>
      <c r="K264" s="129" t="n"/>
    </row>
    <row r="265">
      <c r="C265" s="128" t="n"/>
      <c r="D265" s="128" t="n"/>
      <c r="E265" s="128" t="n"/>
      <c r="F265" s="128" t="n"/>
      <c r="G265" s="128" t="n"/>
      <c r="H265" s="128" t="n"/>
      <c r="I265" s="128" t="n"/>
      <c r="J265" s="128" t="n"/>
      <c r="K265" s="129" t="n"/>
    </row>
    <row r="266">
      <c r="C266" s="128" t="n"/>
      <c r="D266" s="128" t="n"/>
      <c r="E266" s="128" t="n"/>
      <c r="F266" s="128" t="n"/>
      <c r="G266" s="128" t="n"/>
      <c r="H266" s="128" t="n"/>
      <c r="I266" s="128" t="n"/>
      <c r="J266" s="128" t="n"/>
      <c r="K266" s="129" t="n"/>
    </row>
    <row r="267">
      <c r="C267" s="128" t="n"/>
      <c r="D267" s="128" t="n"/>
      <c r="E267" s="128" t="n"/>
      <c r="F267" s="128" t="n"/>
      <c r="G267" s="128" t="n"/>
      <c r="H267" s="128" t="n"/>
      <c r="I267" s="128" t="n"/>
      <c r="J267" s="128" t="n"/>
      <c r="K267" s="129" t="n"/>
    </row>
    <row r="268">
      <c r="C268" s="128" t="n"/>
      <c r="D268" s="128" t="n"/>
      <c r="E268" s="128" t="n"/>
      <c r="F268" s="128" t="n"/>
      <c r="G268" s="128" t="n"/>
      <c r="H268" s="128" t="n"/>
      <c r="I268" s="128" t="n"/>
      <c r="J268" s="128" t="n"/>
      <c r="K268" s="129" t="n"/>
    </row>
    <row r="269">
      <c r="C269" s="128" t="n"/>
      <c r="D269" s="128" t="n"/>
      <c r="E269" s="128" t="n"/>
      <c r="F269" s="128" t="n"/>
      <c r="G269" s="128" t="n"/>
      <c r="H269" s="128" t="n"/>
      <c r="I269" s="128" t="n"/>
      <c r="J269" s="128" t="n"/>
      <c r="K269" s="129" t="n"/>
    </row>
    <row r="270">
      <c r="C270" s="128" t="n"/>
      <c r="D270" s="128" t="n"/>
      <c r="E270" s="128" t="n"/>
      <c r="F270" s="128" t="n"/>
      <c r="G270" s="128" t="n"/>
      <c r="H270" s="128" t="n"/>
      <c r="I270" s="128" t="n"/>
      <c r="J270" s="128" t="n"/>
      <c r="K270" s="129" t="n"/>
    </row>
    <row r="271">
      <c r="C271" s="128" t="n"/>
      <c r="D271" s="128" t="n"/>
      <c r="E271" s="128" t="n"/>
      <c r="F271" s="128" t="n"/>
      <c r="G271" s="128" t="n"/>
      <c r="H271" s="128" t="n"/>
      <c r="I271" s="128" t="n"/>
      <c r="J271" s="128" t="n"/>
      <c r="K271" s="129" t="n"/>
    </row>
    <row r="272">
      <c r="C272" s="128" t="n"/>
      <c r="D272" s="128" t="n"/>
      <c r="E272" s="128" t="n"/>
      <c r="F272" s="128" t="n"/>
      <c r="G272" s="128" t="n"/>
      <c r="H272" s="128" t="n"/>
      <c r="I272" s="128" t="n"/>
      <c r="J272" s="128" t="n"/>
      <c r="K272" s="129" t="n"/>
    </row>
    <row r="273">
      <c r="C273" s="128" t="n"/>
      <c r="D273" s="128" t="n"/>
      <c r="E273" s="128" t="n"/>
      <c r="F273" s="128" t="n"/>
      <c r="G273" s="128" t="n"/>
      <c r="H273" s="128" t="n"/>
      <c r="I273" s="128" t="n"/>
      <c r="J273" s="128" t="n"/>
      <c r="K273" s="129" t="n"/>
    </row>
    <row r="274">
      <c r="C274" s="128" t="n"/>
      <c r="D274" s="128" t="n"/>
      <c r="E274" s="128" t="n"/>
      <c r="F274" s="128" t="n"/>
      <c r="G274" s="128" t="n"/>
      <c r="H274" s="128" t="n"/>
      <c r="I274" s="128" t="n"/>
      <c r="J274" s="128" t="n"/>
      <c r="K274" s="129" t="n"/>
    </row>
    <row r="275">
      <c r="C275" s="128" t="n"/>
      <c r="D275" s="128" t="n"/>
      <c r="E275" s="128" t="n"/>
      <c r="F275" s="128" t="n"/>
      <c r="G275" s="128" t="n"/>
      <c r="H275" s="128" t="n"/>
      <c r="I275" s="128" t="n"/>
      <c r="J275" s="128" t="n"/>
      <c r="K275" s="129" t="n"/>
    </row>
    <row r="276">
      <c r="C276" s="128" t="n"/>
      <c r="D276" s="128" t="n"/>
      <c r="E276" s="128" t="n"/>
      <c r="F276" s="128" t="n"/>
      <c r="G276" s="128" t="n"/>
      <c r="H276" s="128" t="n"/>
      <c r="I276" s="128" t="n"/>
      <c r="J276" s="128" t="n"/>
      <c r="K276" s="129" t="n"/>
    </row>
    <row r="277">
      <c r="C277" s="128" t="n"/>
      <c r="D277" s="128" t="n"/>
      <c r="E277" s="128" t="n"/>
      <c r="F277" s="128" t="n"/>
      <c r="G277" s="128" t="n"/>
      <c r="H277" s="128" t="n"/>
      <c r="I277" s="128" t="n"/>
      <c r="J277" s="128" t="n"/>
      <c r="K277" s="129" t="n"/>
    </row>
    <row r="278">
      <c r="C278" s="128" t="n"/>
      <c r="D278" s="128" t="n"/>
      <c r="E278" s="128" t="n"/>
      <c r="F278" s="128" t="n"/>
      <c r="G278" s="128" t="n"/>
      <c r="H278" s="128" t="n"/>
      <c r="I278" s="128" t="n"/>
      <c r="J278" s="128" t="n"/>
      <c r="K278" s="129" t="n"/>
    </row>
    <row r="279">
      <c r="C279" s="128" t="n"/>
      <c r="D279" s="128" t="n"/>
      <c r="E279" s="128" t="n"/>
      <c r="F279" s="128" t="n"/>
      <c r="G279" s="128" t="n"/>
      <c r="H279" s="128" t="n"/>
      <c r="I279" s="128" t="n"/>
      <c r="J279" s="128" t="n"/>
      <c r="K279" s="129" t="n"/>
    </row>
    <row r="280">
      <c r="C280" s="128" t="n"/>
      <c r="D280" s="128" t="n"/>
      <c r="E280" s="128" t="n"/>
      <c r="F280" s="128" t="n"/>
      <c r="G280" s="128" t="n"/>
      <c r="H280" s="128" t="n"/>
      <c r="I280" s="128" t="n"/>
      <c r="J280" s="128" t="n"/>
      <c r="K280" s="129" t="n"/>
    </row>
    <row r="281">
      <c r="C281" s="128" t="n"/>
      <c r="D281" s="128" t="n"/>
      <c r="E281" s="128" t="n"/>
      <c r="F281" s="128" t="n"/>
      <c r="G281" s="128" t="n"/>
      <c r="H281" s="128" t="n"/>
      <c r="I281" s="128" t="n"/>
      <c r="J281" s="128" t="n"/>
      <c r="K281" s="129" t="n"/>
    </row>
    <row r="282">
      <c r="C282" s="128" t="n"/>
      <c r="D282" s="128" t="n"/>
      <c r="E282" s="128" t="n"/>
      <c r="F282" s="128" t="n"/>
      <c r="G282" s="128" t="n"/>
      <c r="H282" s="128" t="n"/>
      <c r="I282" s="128" t="n"/>
      <c r="J282" s="128" t="n"/>
      <c r="K282" s="129" t="n"/>
    </row>
    <row r="283">
      <c r="C283" s="128" t="n"/>
      <c r="D283" s="128" t="n"/>
      <c r="E283" s="128" t="n"/>
      <c r="F283" s="128" t="n"/>
      <c r="G283" s="128" t="n"/>
      <c r="H283" s="128" t="n"/>
      <c r="I283" s="128" t="n"/>
      <c r="J283" s="128" t="n"/>
      <c r="K283" s="129" t="n"/>
    </row>
    <row r="284">
      <c r="C284" s="128" t="n"/>
      <c r="D284" s="128" t="n"/>
      <c r="E284" s="128" t="n"/>
      <c r="F284" s="128" t="n"/>
      <c r="G284" s="128" t="n"/>
      <c r="H284" s="128" t="n"/>
      <c r="I284" s="128" t="n"/>
      <c r="J284" s="128" t="n"/>
      <c r="K284" s="129" t="n"/>
    </row>
    <row r="285">
      <c r="C285" s="128" t="n"/>
      <c r="D285" s="128" t="n"/>
      <c r="E285" s="128" t="n"/>
      <c r="F285" s="128" t="n"/>
      <c r="G285" s="128" t="n"/>
      <c r="H285" s="128" t="n"/>
      <c r="I285" s="128" t="n"/>
      <c r="J285" s="128" t="n"/>
      <c r="K285" s="129" t="n"/>
    </row>
    <row r="286">
      <c r="C286" s="128" t="n"/>
      <c r="D286" s="128" t="n"/>
      <c r="E286" s="128" t="n"/>
      <c r="F286" s="128" t="n"/>
      <c r="G286" s="128" t="n"/>
      <c r="H286" s="128" t="n"/>
      <c r="I286" s="128" t="n"/>
      <c r="J286" s="128" t="n"/>
      <c r="K286" s="129" t="n"/>
    </row>
    <row r="287">
      <c r="C287" s="128" t="n"/>
      <c r="D287" s="128" t="n"/>
      <c r="E287" s="128" t="n"/>
      <c r="F287" s="128" t="n"/>
      <c r="G287" s="128" t="n"/>
      <c r="H287" s="128" t="n"/>
      <c r="I287" s="128" t="n"/>
      <c r="J287" s="128" t="n"/>
      <c r="K287" s="129" t="n"/>
    </row>
    <row r="288">
      <c r="C288" s="128" t="n"/>
      <c r="D288" s="128" t="n"/>
      <c r="E288" s="128" t="n"/>
      <c r="F288" s="128" t="n"/>
      <c r="G288" s="128" t="n"/>
      <c r="H288" s="128" t="n"/>
      <c r="I288" s="128" t="n"/>
      <c r="J288" s="128" t="n"/>
      <c r="K288" s="129" t="n"/>
    </row>
    <row r="289">
      <c r="C289" s="128" t="n"/>
      <c r="D289" s="128" t="n"/>
      <c r="E289" s="128" t="n"/>
      <c r="F289" s="128" t="n"/>
      <c r="G289" s="128" t="n"/>
      <c r="H289" s="128" t="n"/>
      <c r="I289" s="128" t="n"/>
      <c r="J289" s="128" t="n"/>
      <c r="K289" s="129" t="n"/>
    </row>
    <row r="290">
      <c r="C290" s="128" t="n"/>
      <c r="D290" s="128" t="n"/>
      <c r="E290" s="128" t="n"/>
      <c r="F290" s="128" t="n"/>
      <c r="G290" s="128" t="n"/>
      <c r="H290" s="128" t="n"/>
      <c r="I290" s="128" t="n"/>
      <c r="J290" s="128" t="n"/>
      <c r="K290" s="129" t="n"/>
    </row>
    <row r="291">
      <c r="C291" s="128" t="n"/>
      <c r="D291" s="128" t="n"/>
      <c r="E291" s="128" t="n"/>
      <c r="F291" s="128" t="n"/>
      <c r="G291" s="128" t="n"/>
      <c r="H291" s="128" t="n"/>
      <c r="I291" s="128" t="n"/>
      <c r="J291" s="128" t="n"/>
      <c r="K291" s="129" t="n"/>
    </row>
    <row r="292">
      <c r="C292" s="128" t="n"/>
      <c r="D292" s="128" t="n"/>
      <c r="E292" s="128" t="n"/>
      <c r="F292" s="128" t="n"/>
      <c r="G292" s="128" t="n"/>
      <c r="H292" s="128" t="n"/>
      <c r="I292" s="128" t="n"/>
      <c r="J292" s="128" t="n"/>
      <c r="K292" s="129" t="n"/>
    </row>
    <row r="293">
      <c r="C293" s="128" t="n"/>
      <c r="D293" s="128" t="n"/>
      <c r="E293" s="128" t="n"/>
      <c r="F293" s="128" t="n"/>
      <c r="G293" s="128" t="n"/>
      <c r="H293" s="128" t="n"/>
      <c r="I293" s="128" t="n"/>
      <c r="J293" s="128" t="n"/>
      <c r="K293" s="129" t="n"/>
    </row>
    <row r="294">
      <c r="C294" s="128" t="n"/>
      <c r="D294" s="128" t="n"/>
      <c r="E294" s="128" t="n"/>
      <c r="F294" s="128" t="n"/>
      <c r="G294" s="128" t="n"/>
      <c r="H294" s="128" t="n"/>
      <c r="I294" s="128" t="n"/>
      <c r="J294" s="128" t="n"/>
      <c r="K294" s="129" t="n"/>
    </row>
    <row r="295">
      <c r="C295" s="128" t="n"/>
      <c r="D295" s="128" t="n"/>
      <c r="E295" s="128" t="n"/>
      <c r="F295" s="128" t="n"/>
      <c r="G295" s="128" t="n"/>
      <c r="H295" s="128" t="n"/>
      <c r="I295" s="128" t="n"/>
      <c r="J295" s="128" t="n"/>
      <c r="K295" s="129" t="n"/>
    </row>
    <row r="296">
      <c r="C296" s="128" t="n"/>
      <c r="D296" s="128" t="n"/>
      <c r="E296" s="128" t="n"/>
      <c r="F296" s="128" t="n"/>
      <c r="G296" s="128" t="n"/>
      <c r="H296" s="128" t="n"/>
      <c r="I296" s="128" t="n"/>
      <c r="J296" s="128" t="n"/>
      <c r="K296" s="129" t="n"/>
    </row>
    <row r="297">
      <c r="C297" s="128" t="n"/>
      <c r="D297" s="128" t="n"/>
      <c r="E297" s="128" t="n"/>
      <c r="F297" s="128" t="n"/>
      <c r="G297" s="128" t="n"/>
      <c r="H297" s="128" t="n"/>
      <c r="I297" s="128" t="n"/>
      <c r="J297" s="128" t="n"/>
      <c r="K297" s="129" t="n"/>
    </row>
    <row r="298">
      <c r="C298" s="128" t="n"/>
      <c r="D298" s="128" t="n"/>
      <c r="E298" s="128" t="n"/>
      <c r="F298" s="128" t="n"/>
      <c r="G298" s="128" t="n"/>
      <c r="H298" s="128" t="n"/>
      <c r="I298" s="128" t="n"/>
      <c r="J298" s="128" t="n"/>
      <c r="K298" s="129" t="n"/>
    </row>
    <row r="299">
      <c r="C299" s="128" t="n"/>
      <c r="D299" s="128" t="n"/>
      <c r="E299" s="128" t="n"/>
      <c r="F299" s="128" t="n"/>
      <c r="G299" s="128" t="n"/>
      <c r="H299" s="128" t="n"/>
      <c r="I299" s="128" t="n"/>
      <c r="J299" s="128" t="n"/>
      <c r="K299" s="129" t="n"/>
    </row>
    <row r="300">
      <c r="C300" s="128" t="n"/>
      <c r="D300" s="128" t="n"/>
      <c r="E300" s="128" t="n"/>
      <c r="F300" s="128" t="n"/>
      <c r="G300" s="128" t="n"/>
      <c r="H300" s="128" t="n"/>
      <c r="I300" s="128" t="n"/>
      <c r="J300" s="128" t="n"/>
      <c r="K300" s="129" t="n"/>
    </row>
    <row r="301">
      <c r="C301" s="128" t="n"/>
      <c r="D301" s="128" t="n"/>
      <c r="E301" s="128" t="n"/>
      <c r="F301" s="128" t="n"/>
      <c r="G301" s="128" t="n"/>
      <c r="H301" s="128" t="n"/>
      <c r="I301" s="128" t="n"/>
      <c r="J301" s="128" t="n"/>
      <c r="K301" s="129" t="n"/>
    </row>
    <row r="302">
      <c r="C302" s="128" t="n"/>
      <c r="D302" s="128" t="n"/>
      <c r="E302" s="128" t="n"/>
      <c r="F302" s="128" t="n"/>
      <c r="G302" s="128" t="n"/>
      <c r="H302" s="128" t="n"/>
      <c r="I302" s="128" t="n"/>
      <c r="J302" s="128" t="n"/>
      <c r="K302" s="129" t="n"/>
    </row>
    <row r="303">
      <c r="C303" s="128" t="n"/>
      <c r="D303" s="128" t="n"/>
      <c r="E303" s="128" t="n"/>
      <c r="F303" s="128" t="n"/>
      <c r="G303" s="128" t="n"/>
      <c r="H303" s="128" t="n"/>
      <c r="I303" s="128" t="n"/>
      <c r="J303" s="128" t="n"/>
      <c r="K303" s="129" t="n"/>
    </row>
    <row r="304">
      <c r="C304" s="128" t="n"/>
      <c r="D304" s="128" t="n"/>
      <c r="E304" s="128" t="n"/>
      <c r="F304" s="128" t="n"/>
      <c r="G304" s="128" t="n"/>
      <c r="H304" s="128" t="n"/>
      <c r="I304" s="128" t="n"/>
      <c r="J304" s="128" t="n"/>
      <c r="K304" s="129" t="n"/>
    </row>
    <row r="305">
      <c r="C305" s="128" t="n"/>
      <c r="D305" s="128" t="n"/>
      <c r="E305" s="128" t="n"/>
      <c r="F305" s="128" t="n"/>
      <c r="G305" s="128" t="n"/>
      <c r="H305" s="128" t="n"/>
      <c r="I305" s="128" t="n"/>
      <c r="J305" s="128" t="n"/>
      <c r="K305" s="129" t="n"/>
    </row>
    <row r="306">
      <c r="C306" s="128" t="n"/>
      <c r="D306" s="128" t="n"/>
      <c r="E306" s="128" t="n"/>
      <c r="F306" s="128" t="n"/>
      <c r="G306" s="128" t="n"/>
      <c r="H306" s="128" t="n"/>
      <c r="I306" s="128" t="n"/>
      <c r="J306" s="128" t="n"/>
      <c r="K306" s="129" t="n"/>
    </row>
    <row r="307">
      <c r="C307" s="128" t="n"/>
      <c r="D307" s="128" t="n"/>
      <c r="E307" s="128" t="n"/>
      <c r="F307" s="128" t="n"/>
      <c r="G307" s="128" t="n"/>
      <c r="H307" s="128" t="n"/>
      <c r="I307" s="128" t="n"/>
      <c r="J307" s="128" t="n"/>
      <c r="K307" s="129" t="n"/>
    </row>
    <row r="308">
      <c r="C308" s="128" t="n"/>
      <c r="D308" s="128" t="n"/>
      <c r="E308" s="128" t="n"/>
      <c r="F308" s="128" t="n"/>
      <c r="G308" s="128" t="n"/>
      <c r="H308" s="128" t="n"/>
      <c r="I308" s="128" t="n"/>
      <c r="J308" s="128" t="n"/>
      <c r="K308" s="129" t="n"/>
    </row>
    <row r="309">
      <c r="C309" s="128" t="n"/>
      <c r="D309" s="128" t="n"/>
      <c r="E309" s="128" t="n"/>
      <c r="F309" s="128" t="n"/>
      <c r="G309" s="128" t="n"/>
      <c r="H309" s="128" t="n"/>
      <c r="I309" s="128" t="n"/>
      <c r="J309" s="128" t="n"/>
      <c r="K309" s="129" t="n"/>
    </row>
    <row r="310">
      <c r="C310" s="128" t="n"/>
      <c r="D310" s="128" t="n"/>
      <c r="E310" s="128" t="n"/>
      <c r="F310" s="128" t="n"/>
      <c r="G310" s="128" t="n"/>
      <c r="H310" s="128" t="n"/>
      <c r="I310" s="128" t="n"/>
      <c r="J310" s="128" t="n"/>
      <c r="K310" s="129" t="n"/>
    </row>
    <row r="311">
      <c r="C311" s="128" t="n"/>
      <c r="D311" s="128" t="n"/>
      <c r="E311" s="128" t="n"/>
      <c r="F311" s="128" t="n"/>
      <c r="G311" s="128" t="n"/>
      <c r="H311" s="128" t="n"/>
      <c r="I311" s="128" t="n"/>
      <c r="J311" s="128" t="n"/>
      <c r="K311" s="129" t="n"/>
    </row>
    <row r="312">
      <c r="C312" s="128" t="n"/>
      <c r="D312" s="128" t="n"/>
      <c r="E312" s="128" t="n"/>
      <c r="F312" s="128" t="n"/>
      <c r="G312" s="128" t="n"/>
      <c r="H312" s="128" t="n"/>
      <c r="I312" s="128" t="n"/>
      <c r="J312" s="128" t="n"/>
      <c r="K312" s="129" t="n"/>
    </row>
    <row r="313">
      <c r="C313" s="128" t="n"/>
      <c r="D313" s="128" t="n"/>
      <c r="E313" s="128" t="n"/>
      <c r="F313" s="128" t="n"/>
      <c r="G313" s="128" t="n"/>
      <c r="H313" s="128" t="n"/>
      <c r="I313" s="128" t="n"/>
      <c r="J313" s="128" t="n"/>
      <c r="K313" s="129" t="n"/>
    </row>
    <row r="314">
      <c r="C314" s="128" t="n"/>
      <c r="D314" s="128" t="n"/>
      <c r="E314" s="128" t="n"/>
      <c r="F314" s="128" t="n"/>
      <c r="G314" s="128" t="n"/>
      <c r="H314" s="128" t="n"/>
      <c r="I314" s="128" t="n"/>
      <c r="J314" s="128" t="n"/>
      <c r="K314" s="129" t="n"/>
    </row>
    <row r="315">
      <c r="C315" s="128" t="n"/>
      <c r="D315" s="128" t="n"/>
      <c r="E315" s="128" t="n"/>
      <c r="F315" s="128" t="n"/>
      <c r="G315" s="128" t="n"/>
      <c r="H315" s="128" t="n"/>
      <c r="I315" s="128" t="n"/>
      <c r="J315" s="128" t="n"/>
      <c r="K315" s="129" t="n"/>
    </row>
    <row r="316">
      <c r="C316" s="128" t="n"/>
      <c r="D316" s="128" t="n"/>
      <c r="E316" s="128" t="n"/>
      <c r="F316" s="128" t="n"/>
      <c r="G316" s="128" t="n"/>
      <c r="H316" s="128" t="n"/>
      <c r="I316" s="128" t="n"/>
      <c r="J316" s="128" t="n"/>
      <c r="K316" s="129" t="n"/>
    </row>
    <row r="317">
      <c r="C317" s="128" t="n"/>
      <c r="D317" s="128" t="n"/>
      <c r="E317" s="128" t="n"/>
      <c r="F317" s="128" t="n"/>
      <c r="G317" s="128" t="n"/>
      <c r="H317" s="128" t="n"/>
      <c r="I317" s="128" t="n"/>
      <c r="J317" s="128" t="n"/>
      <c r="K317" s="129" t="n"/>
    </row>
    <row r="318">
      <c r="C318" s="128" t="n"/>
      <c r="D318" s="128" t="n"/>
      <c r="E318" s="128" t="n"/>
      <c r="F318" s="128" t="n"/>
      <c r="G318" s="128" t="n"/>
      <c r="H318" s="128" t="n"/>
      <c r="I318" s="128" t="n"/>
      <c r="J318" s="128" t="n"/>
      <c r="K318" s="129" t="n"/>
    </row>
    <row r="319">
      <c r="C319" s="128" t="n"/>
      <c r="D319" s="128" t="n"/>
      <c r="E319" s="128" t="n"/>
      <c r="F319" s="128" t="n"/>
      <c r="G319" s="128" t="n"/>
      <c r="H319" s="128" t="n"/>
      <c r="I319" s="128" t="n"/>
      <c r="J319" s="128" t="n"/>
      <c r="K319" s="129" t="n"/>
    </row>
    <row r="320">
      <c r="C320" s="128" t="n"/>
      <c r="D320" s="128" t="n"/>
      <c r="E320" s="128" t="n"/>
      <c r="F320" s="128" t="n"/>
      <c r="G320" s="128" t="n"/>
      <c r="H320" s="128" t="n"/>
      <c r="I320" s="128" t="n"/>
      <c r="J320" s="128" t="n"/>
      <c r="K320" s="129" t="n"/>
    </row>
    <row r="321">
      <c r="C321" s="128" t="n"/>
      <c r="D321" s="128" t="n"/>
      <c r="E321" s="128" t="n"/>
      <c r="F321" s="128" t="n"/>
      <c r="G321" s="128" t="n"/>
      <c r="H321" s="128" t="n"/>
      <c r="I321" s="128" t="n"/>
      <c r="J321" s="128" t="n"/>
      <c r="K321" s="129" t="n"/>
    </row>
    <row r="322">
      <c r="C322" s="128" t="n"/>
      <c r="D322" s="128" t="n"/>
      <c r="E322" s="128" t="n"/>
      <c r="F322" s="128" t="n"/>
      <c r="G322" s="128" t="n"/>
      <c r="H322" s="128" t="n"/>
      <c r="I322" s="128" t="n"/>
      <c r="J322" s="128" t="n"/>
      <c r="K322" s="129" t="n"/>
    </row>
    <row r="323">
      <c r="C323" s="128" t="n"/>
      <c r="D323" s="128" t="n"/>
      <c r="E323" s="128" t="n"/>
      <c r="F323" s="128" t="n"/>
      <c r="G323" s="128" t="n"/>
      <c r="H323" s="128" t="n"/>
      <c r="I323" s="128" t="n"/>
      <c r="J323" s="128" t="n"/>
      <c r="K323" s="129" t="n"/>
    </row>
    <row r="324">
      <c r="C324" s="128" t="n"/>
      <c r="D324" s="128" t="n"/>
      <c r="E324" s="128" t="n"/>
      <c r="F324" s="128" t="n"/>
      <c r="G324" s="128" t="n"/>
      <c r="H324" s="128" t="n"/>
      <c r="I324" s="128" t="n"/>
      <c r="J324" s="128" t="n"/>
      <c r="K324" s="129" t="n"/>
    </row>
    <row r="325">
      <c r="C325" s="128" t="n"/>
      <c r="D325" s="128" t="n"/>
      <c r="E325" s="128" t="n"/>
      <c r="F325" s="128" t="n"/>
      <c r="G325" s="128" t="n"/>
      <c r="H325" s="128" t="n"/>
      <c r="I325" s="128" t="n"/>
      <c r="J325" s="128" t="n"/>
      <c r="K325" s="129" t="n"/>
    </row>
    <row r="326">
      <c r="C326" s="128" t="n"/>
      <c r="D326" s="128" t="n"/>
      <c r="E326" s="128" t="n"/>
      <c r="F326" s="128" t="n"/>
      <c r="G326" s="128" t="n"/>
      <c r="H326" s="128" t="n"/>
      <c r="I326" s="128" t="n"/>
      <c r="J326" s="128" t="n"/>
      <c r="K326" s="129" t="n"/>
    </row>
    <row r="327">
      <c r="C327" s="128" t="n"/>
      <c r="D327" s="128" t="n"/>
      <c r="E327" s="128" t="n"/>
      <c r="F327" s="128" t="n"/>
      <c r="G327" s="128" t="n"/>
      <c r="H327" s="128" t="n"/>
      <c r="I327" s="128" t="n"/>
      <c r="J327" s="128" t="n"/>
      <c r="K327" s="129" t="n"/>
    </row>
    <row r="328">
      <c r="C328" s="128" t="n"/>
      <c r="D328" s="128" t="n"/>
      <c r="E328" s="128" t="n"/>
      <c r="F328" s="128" t="n"/>
      <c r="G328" s="128" t="n"/>
      <c r="H328" s="128" t="n"/>
      <c r="I328" s="128" t="n"/>
      <c r="J328" s="128" t="n"/>
      <c r="K328" s="129" t="n"/>
    </row>
    <row r="329">
      <c r="C329" s="128" t="n"/>
      <c r="D329" s="128" t="n"/>
      <c r="E329" s="128" t="n"/>
      <c r="F329" s="128" t="n"/>
      <c r="G329" s="128" t="n"/>
      <c r="H329" s="128" t="n"/>
      <c r="I329" s="128" t="n"/>
      <c r="J329" s="128" t="n"/>
      <c r="K329" s="129" t="n"/>
    </row>
    <row r="330">
      <c r="C330" s="128" t="n"/>
      <c r="D330" s="128" t="n"/>
      <c r="E330" s="128" t="n"/>
      <c r="F330" s="128" t="n"/>
      <c r="G330" s="128" t="n"/>
      <c r="H330" s="128" t="n"/>
      <c r="I330" s="128" t="n"/>
      <c r="J330" s="128" t="n"/>
      <c r="K330" s="129" t="n"/>
    </row>
    <row r="331">
      <c r="C331" s="128" t="n"/>
      <c r="D331" s="128" t="n"/>
      <c r="E331" s="128" t="n"/>
      <c r="F331" s="128" t="n"/>
      <c r="G331" s="128" t="n"/>
      <c r="H331" s="128" t="n"/>
      <c r="I331" s="128" t="n"/>
      <c r="J331" s="128" t="n"/>
      <c r="K331" s="129" t="n"/>
    </row>
    <row r="332">
      <c r="C332" s="128" t="n"/>
      <c r="D332" s="128" t="n"/>
      <c r="E332" s="128" t="n"/>
      <c r="F332" s="128" t="n"/>
      <c r="G332" s="128" t="n"/>
      <c r="H332" s="128" t="n"/>
      <c r="I332" s="128" t="n"/>
      <c r="J332" s="128" t="n"/>
      <c r="K332" s="129" t="n"/>
    </row>
    <row r="333">
      <c r="C333" s="128" t="n"/>
      <c r="D333" s="128" t="n"/>
      <c r="E333" s="128" t="n"/>
      <c r="F333" s="128" t="n"/>
      <c r="G333" s="128" t="n"/>
      <c r="H333" s="128" t="n"/>
      <c r="I333" s="128" t="n"/>
      <c r="J333" s="128" t="n"/>
      <c r="K333" s="129" t="n"/>
    </row>
    <row r="334">
      <c r="C334" s="128" t="n"/>
      <c r="D334" s="128" t="n"/>
      <c r="E334" s="128" t="n"/>
      <c r="F334" s="128" t="n"/>
      <c r="G334" s="128" t="n"/>
      <c r="H334" s="128" t="n"/>
      <c r="I334" s="128" t="n"/>
      <c r="J334" s="128" t="n"/>
      <c r="K334" s="129" t="n"/>
    </row>
    <row r="335">
      <c r="C335" s="128" t="n"/>
      <c r="D335" s="128" t="n"/>
      <c r="E335" s="128" t="n"/>
      <c r="F335" s="128" t="n"/>
      <c r="G335" s="128" t="n"/>
      <c r="H335" s="128" t="n"/>
      <c r="I335" s="128" t="n"/>
      <c r="J335" s="128" t="n"/>
      <c r="K335" s="129" t="n"/>
    </row>
    <row r="336">
      <c r="C336" s="128" t="n"/>
      <c r="D336" s="128" t="n"/>
      <c r="E336" s="128" t="n"/>
      <c r="F336" s="128" t="n"/>
      <c r="G336" s="128" t="n"/>
      <c r="H336" s="128" t="n"/>
      <c r="I336" s="128" t="n"/>
      <c r="J336" s="128" t="n"/>
      <c r="K336" s="129" t="n"/>
    </row>
    <row r="337">
      <c r="C337" s="128" t="n"/>
      <c r="D337" s="128" t="n"/>
      <c r="E337" s="128" t="n"/>
      <c r="F337" s="128" t="n"/>
      <c r="G337" s="128" t="n"/>
      <c r="H337" s="128" t="n"/>
      <c r="I337" s="128" t="n"/>
      <c r="J337" s="128" t="n"/>
      <c r="K337" s="129" t="n"/>
    </row>
    <row r="338">
      <c r="C338" s="128" t="n"/>
      <c r="D338" s="128" t="n"/>
      <c r="E338" s="128" t="n"/>
      <c r="F338" s="128" t="n"/>
      <c r="G338" s="128" t="n"/>
      <c r="H338" s="128" t="n"/>
      <c r="I338" s="128" t="n"/>
      <c r="J338" s="128" t="n"/>
      <c r="K338" s="129" t="n"/>
    </row>
    <row r="339">
      <c r="C339" s="128" t="n"/>
      <c r="D339" s="128" t="n"/>
      <c r="E339" s="128" t="n"/>
      <c r="F339" s="128" t="n"/>
      <c r="G339" s="128" t="n"/>
      <c r="H339" s="128" t="n"/>
      <c r="I339" s="128" t="n"/>
      <c r="J339" s="128" t="n"/>
      <c r="K339" s="129" t="n"/>
    </row>
    <row r="340">
      <c r="C340" s="128" t="n"/>
      <c r="D340" s="128" t="n"/>
      <c r="E340" s="128" t="n"/>
      <c r="F340" s="128" t="n"/>
      <c r="G340" s="128" t="n"/>
      <c r="H340" s="128" t="n"/>
      <c r="I340" s="128" t="n"/>
      <c r="J340" s="128" t="n"/>
      <c r="K340" s="129" t="n"/>
    </row>
    <row r="341">
      <c r="C341" s="128" t="n"/>
      <c r="D341" s="128" t="n"/>
      <c r="E341" s="128" t="n"/>
      <c r="F341" s="128" t="n"/>
      <c r="G341" s="128" t="n"/>
      <c r="H341" s="128" t="n"/>
      <c r="I341" s="128" t="n"/>
      <c r="J341" s="128" t="n"/>
      <c r="K341" s="129" t="n"/>
    </row>
    <row r="342">
      <c r="C342" s="128" t="n"/>
      <c r="D342" s="128" t="n"/>
      <c r="E342" s="128" t="n"/>
      <c r="F342" s="128" t="n"/>
      <c r="G342" s="128" t="n"/>
      <c r="H342" s="128" t="n"/>
      <c r="I342" s="128" t="n"/>
      <c r="J342" s="128" t="n"/>
      <c r="K342" s="129" t="n"/>
    </row>
    <row r="343">
      <c r="C343" s="128" t="n"/>
      <c r="D343" s="128" t="n"/>
      <c r="E343" s="128" t="n"/>
      <c r="F343" s="128" t="n"/>
      <c r="G343" s="128" t="n"/>
      <c r="H343" s="128" t="n"/>
      <c r="I343" s="128" t="n"/>
      <c r="J343" s="128" t="n"/>
      <c r="K343" s="129" t="n"/>
    </row>
    <row r="344">
      <c r="C344" s="128" t="n"/>
      <c r="D344" s="128" t="n"/>
      <c r="E344" s="128" t="n"/>
      <c r="F344" s="128" t="n"/>
      <c r="G344" s="128" t="n"/>
      <c r="H344" s="128" t="n"/>
      <c r="I344" s="128" t="n"/>
      <c r="J344" s="128" t="n"/>
      <c r="K344" s="129" t="n"/>
    </row>
    <row r="345">
      <c r="C345" s="128" t="n"/>
      <c r="D345" s="128" t="n"/>
      <c r="E345" s="128" t="n"/>
      <c r="F345" s="128" t="n"/>
      <c r="G345" s="128" t="n"/>
      <c r="H345" s="128" t="n"/>
      <c r="I345" s="128" t="n"/>
      <c r="J345" s="128" t="n"/>
      <c r="K345" s="129" t="n"/>
    </row>
    <row r="346">
      <c r="C346" s="128" t="n"/>
      <c r="D346" s="128" t="n"/>
      <c r="E346" s="128" t="n"/>
      <c r="F346" s="128" t="n"/>
      <c r="G346" s="128" t="n"/>
      <c r="H346" s="128" t="n"/>
      <c r="I346" s="128" t="n"/>
      <c r="J346" s="128" t="n"/>
      <c r="K346" s="129" t="n"/>
    </row>
    <row r="347">
      <c r="C347" s="128" t="n"/>
      <c r="D347" s="128" t="n"/>
      <c r="E347" s="128" t="n"/>
      <c r="F347" s="128" t="n"/>
      <c r="G347" s="128" t="n"/>
      <c r="H347" s="128" t="n"/>
      <c r="I347" s="128" t="n"/>
      <c r="J347" s="128" t="n"/>
      <c r="K347" s="129" t="n"/>
    </row>
    <row r="348">
      <c r="C348" s="128" t="n"/>
      <c r="D348" s="128" t="n"/>
      <c r="E348" s="128" t="n"/>
      <c r="F348" s="128" t="n"/>
      <c r="G348" s="128" t="n"/>
      <c r="H348" s="128" t="n"/>
      <c r="I348" s="128" t="n"/>
      <c r="J348" s="128" t="n"/>
      <c r="K348" s="129" t="n"/>
    </row>
    <row r="349">
      <c r="C349" s="128" t="n"/>
      <c r="D349" s="128" t="n"/>
      <c r="E349" s="128" t="n"/>
      <c r="F349" s="128" t="n"/>
      <c r="G349" s="128" t="n"/>
      <c r="H349" s="128" t="n"/>
      <c r="I349" s="128" t="n"/>
      <c r="J349" s="128" t="n"/>
      <c r="K349" s="129" t="n"/>
    </row>
    <row r="350">
      <c r="C350" s="128" t="n"/>
      <c r="D350" s="128" t="n"/>
      <c r="E350" s="128" t="n"/>
      <c r="F350" s="128" t="n"/>
      <c r="G350" s="128" t="n"/>
      <c r="H350" s="128" t="n"/>
      <c r="I350" s="128" t="n"/>
      <c r="J350" s="128" t="n"/>
      <c r="K350" s="129" t="n"/>
    </row>
    <row r="351">
      <c r="C351" s="128" t="n"/>
      <c r="D351" s="128" t="n"/>
      <c r="E351" s="128" t="n"/>
      <c r="F351" s="128" t="n"/>
      <c r="G351" s="128" t="n"/>
      <c r="H351" s="128" t="n"/>
      <c r="I351" s="128" t="n"/>
      <c r="J351" s="128" t="n"/>
      <c r="K351" s="129" t="n"/>
    </row>
    <row r="352">
      <c r="C352" s="128" t="n"/>
      <c r="D352" s="128" t="n"/>
      <c r="E352" s="128" t="n"/>
      <c r="F352" s="128" t="n"/>
      <c r="G352" s="128" t="n"/>
      <c r="H352" s="128" t="n"/>
      <c r="I352" s="128" t="n"/>
      <c r="J352" s="128" t="n"/>
      <c r="K352" s="129" t="n"/>
    </row>
    <row r="353">
      <c r="C353" s="128" t="n"/>
      <c r="D353" s="128" t="n"/>
      <c r="E353" s="128" t="n"/>
      <c r="F353" s="128" t="n"/>
      <c r="G353" s="128" t="n"/>
      <c r="H353" s="128" t="n"/>
      <c r="I353" s="128" t="n"/>
      <c r="J353" s="128" t="n"/>
      <c r="K353" s="129" t="n"/>
    </row>
    <row r="354">
      <c r="C354" s="128" t="n"/>
      <c r="D354" s="128" t="n"/>
      <c r="E354" s="128" t="n"/>
      <c r="F354" s="128" t="n"/>
      <c r="G354" s="128" t="n"/>
      <c r="H354" s="128" t="n"/>
      <c r="I354" s="128" t="n"/>
      <c r="J354" s="128" t="n"/>
      <c r="K354" s="129" t="n"/>
    </row>
    <row r="355">
      <c r="C355" s="128" t="n"/>
      <c r="D355" s="128" t="n"/>
      <c r="E355" s="128" t="n"/>
      <c r="F355" s="128" t="n"/>
      <c r="G355" s="128" t="n"/>
      <c r="H355" s="128" t="n"/>
      <c r="I355" s="128" t="n"/>
      <c r="J355" s="128" t="n"/>
      <c r="K355" s="129" t="n"/>
    </row>
    <row r="356">
      <c r="C356" s="128" t="n"/>
      <c r="D356" s="128" t="n"/>
      <c r="E356" s="128" t="n"/>
      <c r="F356" s="128" t="n"/>
      <c r="G356" s="128" t="n"/>
      <c r="H356" s="128" t="n"/>
      <c r="I356" s="128" t="n"/>
      <c r="J356" s="128" t="n"/>
      <c r="K356" s="129" t="n"/>
    </row>
    <row r="357">
      <c r="C357" s="128" t="n"/>
      <c r="D357" s="128" t="n"/>
      <c r="E357" s="128" t="n"/>
      <c r="F357" s="128" t="n"/>
      <c r="G357" s="128" t="n"/>
      <c r="H357" s="128" t="n"/>
      <c r="I357" s="128" t="n"/>
      <c r="J357" s="128" t="n"/>
      <c r="K357" s="129" t="n"/>
    </row>
    <row r="358">
      <c r="C358" s="128" t="n"/>
      <c r="D358" s="128" t="n"/>
      <c r="E358" s="128" t="n"/>
      <c r="F358" s="128" t="n"/>
      <c r="G358" s="128" t="n"/>
      <c r="H358" s="128" t="n"/>
      <c r="I358" s="128" t="n"/>
      <c r="J358" s="128" t="n"/>
      <c r="K358" s="129" t="n"/>
    </row>
    <row r="359">
      <c r="C359" s="128" t="n"/>
      <c r="D359" s="128" t="n"/>
      <c r="E359" s="128" t="n"/>
      <c r="F359" s="128" t="n"/>
      <c r="G359" s="128" t="n"/>
      <c r="H359" s="128" t="n"/>
      <c r="I359" s="128" t="n"/>
      <c r="J359" s="128" t="n"/>
      <c r="K359" s="129" t="n"/>
    </row>
    <row r="360">
      <c r="C360" s="128" t="n"/>
      <c r="D360" s="128" t="n"/>
      <c r="E360" s="128" t="n"/>
      <c r="F360" s="128" t="n"/>
      <c r="G360" s="128" t="n"/>
      <c r="H360" s="128" t="n"/>
      <c r="I360" s="128" t="n"/>
      <c r="J360" s="128" t="n"/>
      <c r="K360" s="129" t="n"/>
    </row>
    <row r="361">
      <c r="C361" s="128" t="n"/>
      <c r="D361" s="128" t="n"/>
      <c r="E361" s="128" t="n"/>
      <c r="F361" s="128" t="n"/>
      <c r="G361" s="128" t="n"/>
      <c r="H361" s="128" t="n"/>
      <c r="I361" s="128" t="n"/>
      <c r="J361" s="128" t="n"/>
      <c r="K361" s="129" t="n"/>
    </row>
    <row r="362">
      <c r="C362" s="128" t="n"/>
      <c r="D362" s="128" t="n"/>
      <c r="E362" s="128" t="n"/>
      <c r="F362" s="128" t="n"/>
      <c r="G362" s="128" t="n"/>
      <c r="H362" s="128" t="n"/>
      <c r="I362" s="128" t="n"/>
      <c r="J362" s="128" t="n"/>
      <c r="K362" s="129" t="n"/>
    </row>
    <row r="363">
      <c r="C363" s="128" t="n"/>
      <c r="D363" s="128" t="n"/>
      <c r="E363" s="128" t="n"/>
      <c r="F363" s="128" t="n"/>
      <c r="G363" s="128" t="n"/>
      <c r="H363" s="128" t="n"/>
      <c r="I363" s="128" t="n"/>
      <c r="J363" s="128" t="n"/>
      <c r="K363" s="129" t="n"/>
    </row>
    <row r="364">
      <c r="C364" s="128" t="n"/>
      <c r="D364" s="128" t="n"/>
      <c r="E364" s="128" t="n"/>
      <c r="F364" s="128" t="n"/>
      <c r="G364" s="128" t="n"/>
      <c r="H364" s="128" t="n"/>
      <c r="I364" s="128" t="n"/>
      <c r="J364" s="128" t="n"/>
      <c r="K364" s="129" t="n"/>
    </row>
    <row r="365">
      <c r="C365" s="128" t="n"/>
      <c r="D365" s="128" t="n"/>
      <c r="E365" s="128" t="n"/>
      <c r="F365" s="128" t="n"/>
      <c r="G365" s="128" t="n"/>
      <c r="H365" s="128" t="n"/>
      <c r="I365" s="128" t="n"/>
      <c r="J365" s="128" t="n"/>
      <c r="K365" s="129" t="n"/>
    </row>
    <row r="366">
      <c r="C366" s="128" t="n"/>
      <c r="D366" s="128" t="n"/>
      <c r="E366" s="128" t="n"/>
      <c r="F366" s="128" t="n"/>
      <c r="G366" s="128" t="n"/>
      <c r="H366" s="128" t="n"/>
      <c r="I366" s="128" t="n"/>
      <c r="J366" s="128" t="n"/>
      <c r="K366" s="129" t="n"/>
    </row>
    <row r="367">
      <c r="C367" s="128" t="n"/>
      <c r="D367" s="128" t="n"/>
      <c r="E367" s="128" t="n"/>
      <c r="F367" s="128" t="n"/>
      <c r="G367" s="128" t="n"/>
      <c r="H367" s="128" t="n"/>
      <c r="I367" s="128" t="n"/>
      <c r="J367" s="128" t="n"/>
      <c r="K367" s="129" t="n"/>
    </row>
    <row r="368">
      <c r="C368" s="128" t="n"/>
      <c r="D368" s="128" t="n"/>
      <c r="E368" s="128" t="n"/>
      <c r="F368" s="128" t="n"/>
      <c r="G368" s="128" t="n"/>
      <c r="H368" s="128" t="n"/>
      <c r="I368" s="128" t="n"/>
      <c r="J368" s="128" t="n"/>
      <c r="K368" s="129" t="n"/>
    </row>
    <row r="369">
      <c r="C369" s="128" t="n"/>
      <c r="D369" s="128" t="n"/>
      <c r="E369" s="128" t="n"/>
      <c r="F369" s="128" t="n"/>
      <c r="G369" s="128" t="n"/>
      <c r="H369" s="128" t="n"/>
      <c r="I369" s="128" t="n"/>
      <c r="J369" s="128" t="n"/>
      <c r="K369" s="129" t="n"/>
    </row>
    <row r="370">
      <c r="C370" s="128" t="n"/>
      <c r="D370" s="128" t="n"/>
      <c r="E370" s="128" t="n"/>
      <c r="F370" s="128" t="n"/>
      <c r="G370" s="128" t="n"/>
      <c r="H370" s="128" t="n"/>
      <c r="I370" s="128" t="n"/>
      <c r="J370" s="128" t="n"/>
      <c r="K370" s="129" t="n"/>
    </row>
    <row r="371">
      <c r="C371" s="128" t="n"/>
      <c r="D371" s="128" t="n"/>
      <c r="E371" s="128" t="n"/>
      <c r="F371" s="128" t="n"/>
      <c r="G371" s="128" t="n"/>
      <c r="H371" s="128" t="n"/>
      <c r="I371" s="128" t="n"/>
      <c r="J371" s="128" t="n"/>
      <c r="K371" s="129" t="n"/>
    </row>
    <row r="372">
      <c r="C372" s="128" t="n"/>
      <c r="D372" s="128" t="n"/>
      <c r="E372" s="128" t="n"/>
      <c r="F372" s="128" t="n"/>
      <c r="G372" s="128" t="n"/>
      <c r="H372" s="128" t="n"/>
      <c r="I372" s="128" t="n"/>
      <c r="J372" s="128" t="n"/>
      <c r="K372" s="129" t="n"/>
    </row>
    <row r="373">
      <c r="C373" s="128" t="n"/>
      <c r="D373" s="128" t="n"/>
      <c r="E373" s="128" t="n"/>
      <c r="F373" s="128" t="n"/>
      <c r="G373" s="128" t="n"/>
      <c r="H373" s="128" t="n"/>
      <c r="I373" s="128" t="n"/>
      <c r="J373" s="128" t="n"/>
      <c r="K373" s="129" t="n"/>
    </row>
    <row r="374">
      <c r="C374" s="128" t="n"/>
      <c r="D374" s="128" t="n"/>
      <c r="E374" s="128" t="n"/>
      <c r="F374" s="128" t="n"/>
      <c r="G374" s="128" t="n"/>
      <c r="H374" s="128" t="n"/>
      <c r="I374" s="128" t="n"/>
      <c r="J374" s="128" t="n"/>
      <c r="K374" s="129" t="n"/>
    </row>
    <row r="375">
      <c r="C375" s="128" t="n"/>
      <c r="D375" s="128" t="n"/>
      <c r="E375" s="128" t="n"/>
      <c r="F375" s="128" t="n"/>
      <c r="G375" s="128" t="n"/>
      <c r="H375" s="128" t="n"/>
      <c r="I375" s="128" t="n"/>
      <c r="J375" s="128" t="n"/>
      <c r="K375" s="129" t="n"/>
    </row>
    <row r="376">
      <c r="C376" s="128" t="n"/>
      <c r="D376" s="128" t="n"/>
      <c r="E376" s="128" t="n"/>
      <c r="F376" s="128" t="n"/>
      <c r="G376" s="128" t="n"/>
      <c r="H376" s="128" t="n"/>
      <c r="I376" s="128" t="n"/>
      <c r="J376" s="128" t="n"/>
      <c r="K376" s="129" t="n"/>
    </row>
    <row r="377">
      <c r="C377" s="128" t="n"/>
      <c r="D377" s="128" t="n"/>
      <c r="E377" s="128" t="n"/>
      <c r="F377" s="128" t="n"/>
      <c r="G377" s="128" t="n"/>
      <c r="H377" s="128" t="n"/>
      <c r="I377" s="128" t="n"/>
      <c r="J377" s="128" t="n"/>
      <c r="K377" s="129" t="n"/>
    </row>
    <row r="378">
      <c r="C378" s="128" t="n"/>
      <c r="D378" s="128" t="n"/>
      <c r="E378" s="128" t="n"/>
      <c r="F378" s="128" t="n"/>
      <c r="G378" s="128" t="n"/>
      <c r="H378" s="128" t="n"/>
      <c r="I378" s="128" t="n"/>
      <c r="J378" s="128" t="n"/>
      <c r="K378" s="129" t="n"/>
    </row>
    <row r="379">
      <c r="C379" s="128" t="n"/>
      <c r="D379" s="128" t="n"/>
      <c r="E379" s="128" t="n"/>
      <c r="F379" s="128" t="n"/>
      <c r="G379" s="128" t="n"/>
      <c r="H379" s="128" t="n"/>
      <c r="I379" s="128" t="n"/>
      <c r="J379" s="128" t="n"/>
      <c r="K379" s="129" t="n"/>
    </row>
    <row r="380">
      <c r="C380" s="128" t="n"/>
      <c r="D380" s="128" t="n"/>
      <c r="E380" s="128" t="n"/>
      <c r="F380" s="128" t="n"/>
      <c r="G380" s="128" t="n"/>
      <c r="H380" s="128" t="n"/>
      <c r="I380" s="128" t="n"/>
      <c r="J380" s="128" t="n"/>
      <c r="K380" s="129" t="n"/>
    </row>
    <row r="381">
      <c r="C381" s="128" t="n"/>
      <c r="D381" s="128" t="n"/>
      <c r="E381" s="128" t="n"/>
      <c r="F381" s="128" t="n"/>
      <c r="G381" s="128" t="n"/>
      <c r="H381" s="128" t="n"/>
      <c r="I381" s="128" t="n"/>
      <c r="J381" s="128" t="n"/>
      <c r="K381" s="129" t="n"/>
    </row>
    <row r="382">
      <c r="C382" s="128" t="n"/>
      <c r="D382" s="128" t="n"/>
      <c r="E382" s="128" t="n"/>
      <c r="F382" s="128" t="n"/>
      <c r="G382" s="128" t="n"/>
      <c r="H382" s="128" t="n"/>
      <c r="I382" s="128" t="n"/>
      <c r="J382" s="128" t="n"/>
      <c r="K382" s="129" t="n"/>
    </row>
    <row r="383">
      <c r="C383" s="128" t="n"/>
      <c r="D383" s="128" t="n"/>
      <c r="E383" s="128" t="n"/>
      <c r="F383" s="128" t="n"/>
      <c r="G383" s="128" t="n"/>
      <c r="H383" s="128" t="n"/>
      <c r="I383" s="128" t="n"/>
      <c r="J383" s="128" t="n"/>
      <c r="K383" s="129" t="n"/>
    </row>
    <row r="384">
      <c r="C384" s="128" t="n"/>
      <c r="D384" s="128" t="n"/>
      <c r="E384" s="128" t="n"/>
      <c r="F384" s="128" t="n"/>
      <c r="G384" s="128" t="n"/>
      <c r="H384" s="128" t="n"/>
      <c r="I384" s="128" t="n"/>
      <c r="J384" s="128" t="n"/>
      <c r="K384" s="129" t="n"/>
    </row>
    <row r="385">
      <c r="C385" s="128" t="n"/>
      <c r="D385" s="128" t="n"/>
      <c r="E385" s="128" t="n"/>
      <c r="F385" s="128" t="n"/>
      <c r="G385" s="128" t="n"/>
      <c r="H385" s="128" t="n"/>
      <c r="I385" s="128" t="n"/>
      <c r="J385" s="128" t="n"/>
      <c r="K385" s="129" t="n"/>
    </row>
    <row r="386">
      <c r="C386" s="128" t="n"/>
      <c r="D386" s="128" t="n"/>
      <c r="E386" s="128" t="n"/>
      <c r="F386" s="128" t="n"/>
      <c r="G386" s="128" t="n"/>
      <c r="H386" s="128" t="n"/>
      <c r="I386" s="128" t="n"/>
      <c r="J386" s="128" t="n"/>
      <c r="K386" s="129" t="n"/>
    </row>
    <row r="387">
      <c r="C387" s="128" t="n"/>
      <c r="D387" s="128" t="n"/>
      <c r="E387" s="128" t="n"/>
      <c r="F387" s="128" t="n"/>
      <c r="G387" s="128" t="n"/>
      <c r="H387" s="128" t="n"/>
      <c r="I387" s="128" t="n"/>
      <c r="J387" s="128" t="n"/>
      <c r="K387" s="129" t="n"/>
    </row>
    <row r="388">
      <c r="C388" s="128" t="n"/>
      <c r="D388" s="128" t="n"/>
      <c r="E388" s="128" t="n"/>
      <c r="F388" s="128" t="n"/>
      <c r="G388" s="128" t="n"/>
      <c r="H388" s="128" t="n"/>
      <c r="I388" s="128" t="n"/>
      <c r="J388" s="128" t="n"/>
      <c r="K388" s="129" t="n"/>
    </row>
    <row r="389">
      <c r="C389" s="128" t="n"/>
      <c r="D389" s="128" t="n"/>
      <c r="E389" s="128" t="n"/>
      <c r="F389" s="128" t="n"/>
      <c r="G389" s="128" t="n"/>
      <c r="H389" s="128" t="n"/>
      <c r="I389" s="128" t="n"/>
      <c r="J389" s="128" t="n"/>
      <c r="K389" s="129" t="n"/>
    </row>
    <row r="390">
      <c r="C390" s="128" t="n"/>
      <c r="D390" s="128" t="n"/>
      <c r="E390" s="128" t="n"/>
      <c r="F390" s="128" t="n"/>
      <c r="G390" s="128" t="n"/>
      <c r="H390" s="128" t="n"/>
      <c r="I390" s="128" t="n"/>
      <c r="J390" s="128" t="n"/>
      <c r="K390" s="129" t="n"/>
    </row>
    <row r="391">
      <c r="C391" s="128" t="n"/>
      <c r="D391" s="128" t="n"/>
      <c r="E391" s="128" t="n"/>
      <c r="F391" s="128" t="n"/>
      <c r="G391" s="128" t="n"/>
      <c r="H391" s="128" t="n"/>
      <c r="I391" s="128" t="n"/>
      <c r="J391" s="128" t="n"/>
      <c r="K391" s="129" t="n"/>
    </row>
    <row r="392">
      <c r="C392" s="128" t="n"/>
      <c r="D392" s="128" t="n"/>
      <c r="E392" s="128" t="n"/>
      <c r="F392" s="128" t="n"/>
      <c r="G392" s="128" t="n"/>
      <c r="H392" s="128" t="n"/>
      <c r="I392" s="128" t="n"/>
      <c r="J392" s="128" t="n"/>
      <c r="K392" s="129" t="n"/>
    </row>
    <row r="393">
      <c r="C393" s="128" t="n"/>
      <c r="D393" s="128" t="n"/>
      <c r="E393" s="128" t="n"/>
      <c r="F393" s="128" t="n"/>
      <c r="G393" s="128" t="n"/>
      <c r="H393" s="128" t="n"/>
      <c r="I393" s="128" t="n"/>
      <c r="J393" s="128" t="n"/>
      <c r="K393" s="129" t="n"/>
    </row>
    <row r="394">
      <c r="C394" s="128" t="n"/>
      <c r="D394" s="128" t="n"/>
      <c r="E394" s="128" t="n"/>
      <c r="F394" s="128" t="n"/>
      <c r="G394" s="128" t="n"/>
      <c r="H394" s="128" t="n"/>
      <c r="I394" s="128" t="n"/>
      <c r="J394" s="128" t="n"/>
      <c r="K394" s="129" t="n"/>
    </row>
    <row r="395">
      <c r="C395" s="128" t="n"/>
      <c r="D395" s="128" t="n"/>
      <c r="E395" s="128" t="n"/>
      <c r="F395" s="128" t="n"/>
      <c r="G395" s="128" t="n"/>
      <c r="H395" s="128" t="n"/>
      <c r="I395" s="128" t="n"/>
      <c r="J395" s="128" t="n"/>
      <c r="K395" s="129" t="n"/>
    </row>
    <row r="396">
      <c r="C396" s="128" t="n"/>
      <c r="D396" s="128" t="n"/>
      <c r="E396" s="128" t="n"/>
      <c r="F396" s="128" t="n"/>
      <c r="G396" s="128" t="n"/>
      <c r="H396" s="128" t="n"/>
      <c r="I396" s="128" t="n"/>
      <c r="J396" s="128" t="n"/>
      <c r="K396" s="129" t="n"/>
    </row>
    <row r="397">
      <c r="C397" s="128" t="n"/>
      <c r="D397" s="128" t="n"/>
      <c r="E397" s="128" t="n"/>
      <c r="F397" s="128" t="n"/>
      <c r="G397" s="128" t="n"/>
      <c r="H397" s="128" t="n"/>
      <c r="I397" s="128" t="n"/>
      <c r="J397" s="128" t="n"/>
      <c r="K397" s="129" t="n"/>
    </row>
    <row r="398">
      <c r="C398" s="128" t="n"/>
      <c r="D398" s="128" t="n"/>
      <c r="E398" s="128" t="n"/>
      <c r="F398" s="128" t="n"/>
      <c r="G398" s="128" t="n"/>
      <c r="H398" s="128" t="n"/>
      <c r="I398" s="128" t="n"/>
      <c r="J398" s="128" t="n"/>
      <c r="K398" s="129" t="n"/>
    </row>
    <row r="399">
      <c r="C399" s="128" t="n"/>
      <c r="D399" s="128" t="n"/>
      <c r="E399" s="128" t="n"/>
      <c r="F399" s="128" t="n"/>
      <c r="G399" s="128" t="n"/>
      <c r="H399" s="128" t="n"/>
      <c r="I399" s="128" t="n"/>
      <c r="J399" s="128" t="n"/>
      <c r="K399" s="129" t="n"/>
    </row>
    <row r="400">
      <c r="C400" s="128" t="n"/>
      <c r="D400" s="128" t="n"/>
      <c r="E400" s="128" t="n"/>
      <c r="F400" s="128" t="n"/>
      <c r="G400" s="128" t="n"/>
      <c r="H400" s="128" t="n"/>
      <c r="I400" s="128" t="n"/>
      <c r="J400" s="128" t="n"/>
      <c r="K400" s="129" t="n"/>
    </row>
    <row r="401">
      <c r="C401" s="128" t="n"/>
      <c r="D401" s="128" t="n"/>
      <c r="E401" s="128" t="n"/>
      <c r="F401" s="128" t="n"/>
      <c r="G401" s="128" t="n"/>
      <c r="H401" s="128" t="n"/>
      <c r="I401" s="128" t="n"/>
      <c r="J401" s="128" t="n"/>
      <c r="K401" s="129" t="n"/>
    </row>
    <row r="402">
      <c r="C402" s="128" t="n"/>
      <c r="D402" s="128" t="n"/>
      <c r="E402" s="128" t="n"/>
      <c r="F402" s="128" t="n"/>
      <c r="G402" s="128" t="n"/>
      <c r="H402" s="128" t="n"/>
      <c r="I402" s="128" t="n"/>
      <c r="J402" s="128" t="n"/>
      <c r="K402" s="129" t="n"/>
    </row>
    <row r="403">
      <c r="C403" s="128" t="n"/>
      <c r="D403" s="128" t="n"/>
      <c r="E403" s="128" t="n"/>
      <c r="F403" s="128" t="n"/>
      <c r="G403" s="128" t="n"/>
      <c r="H403" s="128" t="n"/>
      <c r="I403" s="128" t="n"/>
      <c r="J403" s="128" t="n"/>
      <c r="K403" s="129" t="n"/>
    </row>
    <row r="404">
      <c r="C404" s="128" t="n"/>
      <c r="D404" s="128" t="n"/>
      <c r="E404" s="128" t="n"/>
      <c r="F404" s="128" t="n"/>
      <c r="G404" s="128" t="n"/>
      <c r="H404" s="128" t="n"/>
      <c r="I404" s="128" t="n"/>
      <c r="J404" s="128" t="n"/>
      <c r="K404" s="129" t="n"/>
    </row>
    <row r="405">
      <c r="C405" s="128" t="n"/>
      <c r="D405" s="128" t="n"/>
      <c r="E405" s="128" t="n"/>
      <c r="F405" s="128" t="n"/>
      <c r="G405" s="128" t="n"/>
      <c r="H405" s="128" t="n"/>
      <c r="I405" s="128" t="n"/>
      <c r="J405" s="128" t="n"/>
      <c r="K405" s="129" t="n"/>
    </row>
    <row r="406">
      <c r="C406" s="128" t="n"/>
      <c r="D406" s="128" t="n"/>
      <c r="E406" s="128" t="n"/>
      <c r="F406" s="128" t="n"/>
      <c r="G406" s="128" t="n"/>
      <c r="H406" s="128" t="n"/>
      <c r="I406" s="128" t="n"/>
      <c r="J406" s="128" t="n"/>
      <c r="K406" s="129" t="n"/>
    </row>
    <row r="407">
      <c r="C407" s="128" t="n"/>
      <c r="D407" s="128" t="n"/>
      <c r="E407" s="128" t="n"/>
      <c r="F407" s="128" t="n"/>
      <c r="G407" s="128" t="n"/>
      <c r="H407" s="128" t="n"/>
      <c r="I407" s="128" t="n"/>
      <c r="J407" s="128" t="n"/>
      <c r="K407" s="129" t="n"/>
    </row>
    <row r="408">
      <c r="C408" s="128" t="n"/>
      <c r="D408" s="128" t="n"/>
      <c r="E408" s="128" t="n"/>
      <c r="F408" s="128" t="n"/>
      <c r="G408" s="128" t="n"/>
      <c r="H408" s="128" t="n"/>
      <c r="I408" s="128" t="n"/>
      <c r="J408" s="128" t="n"/>
      <c r="K408" s="129" t="n"/>
    </row>
    <row r="409">
      <c r="C409" s="128" t="n"/>
      <c r="D409" s="128" t="n"/>
      <c r="E409" s="128" t="n"/>
      <c r="F409" s="128" t="n"/>
      <c r="G409" s="128" t="n"/>
      <c r="H409" s="128" t="n"/>
      <c r="I409" s="128" t="n"/>
      <c r="J409" s="128" t="n"/>
      <c r="K409" s="129" t="n"/>
    </row>
    <row r="410">
      <c r="C410" s="128" t="n"/>
      <c r="D410" s="128" t="n"/>
      <c r="E410" s="128" t="n"/>
      <c r="F410" s="128" t="n"/>
      <c r="G410" s="128" t="n"/>
      <c r="H410" s="128" t="n"/>
      <c r="I410" s="128" t="n"/>
      <c r="J410" s="128" t="n"/>
      <c r="K410" s="129" t="n"/>
    </row>
    <row r="411">
      <c r="C411" s="128" t="n"/>
      <c r="D411" s="128" t="n"/>
      <c r="E411" s="128" t="n"/>
      <c r="F411" s="128" t="n"/>
      <c r="G411" s="128" t="n"/>
      <c r="H411" s="128" t="n"/>
      <c r="I411" s="128" t="n"/>
      <c r="J411" s="128" t="n"/>
      <c r="K411" s="129" t="n"/>
    </row>
    <row r="412">
      <c r="C412" s="128" t="n"/>
      <c r="D412" s="128" t="n"/>
      <c r="E412" s="128" t="n"/>
      <c r="F412" s="128" t="n"/>
      <c r="G412" s="128" t="n"/>
      <c r="H412" s="128" t="n"/>
      <c r="I412" s="128" t="n"/>
      <c r="J412" s="128" t="n"/>
      <c r="K412" s="129" t="n"/>
    </row>
    <row r="413">
      <c r="C413" s="128" t="n"/>
      <c r="D413" s="128" t="n"/>
      <c r="E413" s="128" t="n"/>
      <c r="F413" s="128" t="n"/>
      <c r="G413" s="128" t="n"/>
      <c r="H413" s="128" t="n"/>
      <c r="I413" s="128" t="n"/>
      <c r="J413" s="128" t="n"/>
      <c r="K413" s="129" t="n"/>
    </row>
    <row r="414">
      <c r="C414" s="128" t="n"/>
      <c r="D414" s="128" t="n"/>
      <c r="E414" s="128" t="n"/>
      <c r="F414" s="128" t="n"/>
      <c r="G414" s="128" t="n"/>
      <c r="H414" s="128" t="n"/>
      <c r="I414" s="128" t="n"/>
      <c r="J414" s="128" t="n"/>
      <c r="K414" s="129" t="n"/>
    </row>
    <row r="415">
      <c r="C415" s="128" t="n"/>
      <c r="D415" s="128" t="n"/>
      <c r="E415" s="128" t="n"/>
      <c r="F415" s="128" t="n"/>
      <c r="G415" s="128" t="n"/>
      <c r="H415" s="128" t="n"/>
      <c r="I415" s="128" t="n"/>
      <c r="J415" s="128" t="n"/>
      <c r="K415" s="129" t="n"/>
    </row>
    <row r="416">
      <c r="C416" s="128" t="n"/>
      <c r="D416" s="128" t="n"/>
      <c r="E416" s="128" t="n"/>
      <c r="F416" s="128" t="n"/>
      <c r="G416" s="128" t="n"/>
      <c r="H416" s="128" t="n"/>
      <c r="I416" s="128" t="n"/>
      <c r="J416" s="128" t="n"/>
      <c r="K416" s="129" t="n"/>
    </row>
    <row r="417">
      <c r="C417" s="128" t="n"/>
      <c r="D417" s="128" t="n"/>
      <c r="E417" s="128" t="n"/>
      <c r="F417" s="128" t="n"/>
      <c r="G417" s="128" t="n"/>
      <c r="H417" s="128" t="n"/>
      <c r="I417" s="128" t="n"/>
      <c r="J417" s="128" t="n"/>
      <c r="K417" s="129" t="n"/>
    </row>
    <row r="418">
      <c r="C418" s="128" t="n"/>
      <c r="D418" s="128" t="n"/>
      <c r="E418" s="128" t="n"/>
      <c r="F418" s="128" t="n"/>
      <c r="G418" s="128" t="n"/>
      <c r="H418" s="128" t="n"/>
      <c r="I418" s="128" t="n"/>
      <c r="J418" s="128" t="n"/>
      <c r="K418" s="129" t="n"/>
    </row>
    <row r="419">
      <c r="C419" s="128" t="n"/>
      <c r="D419" s="128" t="n"/>
      <c r="E419" s="128" t="n"/>
      <c r="F419" s="128" t="n"/>
      <c r="G419" s="128" t="n"/>
      <c r="H419" s="128" t="n"/>
      <c r="I419" s="128" t="n"/>
      <c r="J419" s="128" t="n"/>
      <c r="K419" s="129" t="n"/>
    </row>
    <row r="420">
      <c r="C420" s="128" t="n"/>
      <c r="D420" s="128" t="n"/>
      <c r="E420" s="128" t="n"/>
      <c r="F420" s="128" t="n"/>
      <c r="G420" s="128" t="n"/>
      <c r="H420" s="128" t="n"/>
      <c r="I420" s="128" t="n"/>
      <c r="J420" s="128" t="n"/>
      <c r="K420" s="129" t="n"/>
    </row>
    <row r="421">
      <c r="C421" s="128" t="n"/>
      <c r="D421" s="128" t="n"/>
      <c r="E421" s="128" t="n"/>
      <c r="F421" s="128" t="n"/>
      <c r="G421" s="128" t="n"/>
      <c r="H421" s="128" t="n"/>
      <c r="I421" s="128" t="n"/>
      <c r="J421" s="128" t="n"/>
      <c r="K421" s="129" t="n"/>
    </row>
    <row r="422">
      <c r="C422" s="128" t="n"/>
      <c r="D422" s="128" t="n"/>
      <c r="E422" s="128" t="n"/>
      <c r="F422" s="128" t="n"/>
      <c r="G422" s="128" t="n"/>
      <c r="H422" s="128" t="n"/>
      <c r="I422" s="128" t="n"/>
      <c r="J422" s="128" t="n"/>
      <c r="K422" s="129" t="n"/>
    </row>
    <row r="423">
      <c r="C423" s="128" t="n"/>
      <c r="D423" s="128" t="n"/>
      <c r="E423" s="128" t="n"/>
      <c r="F423" s="128" t="n"/>
      <c r="G423" s="128" t="n"/>
      <c r="H423" s="128" t="n"/>
      <c r="I423" s="128" t="n"/>
      <c r="J423" s="128" t="n"/>
      <c r="K423" s="129" t="n"/>
    </row>
    <row r="424">
      <c r="C424" s="128" t="n"/>
      <c r="D424" s="128" t="n"/>
      <c r="E424" s="128" t="n"/>
      <c r="F424" s="128" t="n"/>
      <c r="G424" s="128" t="n"/>
      <c r="H424" s="128" t="n"/>
      <c r="I424" s="128" t="n"/>
      <c r="J424" s="128" t="n"/>
      <c r="K424" s="129" t="n"/>
    </row>
    <row r="425">
      <c r="C425" s="128" t="n"/>
      <c r="D425" s="128" t="n"/>
      <c r="E425" s="128" t="n"/>
      <c r="F425" s="128" t="n"/>
      <c r="G425" s="128" t="n"/>
      <c r="H425" s="128" t="n"/>
      <c r="I425" s="128" t="n"/>
      <c r="J425" s="128" t="n"/>
      <c r="K425" s="129" t="n"/>
    </row>
    <row r="426">
      <c r="C426" s="128" t="n"/>
      <c r="D426" s="128" t="n"/>
      <c r="E426" s="128" t="n"/>
      <c r="F426" s="128" t="n"/>
      <c r="G426" s="128" t="n"/>
      <c r="H426" s="128" t="n"/>
      <c r="I426" s="128" t="n"/>
      <c r="J426" s="128" t="n"/>
      <c r="K426" s="129" t="n"/>
    </row>
    <row r="427">
      <c r="C427" s="128" t="n"/>
      <c r="D427" s="128" t="n"/>
      <c r="E427" s="128" t="n"/>
      <c r="F427" s="128" t="n"/>
      <c r="G427" s="128" t="n"/>
      <c r="H427" s="128" t="n"/>
      <c r="I427" s="128" t="n"/>
      <c r="J427" s="128" t="n"/>
      <c r="K427" s="129" t="n"/>
    </row>
    <row r="428">
      <c r="C428" s="128" t="n"/>
      <c r="D428" s="128" t="n"/>
      <c r="E428" s="128" t="n"/>
      <c r="F428" s="128" t="n"/>
      <c r="G428" s="128" t="n"/>
      <c r="H428" s="128" t="n"/>
      <c r="I428" s="128" t="n"/>
      <c r="J428" s="128" t="n"/>
      <c r="K428" s="129" t="n"/>
    </row>
    <row r="429">
      <c r="C429" s="128" t="n"/>
      <c r="D429" s="128" t="n"/>
      <c r="E429" s="128" t="n"/>
      <c r="F429" s="128" t="n"/>
      <c r="G429" s="128" t="n"/>
      <c r="H429" s="128" t="n"/>
      <c r="I429" s="128" t="n"/>
      <c r="J429" s="128" t="n"/>
      <c r="K429" s="129" t="n"/>
    </row>
    <row r="430">
      <c r="C430" s="128" t="n"/>
      <c r="D430" s="128" t="n"/>
      <c r="E430" s="128" t="n"/>
      <c r="F430" s="128" t="n"/>
      <c r="G430" s="128" t="n"/>
      <c r="H430" s="128" t="n"/>
      <c r="I430" s="128" t="n"/>
      <c r="J430" s="128" t="n"/>
      <c r="K430" s="129" t="n"/>
    </row>
    <row r="431">
      <c r="C431" s="128" t="n"/>
      <c r="D431" s="128" t="n"/>
      <c r="E431" s="128" t="n"/>
      <c r="F431" s="128" t="n"/>
      <c r="G431" s="128" t="n"/>
      <c r="H431" s="128" t="n"/>
      <c r="I431" s="128" t="n"/>
      <c r="J431" s="128" t="n"/>
      <c r="K431" s="129" t="n"/>
    </row>
    <row r="432">
      <c r="C432" s="128" t="n"/>
      <c r="D432" s="128" t="n"/>
      <c r="E432" s="128" t="n"/>
      <c r="F432" s="128" t="n"/>
      <c r="G432" s="128" t="n"/>
      <c r="H432" s="128" t="n"/>
      <c r="I432" s="128" t="n"/>
      <c r="J432" s="128" t="n"/>
      <c r="K432" s="129" t="n"/>
    </row>
    <row r="433">
      <c r="C433" s="128" t="n"/>
      <c r="D433" s="128" t="n"/>
      <c r="E433" s="128" t="n"/>
      <c r="F433" s="128" t="n"/>
      <c r="G433" s="128" t="n"/>
      <c r="H433" s="128" t="n"/>
      <c r="I433" s="128" t="n"/>
      <c r="J433" s="128" t="n"/>
      <c r="K433" s="129" t="n"/>
    </row>
    <row r="434">
      <c r="C434" s="128" t="n"/>
      <c r="D434" s="128" t="n"/>
      <c r="E434" s="128" t="n"/>
      <c r="F434" s="128" t="n"/>
      <c r="G434" s="128" t="n"/>
      <c r="H434" s="128" t="n"/>
      <c r="I434" s="128" t="n"/>
      <c r="J434" s="128" t="n"/>
      <c r="K434" s="129" t="n"/>
    </row>
    <row r="435">
      <c r="C435" s="128" t="n"/>
      <c r="D435" s="128" t="n"/>
      <c r="E435" s="128" t="n"/>
      <c r="F435" s="128" t="n"/>
      <c r="G435" s="128" t="n"/>
      <c r="H435" s="128" t="n"/>
      <c r="I435" s="128" t="n"/>
      <c r="J435" s="128" t="n"/>
      <c r="K435" s="129" t="n"/>
    </row>
    <row r="436">
      <c r="C436" s="128" t="n"/>
      <c r="D436" s="128" t="n"/>
      <c r="E436" s="128" t="n"/>
      <c r="F436" s="128" t="n"/>
      <c r="G436" s="128" t="n"/>
      <c r="H436" s="128" t="n"/>
      <c r="I436" s="128" t="n"/>
      <c r="J436" s="128" t="n"/>
      <c r="K436" s="129" t="n"/>
    </row>
    <row r="437">
      <c r="C437" s="128" t="n"/>
      <c r="D437" s="128" t="n"/>
      <c r="E437" s="128" t="n"/>
      <c r="F437" s="128" t="n"/>
      <c r="G437" s="128" t="n"/>
      <c r="H437" s="128" t="n"/>
      <c r="I437" s="128" t="n"/>
      <c r="J437" s="128" t="n"/>
      <c r="K437" s="129" t="n"/>
    </row>
    <row r="438">
      <c r="C438" s="128" t="n"/>
      <c r="D438" s="128" t="n"/>
      <c r="E438" s="128" t="n"/>
      <c r="F438" s="128" t="n"/>
      <c r="G438" s="128" t="n"/>
      <c r="H438" s="128" t="n"/>
      <c r="I438" s="128" t="n"/>
      <c r="J438" s="128" t="n"/>
      <c r="K438" s="129" t="n"/>
    </row>
    <row r="439">
      <c r="C439" s="128" t="n"/>
      <c r="D439" s="128" t="n"/>
      <c r="E439" s="128" t="n"/>
      <c r="F439" s="128" t="n"/>
      <c r="G439" s="128" t="n"/>
      <c r="H439" s="128" t="n"/>
      <c r="I439" s="128" t="n"/>
      <c r="J439" s="128" t="n"/>
      <c r="K439" s="129" t="n"/>
    </row>
    <row r="440">
      <c r="C440" s="128" t="n"/>
      <c r="D440" s="128" t="n"/>
      <c r="E440" s="128" t="n"/>
      <c r="F440" s="128" t="n"/>
      <c r="G440" s="128" t="n"/>
      <c r="H440" s="128" t="n"/>
      <c r="I440" s="128" t="n"/>
      <c r="J440" s="128" t="n"/>
      <c r="K440" s="129" t="n"/>
    </row>
    <row r="441">
      <c r="C441" s="128" t="n"/>
      <c r="D441" s="128" t="n"/>
      <c r="E441" s="128" t="n"/>
      <c r="F441" s="128" t="n"/>
      <c r="G441" s="128" t="n"/>
      <c r="H441" s="128" t="n"/>
      <c r="I441" s="128" t="n"/>
      <c r="J441" s="128" t="n"/>
      <c r="K441" s="129" t="n"/>
    </row>
    <row r="442">
      <c r="C442" s="128" t="n"/>
      <c r="D442" s="128" t="n"/>
      <c r="E442" s="128" t="n"/>
      <c r="F442" s="128" t="n"/>
      <c r="G442" s="128" t="n"/>
      <c r="H442" s="128" t="n"/>
      <c r="I442" s="128" t="n"/>
      <c r="J442" s="128" t="n"/>
      <c r="K442" s="129" t="n"/>
    </row>
    <row r="443">
      <c r="C443" s="128" t="n"/>
      <c r="D443" s="128" t="n"/>
      <c r="E443" s="128" t="n"/>
      <c r="F443" s="128" t="n"/>
      <c r="G443" s="128" t="n"/>
      <c r="H443" s="128" t="n"/>
      <c r="I443" s="128" t="n"/>
      <c r="J443" s="128" t="n"/>
      <c r="K443" s="129" t="n"/>
    </row>
    <row r="444">
      <c r="C444" s="128" t="n"/>
      <c r="D444" s="128" t="n"/>
      <c r="E444" s="128" t="n"/>
      <c r="F444" s="128" t="n"/>
      <c r="G444" s="128" t="n"/>
      <c r="H444" s="128" t="n"/>
      <c r="I444" s="128" t="n"/>
      <c r="J444" s="128" t="n"/>
      <c r="K444" s="129" t="n"/>
    </row>
    <row r="445">
      <c r="C445" s="128" t="n"/>
      <c r="D445" s="128" t="n"/>
      <c r="E445" s="128" t="n"/>
      <c r="F445" s="128" t="n"/>
      <c r="G445" s="128" t="n"/>
      <c r="H445" s="128" t="n"/>
      <c r="I445" s="128" t="n"/>
      <c r="J445" s="128" t="n"/>
      <c r="K445" s="129" t="n"/>
    </row>
    <row r="446">
      <c r="C446" s="128" t="n"/>
      <c r="D446" s="128" t="n"/>
      <c r="E446" s="128" t="n"/>
      <c r="F446" s="128" t="n"/>
      <c r="G446" s="128" t="n"/>
      <c r="H446" s="128" t="n"/>
      <c r="I446" s="128" t="n"/>
      <c r="J446" s="128" t="n"/>
      <c r="K446" s="129" t="n"/>
    </row>
    <row r="447">
      <c r="C447" s="128" t="n"/>
      <c r="D447" s="128" t="n"/>
      <c r="E447" s="128" t="n"/>
      <c r="F447" s="128" t="n"/>
      <c r="G447" s="128" t="n"/>
      <c r="H447" s="128" t="n"/>
      <c r="I447" s="128" t="n"/>
      <c r="J447" s="128" t="n"/>
      <c r="K447" s="129" t="n"/>
    </row>
    <row r="448">
      <c r="C448" s="128" t="n"/>
      <c r="D448" s="128" t="n"/>
      <c r="E448" s="128" t="n"/>
      <c r="F448" s="128" t="n"/>
      <c r="G448" s="128" t="n"/>
      <c r="H448" s="128" t="n"/>
      <c r="I448" s="128" t="n"/>
      <c r="J448" s="128" t="n"/>
      <c r="K448" s="129" t="n"/>
    </row>
    <row r="449">
      <c r="C449" s="128" t="n"/>
      <c r="D449" s="128" t="n"/>
      <c r="E449" s="128" t="n"/>
      <c r="F449" s="128" t="n"/>
      <c r="G449" s="128" t="n"/>
      <c r="H449" s="128" t="n"/>
      <c r="I449" s="128" t="n"/>
      <c r="J449" s="128" t="n"/>
      <c r="K449" s="129" t="n"/>
    </row>
    <row r="450">
      <c r="C450" s="128" t="n"/>
      <c r="D450" s="128" t="n"/>
      <c r="E450" s="128" t="n"/>
      <c r="F450" s="128" t="n"/>
      <c r="G450" s="128" t="n"/>
      <c r="H450" s="128" t="n"/>
      <c r="I450" s="128" t="n"/>
      <c r="J450" s="128" t="n"/>
      <c r="K450" s="129" t="n"/>
    </row>
    <row r="451">
      <c r="C451" s="128" t="n"/>
      <c r="D451" s="128" t="n"/>
      <c r="E451" s="128" t="n"/>
      <c r="F451" s="128" t="n"/>
      <c r="G451" s="128" t="n"/>
      <c r="H451" s="128" t="n"/>
      <c r="I451" s="128" t="n"/>
      <c r="J451" s="128" t="n"/>
      <c r="K451" s="129" t="n"/>
    </row>
    <row r="452">
      <c r="C452" s="128" t="n"/>
      <c r="D452" s="128" t="n"/>
      <c r="E452" s="128" t="n"/>
      <c r="F452" s="128" t="n"/>
      <c r="G452" s="128" t="n"/>
      <c r="H452" s="128" t="n"/>
      <c r="I452" s="128" t="n"/>
      <c r="J452" s="128" t="n"/>
      <c r="K452" s="129" t="n"/>
    </row>
    <row r="453">
      <c r="C453" s="128" t="n"/>
      <c r="D453" s="128" t="n"/>
      <c r="E453" s="128" t="n"/>
      <c r="F453" s="128" t="n"/>
      <c r="G453" s="128" t="n"/>
      <c r="H453" s="128" t="n"/>
      <c r="I453" s="128" t="n"/>
      <c r="J453" s="128" t="n"/>
      <c r="K453" s="129" t="n"/>
    </row>
    <row r="454">
      <c r="C454" s="128" t="n"/>
      <c r="D454" s="128" t="n"/>
      <c r="E454" s="128" t="n"/>
      <c r="F454" s="128" t="n"/>
      <c r="G454" s="128" t="n"/>
      <c r="H454" s="128" t="n"/>
      <c r="I454" s="128" t="n"/>
      <c r="J454" s="128" t="n"/>
      <c r="K454" s="129" t="n"/>
    </row>
    <row r="455">
      <c r="C455" s="128" t="n"/>
      <c r="D455" s="128" t="n"/>
      <c r="E455" s="128" t="n"/>
      <c r="F455" s="128" t="n"/>
      <c r="G455" s="128" t="n"/>
      <c r="H455" s="128" t="n"/>
      <c r="I455" s="128" t="n"/>
      <c r="J455" s="128" t="n"/>
      <c r="K455" s="129" t="n"/>
    </row>
    <row r="456">
      <c r="C456" s="128" t="n"/>
      <c r="D456" s="128" t="n"/>
      <c r="E456" s="128" t="n"/>
      <c r="F456" s="128" t="n"/>
      <c r="G456" s="128" t="n"/>
      <c r="H456" s="128" t="n"/>
      <c r="I456" s="128" t="n"/>
      <c r="J456" s="128" t="n"/>
      <c r="K456" s="129" t="n"/>
    </row>
    <row r="457">
      <c r="C457" s="128" t="n"/>
      <c r="D457" s="128" t="n"/>
      <c r="E457" s="128" t="n"/>
      <c r="F457" s="128" t="n"/>
      <c r="G457" s="128" t="n"/>
      <c r="H457" s="128" t="n"/>
      <c r="I457" s="128" t="n"/>
      <c r="J457" s="128" t="n"/>
      <c r="K457" s="129" t="n"/>
    </row>
    <row r="458">
      <c r="C458" s="128" t="n"/>
      <c r="D458" s="128" t="n"/>
      <c r="E458" s="128" t="n"/>
      <c r="F458" s="128" t="n"/>
      <c r="G458" s="128" t="n"/>
      <c r="H458" s="128" t="n"/>
      <c r="I458" s="128" t="n"/>
      <c r="J458" s="128" t="n"/>
      <c r="K458" s="129" t="n"/>
    </row>
    <row r="459">
      <c r="C459" s="128" t="n"/>
      <c r="D459" s="128" t="n"/>
      <c r="E459" s="128" t="n"/>
      <c r="F459" s="128" t="n"/>
      <c r="G459" s="128" t="n"/>
      <c r="H459" s="128" t="n"/>
      <c r="I459" s="128" t="n"/>
      <c r="J459" s="128" t="n"/>
      <c r="K459" s="129" t="n"/>
    </row>
    <row r="460">
      <c r="C460" s="128" t="n"/>
      <c r="D460" s="128" t="n"/>
      <c r="E460" s="128" t="n"/>
      <c r="F460" s="128" t="n"/>
      <c r="G460" s="128" t="n"/>
      <c r="H460" s="128" t="n"/>
      <c r="I460" s="128" t="n"/>
      <c r="J460" s="128" t="n"/>
      <c r="K460" s="129" t="n"/>
    </row>
    <row r="461">
      <c r="C461" s="128" t="n"/>
      <c r="D461" s="128" t="n"/>
      <c r="E461" s="128" t="n"/>
      <c r="F461" s="128" t="n"/>
      <c r="G461" s="128" t="n"/>
      <c r="H461" s="128" t="n"/>
      <c r="I461" s="128" t="n"/>
      <c r="J461" s="128" t="n"/>
      <c r="K461" s="129" t="n"/>
    </row>
    <row r="462">
      <c r="C462" s="128" t="n"/>
      <c r="D462" s="128" t="n"/>
      <c r="E462" s="128" t="n"/>
      <c r="F462" s="128" t="n"/>
      <c r="G462" s="128" t="n"/>
      <c r="H462" s="128" t="n"/>
      <c r="I462" s="128" t="n"/>
      <c r="J462" s="128" t="n"/>
      <c r="K462" s="129" t="n"/>
    </row>
    <row r="463">
      <c r="C463" s="128" t="n"/>
      <c r="D463" s="128" t="n"/>
      <c r="E463" s="128" t="n"/>
      <c r="F463" s="128" t="n"/>
      <c r="G463" s="128" t="n"/>
      <c r="H463" s="128" t="n"/>
      <c r="I463" s="128" t="n"/>
      <c r="J463" s="128" t="n"/>
      <c r="K463" s="129" t="n"/>
    </row>
    <row r="464">
      <c r="C464" s="128" t="n"/>
      <c r="D464" s="128" t="n"/>
      <c r="E464" s="128" t="n"/>
      <c r="F464" s="128" t="n"/>
      <c r="G464" s="128" t="n"/>
      <c r="H464" s="128" t="n"/>
      <c r="I464" s="128" t="n"/>
      <c r="J464" s="128" t="n"/>
      <c r="K464" s="129" t="n"/>
    </row>
    <row r="465">
      <c r="C465" s="128" t="n"/>
      <c r="D465" s="128" t="n"/>
      <c r="E465" s="128" t="n"/>
      <c r="F465" s="128" t="n"/>
      <c r="G465" s="128" t="n"/>
      <c r="H465" s="128" t="n"/>
      <c r="I465" s="128" t="n"/>
      <c r="J465" s="128" t="n"/>
      <c r="K465" s="129" t="n"/>
    </row>
    <row r="466">
      <c r="C466" s="128" t="n"/>
      <c r="D466" s="128" t="n"/>
      <c r="E466" s="128" t="n"/>
      <c r="F466" s="128" t="n"/>
      <c r="G466" s="128" t="n"/>
      <c r="H466" s="128" t="n"/>
      <c r="I466" s="128" t="n"/>
      <c r="J466" s="128" t="n"/>
      <c r="K466" s="129" t="n"/>
    </row>
    <row r="467">
      <c r="C467" s="128" t="n"/>
      <c r="D467" s="128" t="n"/>
      <c r="E467" s="128" t="n"/>
      <c r="F467" s="128" t="n"/>
      <c r="G467" s="128" t="n"/>
      <c r="H467" s="128" t="n"/>
      <c r="I467" s="128" t="n"/>
      <c r="J467" s="128" t="n"/>
      <c r="K467" s="129" t="n"/>
    </row>
    <row r="468">
      <c r="C468" s="128" t="n"/>
      <c r="D468" s="128" t="n"/>
      <c r="E468" s="128" t="n"/>
      <c r="F468" s="128" t="n"/>
      <c r="G468" s="128" t="n"/>
      <c r="H468" s="128" t="n"/>
      <c r="I468" s="128" t="n"/>
      <c r="J468" s="128" t="n"/>
      <c r="K468" s="129" t="n"/>
    </row>
    <row r="469">
      <c r="C469" s="128" t="n"/>
      <c r="D469" s="128" t="n"/>
      <c r="E469" s="128" t="n"/>
      <c r="F469" s="128" t="n"/>
      <c r="G469" s="128" t="n"/>
      <c r="H469" s="128" t="n"/>
      <c r="I469" s="128" t="n"/>
      <c r="J469" s="128" t="n"/>
      <c r="K469" s="129" t="n"/>
    </row>
    <row r="470">
      <c r="C470" s="128" t="n"/>
      <c r="D470" s="128" t="n"/>
      <c r="E470" s="128" t="n"/>
      <c r="F470" s="128" t="n"/>
      <c r="G470" s="128" t="n"/>
      <c r="H470" s="128" t="n"/>
      <c r="I470" s="128" t="n"/>
      <c r="J470" s="128" t="n"/>
      <c r="K470" s="129" t="n"/>
    </row>
    <row r="471">
      <c r="C471" s="128" t="n"/>
      <c r="D471" s="128" t="n"/>
      <c r="E471" s="128" t="n"/>
      <c r="F471" s="128" t="n"/>
      <c r="G471" s="128" t="n"/>
      <c r="H471" s="128" t="n"/>
      <c r="I471" s="128" t="n"/>
      <c r="J471" s="128" t="n"/>
      <c r="K471" s="129" t="n"/>
    </row>
    <row r="472">
      <c r="C472" s="128" t="n"/>
      <c r="D472" s="128" t="n"/>
      <c r="E472" s="128" t="n"/>
      <c r="F472" s="128" t="n"/>
      <c r="G472" s="128" t="n"/>
      <c r="H472" s="128" t="n"/>
      <c r="I472" s="128" t="n"/>
      <c r="J472" s="128" t="n"/>
      <c r="K472" s="129" t="n"/>
    </row>
    <row r="473">
      <c r="C473" s="128" t="n"/>
      <c r="D473" s="128" t="n"/>
      <c r="E473" s="128" t="n"/>
      <c r="F473" s="128" t="n"/>
      <c r="G473" s="128" t="n"/>
      <c r="H473" s="128" t="n"/>
      <c r="I473" s="128" t="n"/>
      <c r="J473" s="128" t="n"/>
      <c r="K473" s="129" t="n"/>
    </row>
    <row r="474">
      <c r="C474" s="128" t="n"/>
      <c r="D474" s="128" t="n"/>
      <c r="E474" s="128" t="n"/>
      <c r="F474" s="128" t="n"/>
      <c r="G474" s="128" t="n"/>
      <c r="H474" s="128" t="n"/>
      <c r="I474" s="128" t="n"/>
      <c r="J474" s="128" t="n"/>
      <c r="K474" s="129" t="n"/>
    </row>
    <row r="475">
      <c r="C475" s="128" t="n"/>
      <c r="D475" s="128" t="n"/>
      <c r="E475" s="128" t="n"/>
      <c r="F475" s="128" t="n"/>
      <c r="G475" s="128" t="n"/>
      <c r="H475" s="128" t="n"/>
      <c r="I475" s="128" t="n"/>
      <c r="J475" s="128" t="n"/>
      <c r="K475" s="129" t="n"/>
    </row>
    <row r="476">
      <c r="C476" s="128" t="n"/>
      <c r="D476" s="128" t="n"/>
      <c r="E476" s="128" t="n"/>
      <c r="F476" s="128" t="n"/>
      <c r="G476" s="128" t="n"/>
      <c r="H476" s="128" t="n"/>
      <c r="I476" s="128" t="n"/>
      <c r="J476" s="128" t="n"/>
      <c r="K476" s="129" t="n"/>
    </row>
    <row r="477">
      <c r="C477" s="128" t="n"/>
      <c r="D477" s="128" t="n"/>
      <c r="E477" s="128" t="n"/>
      <c r="F477" s="128" t="n"/>
      <c r="G477" s="128" t="n"/>
      <c r="H477" s="128" t="n"/>
      <c r="I477" s="128" t="n"/>
      <c r="J477" s="128" t="n"/>
      <c r="K477" s="129" t="n"/>
    </row>
    <row r="478">
      <c r="C478" s="128" t="n"/>
      <c r="D478" s="128" t="n"/>
      <c r="E478" s="128" t="n"/>
      <c r="F478" s="128" t="n"/>
      <c r="G478" s="128" t="n"/>
      <c r="H478" s="128" t="n"/>
      <c r="I478" s="128" t="n"/>
      <c r="J478" s="128" t="n"/>
      <c r="K478" s="129" t="n"/>
    </row>
    <row r="479">
      <c r="C479" s="128" t="n"/>
      <c r="D479" s="128" t="n"/>
      <c r="E479" s="128" t="n"/>
      <c r="F479" s="128" t="n"/>
      <c r="G479" s="128" t="n"/>
      <c r="H479" s="128" t="n"/>
      <c r="I479" s="128" t="n"/>
      <c r="J479" s="128" t="n"/>
      <c r="K479" s="129" t="n"/>
    </row>
    <row r="480">
      <c r="C480" s="128" t="n"/>
      <c r="D480" s="128" t="n"/>
      <c r="E480" s="128" t="n"/>
      <c r="F480" s="128" t="n"/>
      <c r="G480" s="128" t="n"/>
      <c r="H480" s="128" t="n"/>
      <c r="I480" s="128" t="n"/>
      <c r="J480" s="128" t="n"/>
      <c r="K480" s="129" t="n"/>
    </row>
    <row r="481">
      <c r="C481" s="128" t="n"/>
      <c r="D481" s="128" t="n"/>
      <c r="E481" s="128" t="n"/>
      <c r="F481" s="128" t="n"/>
      <c r="G481" s="128" t="n"/>
      <c r="H481" s="128" t="n"/>
      <c r="I481" s="128" t="n"/>
      <c r="J481" s="128" t="n"/>
      <c r="K481" s="129" t="n"/>
    </row>
    <row r="482">
      <c r="C482" s="128" t="n"/>
      <c r="D482" s="128" t="n"/>
      <c r="E482" s="128" t="n"/>
      <c r="F482" s="128" t="n"/>
      <c r="G482" s="128" t="n"/>
      <c r="H482" s="128" t="n"/>
      <c r="I482" s="128" t="n"/>
      <c r="J482" s="128" t="n"/>
      <c r="K482" s="129" t="n"/>
    </row>
    <row r="483">
      <c r="C483" s="128" t="n"/>
      <c r="D483" s="128" t="n"/>
      <c r="E483" s="128" t="n"/>
      <c r="F483" s="128" t="n"/>
      <c r="G483" s="128" t="n"/>
      <c r="H483" s="128" t="n"/>
      <c r="I483" s="128" t="n"/>
      <c r="J483" s="128" t="n"/>
      <c r="K483" s="129" t="n"/>
    </row>
    <row r="484">
      <c r="C484" s="128" t="n"/>
      <c r="D484" s="128" t="n"/>
      <c r="E484" s="128" t="n"/>
      <c r="F484" s="128" t="n"/>
      <c r="G484" s="128" t="n"/>
      <c r="H484" s="128" t="n"/>
      <c r="I484" s="128" t="n"/>
      <c r="J484" s="128" t="n"/>
      <c r="K484" s="129" t="n"/>
    </row>
    <row r="485">
      <c r="C485" s="128" t="n"/>
      <c r="D485" s="128" t="n"/>
      <c r="E485" s="128" t="n"/>
      <c r="F485" s="128" t="n"/>
      <c r="G485" s="128" t="n"/>
      <c r="H485" s="128" t="n"/>
      <c r="I485" s="128" t="n"/>
      <c r="J485" s="128" t="n"/>
      <c r="K485" s="129" t="n"/>
    </row>
    <row r="486">
      <c r="C486" s="128" t="n"/>
      <c r="D486" s="128" t="n"/>
      <c r="E486" s="128" t="n"/>
      <c r="F486" s="128" t="n"/>
      <c r="G486" s="128" t="n"/>
      <c r="H486" s="128" t="n"/>
      <c r="I486" s="128" t="n"/>
      <c r="J486" s="128" t="n"/>
      <c r="K486" s="129" t="n"/>
    </row>
    <row r="487">
      <c r="C487" s="128" t="n"/>
      <c r="D487" s="128" t="n"/>
      <c r="E487" s="128" t="n"/>
      <c r="F487" s="128" t="n"/>
      <c r="G487" s="128" t="n"/>
      <c r="H487" s="128" t="n"/>
      <c r="I487" s="128" t="n"/>
      <c r="J487" s="128" t="n"/>
      <c r="K487" s="129" t="n"/>
    </row>
    <row r="488">
      <c r="C488" s="128" t="n"/>
      <c r="D488" s="128" t="n"/>
      <c r="E488" s="128" t="n"/>
      <c r="F488" s="128" t="n"/>
      <c r="G488" s="128" t="n"/>
      <c r="H488" s="128" t="n"/>
      <c r="I488" s="128" t="n"/>
      <c r="J488" s="128" t="n"/>
      <c r="K488" s="129" t="n"/>
    </row>
    <row r="489">
      <c r="C489" s="128" t="n"/>
      <c r="D489" s="128" t="n"/>
      <c r="E489" s="128" t="n"/>
      <c r="F489" s="128" t="n"/>
      <c r="G489" s="128" t="n"/>
      <c r="H489" s="128" t="n"/>
      <c r="I489" s="128" t="n"/>
      <c r="J489" s="128" t="n"/>
      <c r="K489" s="129" t="n"/>
    </row>
    <row r="490">
      <c r="C490" s="128" t="n"/>
      <c r="D490" s="128" t="n"/>
      <c r="E490" s="128" t="n"/>
      <c r="F490" s="128" t="n"/>
      <c r="G490" s="128" t="n"/>
      <c r="H490" s="128" t="n"/>
      <c r="I490" s="128" t="n"/>
      <c r="J490" s="128" t="n"/>
      <c r="K490" s="129" t="n"/>
    </row>
    <row r="491">
      <c r="C491" s="128" t="n"/>
      <c r="D491" s="128" t="n"/>
      <c r="E491" s="128" t="n"/>
      <c r="F491" s="128" t="n"/>
      <c r="G491" s="128" t="n"/>
      <c r="H491" s="128" t="n"/>
      <c r="I491" s="128" t="n"/>
      <c r="J491" s="128" t="n"/>
      <c r="K491" s="129" t="n"/>
    </row>
    <row r="492">
      <c r="C492" s="128" t="n"/>
      <c r="D492" s="128" t="n"/>
      <c r="E492" s="128" t="n"/>
      <c r="F492" s="128" t="n"/>
      <c r="G492" s="128" t="n"/>
      <c r="H492" s="128" t="n"/>
      <c r="I492" s="128" t="n"/>
      <c r="J492" s="128" t="n"/>
      <c r="K492" s="129" t="n"/>
    </row>
    <row r="493">
      <c r="C493" s="128" t="n"/>
      <c r="D493" s="128" t="n"/>
      <c r="E493" s="128" t="n"/>
      <c r="F493" s="128" t="n"/>
      <c r="G493" s="128" t="n"/>
      <c r="H493" s="128" t="n"/>
      <c r="I493" s="128" t="n"/>
      <c r="J493" s="128" t="n"/>
      <c r="K493" s="129" t="n"/>
    </row>
    <row r="494">
      <c r="C494" s="128" t="n"/>
      <c r="D494" s="128" t="n"/>
      <c r="E494" s="128" t="n"/>
      <c r="F494" s="128" t="n"/>
      <c r="G494" s="128" t="n"/>
      <c r="H494" s="128" t="n"/>
      <c r="I494" s="128" t="n"/>
      <c r="J494" s="128" t="n"/>
      <c r="K494" s="129" t="n"/>
    </row>
    <row r="495">
      <c r="C495" s="128" t="n"/>
      <c r="D495" s="128" t="n"/>
      <c r="E495" s="128" t="n"/>
      <c r="F495" s="128" t="n"/>
      <c r="G495" s="128" t="n"/>
      <c r="H495" s="128" t="n"/>
      <c r="I495" s="128" t="n"/>
      <c r="J495" s="128" t="n"/>
      <c r="K495" s="129" t="n"/>
    </row>
    <row r="496">
      <c r="C496" s="128" t="n"/>
      <c r="D496" s="128" t="n"/>
      <c r="E496" s="128" t="n"/>
      <c r="F496" s="128" t="n"/>
      <c r="G496" s="128" t="n"/>
      <c r="H496" s="128" t="n"/>
      <c r="I496" s="128" t="n"/>
      <c r="J496" s="128" t="n"/>
      <c r="K496" s="129" t="n"/>
    </row>
    <row r="497">
      <c r="C497" s="128" t="n"/>
      <c r="D497" s="128" t="n"/>
      <c r="E497" s="128" t="n"/>
      <c r="F497" s="128" t="n"/>
      <c r="G497" s="128" t="n"/>
      <c r="H497" s="128" t="n"/>
      <c r="I497" s="128" t="n"/>
      <c r="J497" s="128" t="n"/>
      <c r="K497" s="129" t="n"/>
    </row>
    <row r="498">
      <c r="C498" s="128" t="n"/>
      <c r="D498" s="128" t="n"/>
      <c r="E498" s="128" t="n"/>
      <c r="F498" s="128" t="n"/>
      <c r="G498" s="128" t="n"/>
      <c r="H498" s="128" t="n"/>
      <c r="I498" s="128" t="n"/>
      <c r="J498" s="128" t="n"/>
      <c r="K498" s="129" t="n"/>
    </row>
    <row r="499">
      <c r="C499" s="128" t="n"/>
      <c r="D499" s="128" t="n"/>
      <c r="E499" s="128" t="n"/>
      <c r="F499" s="128" t="n"/>
      <c r="G499" s="128" t="n"/>
      <c r="H499" s="128" t="n"/>
      <c r="I499" s="128" t="n"/>
      <c r="J499" s="128" t="n"/>
      <c r="K499" s="129" t="n"/>
    </row>
    <row r="500">
      <c r="C500" s="128" t="n"/>
      <c r="D500" s="128" t="n"/>
      <c r="E500" s="128" t="n"/>
      <c r="F500" s="128" t="n"/>
      <c r="G500" s="128" t="n"/>
      <c r="H500" s="128" t="n"/>
      <c r="I500" s="128" t="n"/>
      <c r="J500" s="128" t="n"/>
      <c r="K500" s="129" t="n"/>
    </row>
    <row r="501">
      <c r="C501" s="128" t="n"/>
      <c r="D501" s="128" t="n"/>
      <c r="E501" s="128" t="n"/>
      <c r="F501" s="128" t="n"/>
      <c r="G501" s="128" t="n"/>
      <c r="H501" s="128" t="n"/>
      <c r="I501" s="128" t="n"/>
      <c r="J501" s="128" t="n"/>
      <c r="K501" s="129" t="n"/>
    </row>
    <row r="502">
      <c r="C502" s="128" t="n"/>
      <c r="D502" s="128" t="n"/>
      <c r="E502" s="128" t="n"/>
      <c r="F502" s="128" t="n"/>
      <c r="G502" s="128" t="n"/>
      <c r="H502" s="128" t="n"/>
      <c r="I502" s="128" t="n"/>
      <c r="J502" s="128" t="n"/>
      <c r="K502" s="129" t="n"/>
    </row>
    <row r="503">
      <c r="C503" s="128" t="n"/>
      <c r="D503" s="128" t="n"/>
      <c r="E503" s="128" t="n"/>
      <c r="F503" s="128" t="n"/>
      <c r="G503" s="128" t="n"/>
      <c r="H503" s="128" t="n"/>
      <c r="I503" s="128" t="n"/>
      <c r="J503" s="128" t="n"/>
      <c r="K503" s="129" t="n"/>
    </row>
    <row r="504">
      <c r="C504" s="128" t="n"/>
      <c r="D504" s="128" t="n"/>
      <c r="E504" s="128" t="n"/>
      <c r="F504" s="128" t="n"/>
      <c r="G504" s="128" t="n"/>
      <c r="H504" s="128" t="n"/>
      <c r="I504" s="128" t="n"/>
      <c r="J504" s="128" t="n"/>
      <c r="K504" s="129" t="n"/>
    </row>
    <row r="505">
      <c r="C505" s="128" t="n"/>
      <c r="D505" s="128" t="n"/>
      <c r="E505" s="128" t="n"/>
      <c r="F505" s="128" t="n"/>
      <c r="G505" s="128" t="n"/>
      <c r="H505" s="128" t="n"/>
      <c r="I505" s="128" t="n"/>
      <c r="J505" s="128" t="n"/>
      <c r="K505" s="129" t="n"/>
    </row>
    <row r="506">
      <c r="C506" s="128" t="n"/>
      <c r="D506" s="128" t="n"/>
      <c r="E506" s="128" t="n"/>
      <c r="F506" s="128" t="n"/>
      <c r="G506" s="128" t="n"/>
      <c r="H506" s="128" t="n"/>
      <c r="I506" s="128" t="n"/>
      <c r="J506" s="128" t="n"/>
      <c r="K506" s="129" t="n"/>
    </row>
    <row r="507">
      <c r="C507" s="128" t="n"/>
      <c r="D507" s="128" t="n"/>
      <c r="E507" s="128" t="n"/>
      <c r="F507" s="128" t="n"/>
      <c r="G507" s="128" t="n"/>
      <c r="H507" s="128" t="n"/>
      <c r="I507" s="128" t="n"/>
      <c r="J507" s="128" t="n"/>
      <c r="K507" s="129" t="n"/>
    </row>
    <row r="508">
      <c r="C508" s="128" t="n"/>
      <c r="D508" s="128" t="n"/>
      <c r="E508" s="128" t="n"/>
      <c r="F508" s="128" t="n"/>
      <c r="G508" s="128" t="n"/>
      <c r="H508" s="128" t="n"/>
      <c r="I508" s="128" t="n"/>
      <c r="J508" s="128" t="n"/>
      <c r="K508" s="129" t="n"/>
    </row>
    <row r="509">
      <c r="C509" s="128" t="n"/>
      <c r="D509" s="128" t="n"/>
      <c r="E509" s="128" t="n"/>
      <c r="F509" s="128" t="n"/>
      <c r="G509" s="128" t="n"/>
      <c r="H509" s="128" t="n"/>
      <c r="I509" s="128" t="n"/>
      <c r="J509" s="128" t="n"/>
      <c r="K509" s="129" t="n"/>
    </row>
    <row r="510">
      <c r="C510" s="128" t="n"/>
      <c r="D510" s="128" t="n"/>
      <c r="E510" s="128" t="n"/>
      <c r="F510" s="128" t="n"/>
      <c r="G510" s="128" t="n"/>
      <c r="H510" s="128" t="n"/>
      <c r="I510" s="128" t="n"/>
      <c r="J510" s="128" t="n"/>
      <c r="K510" s="129" t="n"/>
    </row>
    <row r="511">
      <c r="C511" s="128" t="n"/>
      <c r="D511" s="128" t="n"/>
      <c r="E511" s="128" t="n"/>
      <c r="F511" s="128" t="n"/>
      <c r="G511" s="128" t="n"/>
      <c r="H511" s="128" t="n"/>
      <c r="I511" s="128" t="n"/>
      <c r="J511" s="128" t="n"/>
      <c r="K511" s="129" t="n"/>
    </row>
    <row r="512">
      <c r="C512" s="128" t="n"/>
      <c r="D512" s="128" t="n"/>
      <c r="E512" s="128" t="n"/>
      <c r="F512" s="128" t="n"/>
      <c r="G512" s="128" t="n"/>
      <c r="H512" s="128" t="n"/>
      <c r="I512" s="128" t="n"/>
      <c r="J512" s="128" t="n"/>
      <c r="K512" s="129" t="n"/>
    </row>
    <row r="513">
      <c r="C513" s="128" t="n"/>
      <c r="D513" s="128" t="n"/>
      <c r="E513" s="128" t="n"/>
      <c r="F513" s="128" t="n"/>
      <c r="G513" s="128" t="n"/>
      <c r="H513" s="128" t="n"/>
      <c r="I513" s="128" t="n"/>
      <c r="J513" s="128" t="n"/>
      <c r="K513" s="129" t="n"/>
    </row>
    <row r="514">
      <c r="C514" s="128" t="n"/>
      <c r="D514" s="128" t="n"/>
      <c r="E514" s="128" t="n"/>
      <c r="F514" s="128" t="n"/>
      <c r="G514" s="128" t="n"/>
      <c r="H514" s="128" t="n"/>
      <c r="I514" s="128" t="n"/>
      <c r="J514" s="128" t="n"/>
      <c r="K514" s="129" t="n"/>
    </row>
    <row r="515">
      <c r="C515" s="128" t="n"/>
      <c r="D515" s="128" t="n"/>
      <c r="E515" s="128" t="n"/>
      <c r="F515" s="128" t="n"/>
      <c r="G515" s="128" t="n"/>
      <c r="H515" s="128" t="n"/>
      <c r="I515" s="128" t="n"/>
      <c r="J515" s="128" t="n"/>
      <c r="K515" s="129" t="n"/>
    </row>
    <row r="516">
      <c r="C516" s="128" t="n"/>
      <c r="D516" s="128" t="n"/>
      <c r="E516" s="128" t="n"/>
      <c r="F516" s="128" t="n"/>
      <c r="G516" s="128" t="n"/>
      <c r="H516" s="128" t="n"/>
      <c r="I516" s="128" t="n"/>
      <c r="J516" s="128" t="n"/>
      <c r="K516" s="129" t="n"/>
    </row>
    <row r="517">
      <c r="C517" s="128" t="n"/>
      <c r="D517" s="128" t="n"/>
      <c r="E517" s="128" t="n"/>
      <c r="F517" s="128" t="n"/>
      <c r="G517" s="128" t="n"/>
      <c r="H517" s="128" t="n"/>
      <c r="I517" s="128" t="n"/>
      <c r="J517" s="128" t="n"/>
      <c r="K517" s="129" t="n"/>
    </row>
    <row r="518">
      <c r="C518" s="128" t="n"/>
      <c r="D518" s="128" t="n"/>
      <c r="E518" s="128" t="n"/>
      <c r="F518" s="128" t="n"/>
      <c r="G518" s="128" t="n"/>
      <c r="H518" s="128" t="n"/>
      <c r="I518" s="128" t="n"/>
      <c r="J518" s="128" t="n"/>
      <c r="K518" s="129" t="n"/>
    </row>
    <row r="519">
      <c r="C519" s="128" t="n"/>
      <c r="D519" s="128" t="n"/>
      <c r="E519" s="128" t="n"/>
      <c r="F519" s="128" t="n"/>
      <c r="G519" s="128" t="n"/>
      <c r="H519" s="128" t="n"/>
      <c r="I519" s="128" t="n"/>
      <c r="J519" s="128" t="n"/>
      <c r="K519" s="129" t="n"/>
    </row>
    <row r="520">
      <c r="C520" s="128" t="n"/>
      <c r="D520" s="128" t="n"/>
      <c r="E520" s="128" t="n"/>
      <c r="F520" s="128" t="n"/>
      <c r="G520" s="128" t="n"/>
      <c r="H520" s="128" t="n"/>
      <c r="I520" s="128" t="n"/>
      <c r="J520" s="128" t="n"/>
      <c r="K520" s="129" t="n"/>
    </row>
    <row r="521">
      <c r="C521" s="128" t="n"/>
      <c r="D521" s="128" t="n"/>
      <c r="E521" s="128" t="n"/>
      <c r="F521" s="128" t="n"/>
      <c r="G521" s="128" t="n"/>
      <c r="H521" s="128" t="n"/>
      <c r="I521" s="128" t="n"/>
      <c r="J521" s="128" t="n"/>
      <c r="K521" s="129" t="n"/>
    </row>
    <row r="522">
      <c r="C522" s="128" t="n"/>
      <c r="D522" s="128" t="n"/>
      <c r="E522" s="128" t="n"/>
      <c r="F522" s="128" t="n"/>
      <c r="G522" s="128" t="n"/>
      <c r="H522" s="128" t="n"/>
      <c r="I522" s="128" t="n"/>
      <c r="J522" s="128" t="n"/>
      <c r="K522" s="129" t="n"/>
    </row>
    <row r="523">
      <c r="C523" s="128" t="n"/>
      <c r="D523" s="128" t="n"/>
      <c r="E523" s="128" t="n"/>
      <c r="F523" s="128" t="n"/>
      <c r="G523" s="128" t="n"/>
      <c r="H523" s="128" t="n"/>
      <c r="I523" s="128" t="n"/>
      <c r="J523" s="128" t="n"/>
      <c r="K523" s="129" t="n"/>
    </row>
    <row r="524">
      <c r="C524" s="128" t="n"/>
      <c r="D524" s="128" t="n"/>
      <c r="E524" s="128" t="n"/>
      <c r="F524" s="128" t="n"/>
      <c r="G524" s="128" t="n"/>
      <c r="H524" s="128" t="n"/>
      <c r="I524" s="128" t="n"/>
      <c r="J524" s="128" t="n"/>
      <c r="K524" s="129" t="n"/>
    </row>
    <row r="525">
      <c r="C525" s="128" t="n"/>
      <c r="D525" s="128" t="n"/>
      <c r="E525" s="128" t="n"/>
      <c r="F525" s="128" t="n"/>
      <c r="G525" s="128" t="n"/>
      <c r="H525" s="128" t="n"/>
      <c r="I525" s="128" t="n"/>
      <c r="J525" s="128" t="n"/>
      <c r="K525" s="129" t="n"/>
    </row>
    <row r="526">
      <c r="C526" s="128" t="n"/>
      <c r="D526" s="128" t="n"/>
      <c r="E526" s="128" t="n"/>
      <c r="F526" s="128" t="n"/>
      <c r="G526" s="128" t="n"/>
      <c r="H526" s="128" t="n"/>
      <c r="I526" s="128" t="n"/>
      <c r="J526" s="128" t="n"/>
      <c r="K526" s="129" t="n"/>
    </row>
    <row r="527">
      <c r="C527" s="128" t="n"/>
      <c r="D527" s="128" t="n"/>
      <c r="E527" s="128" t="n"/>
      <c r="F527" s="128" t="n"/>
      <c r="G527" s="128" t="n"/>
      <c r="H527" s="128" t="n"/>
      <c r="I527" s="128" t="n"/>
      <c r="J527" s="128" t="n"/>
      <c r="K527" s="129" t="n"/>
    </row>
    <row r="528">
      <c r="C528" s="128" t="n"/>
      <c r="D528" s="128" t="n"/>
      <c r="E528" s="128" t="n"/>
      <c r="F528" s="128" t="n"/>
      <c r="G528" s="128" t="n"/>
      <c r="H528" s="128" t="n"/>
      <c r="I528" s="128" t="n"/>
      <c r="J528" s="128" t="n"/>
      <c r="K528" s="129" t="n"/>
    </row>
    <row r="529">
      <c r="C529" s="128" t="n"/>
      <c r="D529" s="128" t="n"/>
      <c r="E529" s="128" t="n"/>
      <c r="F529" s="128" t="n"/>
      <c r="G529" s="128" t="n"/>
      <c r="H529" s="128" t="n"/>
      <c r="I529" s="128" t="n"/>
      <c r="J529" s="128" t="n"/>
      <c r="K529" s="129" t="n"/>
    </row>
    <row r="530">
      <c r="C530" s="128" t="n"/>
      <c r="D530" s="128" t="n"/>
      <c r="E530" s="128" t="n"/>
      <c r="F530" s="128" t="n"/>
      <c r="G530" s="128" t="n"/>
      <c r="H530" s="128" t="n"/>
      <c r="I530" s="128" t="n"/>
      <c r="J530" s="128" t="n"/>
      <c r="K530" s="129" t="n"/>
    </row>
    <row r="531">
      <c r="C531" s="128" t="n"/>
      <c r="D531" s="128" t="n"/>
      <c r="E531" s="128" t="n"/>
      <c r="F531" s="128" t="n"/>
      <c r="G531" s="128" t="n"/>
      <c r="H531" s="128" t="n"/>
      <c r="I531" s="128" t="n"/>
      <c r="J531" s="128" t="n"/>
      <c r="K531" s="129" t="n"/>
    </row>
    <row r="532">
      <c r="C532" s="128" t="n"/>
      <c r="D532" s="128" t="n"/>
      <c r="E532" s="128" t="n"/>
      <c r="F532" s="128" t="n"/>
      <c r="G532" s="128" t="n"/>
      <c r="H532" s="128" t="n"/>
      <c r="I532" s="128" t="n"/>
      <c r="J532" s="128" t="n"/>
      <c r="K532" s="129" t="n"/>
    </row>
    <row r="533">
      <c r="C533" s="128" t="n"/>
      <c r="D533" s="128" t="n"/>
      <c r="E533" s="128" t="n"/>
      <c r="F533" s="128" t="n"/>
      <c r="G533" s="128" t="n"/>
      <c r="H533" s="128" t="n"/>
      <c r="I533" s="128" t="n"/>
      <c r="J533" s="128" t="n"/>
      <c r="K533" s="129" t="n"/>
    </row>
    <row r="534">
      <c r="C534" s="128" t="n"/>
      <c r="D534" s="128" t="n"/>
      <c r="E534" s="128" t="n"/>
      <c r="F534" s="128" t="n"/>
      <c r="G534" s="128" t="n"/>
      <c r="H534" s="128" t="n"/>
      <c r="I534" s="128" t="n"/>
      <c r="J534" s="128" t="n"/>
      <c r="K534" s="129" t="n"/>
    </row>
    <row r="535">
      <c r="C535" s="128" t="n"/>
      <c r="D535" s="128" t="n"/>
      <c r="E535" s="128" t="n"/>
      <c r="F535" s="128" t="n"/>
      <c r="G535" s="128" t="n"/>
      <c r="H535" s="128" t="n"/>
      <c r="I535" s="128" t="n"/>
      <c r="J535" s="128" t="n"/>
      <c r="K535" s="129" t="n"/>
    </row>
    <row r="536">
      <c r="C536" s="128" t="n"/>
      <c r="D536" s="128" t="n"/>
      <c r="E536" s="128" t="n"/>
      <c r="F536" s="128" t="n"/>
      <c r="G536" s="128" t="n"/>
      <c r="H536" s="128" t="n"/>
      <c r="I536" s="128" t="n"/>
      <c r="J536" s="128" t="n"/>
      <c r="K536" s="129" t="n"/>
    </row>
    <row r="537">
      <c r="C537" s="128" t="n"/>
      <c r="D537" s="128" t="n"/>
      <c r="E537" s="128" t="n"/>
      <c r="F537" s="128" t="n"/>
      <c r="G537" s="128" t="n"/>
      <c r="H537" s="128" t="n"/>
      <c r="I537" s="128" t="n"/>
      <c r="J537" s="128" t="n"/>
      <c r="K537" s="129" t="n"/>
    </row>
    <row r="538">
      <c r="C538" s="128" t="n"/>
      <c r="D538" s="128" t="n"/>
      <c r="E538" s="128" t="n"/>
      <c r="F538" s="128" t="n"/>
      <c r="G538" s="128" t="n"/>
      <c r="H538" s="128" t="n"/>
      <c r="I538" s="128" t="n"/>
      <c r="J538" s="128" t="n"/>
      <c r="K538" s="129" t="n"/>
    </row>
    <row r="539">
      <c r="C539" s="128" t="n"/>
      <c r="D539" s="128" t="n"/>
      <c r="E539" s="128" t="n"/>
      <c r="F539" s="128" t="n"/>
      <c r="G539" s="128" t="n"/>
      <c r="H539" s="128" t="n"/>
      <c r="I539" s="128" t="n"/>
      <c r="J539" s="128" t="n"/>
      <c r="K539" s="129" t="n"/>
    </row>
    <row r="540">
      <c r="C540" s="128" t="n"/>
      <c r="D540" s="128" t="n"/>
      <c r="E540" s="128" t="n"/>
      <c r="F540" s="128" t="n"/>
      <c r="G540" s="128" t="n"/>
      <c r="H540" s="128" t="n"/>
      <c r="I540" s="128" t="n"/>
      <c r="J540" s="128" t="n"/>
      <c r="K540" s="129" t="n"/>
    </row>
    <row r="541">
      <c r="C541" s="128" t="n"/>
      <c r="D541" s="128" t="n"/>
      <c r="E541" s="128" t="n"/>
      <c r="F541" s="128" t="n"/>
      <c r="G541" s="128" t="n"/>
      <c r="H541" s="128" t="n"/>
      <c r="I541" s="128" t="n"/>
      <c r="J541" s="128" t="n"/>
      <c r="K541" s="129" t="n"/>
    </row>
    <row r="542">
      <c r="C542" s="128" t="n"/>
      <c r="D542" s="128" t="n"/>
      <c r="E542" s="128" t="n"/>
      <c r="F542" s="128" t="n"/>
      <c r="G542" s="128" t="n"/>
      <c r="H542" s="128" t="n"/>
      <c r="I542" s="128" t="n"/>
      <c r="J542" s="128" t="n"/>
      <c r="K542" s="129" t="n"/>
    </row>
    <row r="543">
      <c r="C543" s="128" t="n"/>
      <c r="D543" s="128" t="n"/>
      <c r="E543" s="128" t="n"/>
      <c r="F543" s="128" t="n"/>
      <c r="G543" s="128" t="n"/>
      <c r="H543" s="128" t="n"/>
      <c r="I543" s="128" t="n"/>
      <c r="J543" s="128" t="n"/>
      <c r="K543" s="129" t="n"/>
    </row>
    <row r="544">
      <c r="C544" s="128" t="n"/>
      <c r="D544" s="128" t="n"/>
      <c r="E544" s="128" t="n"/>
      <c r="F544" s="128" t="n"/>
      <c r="G544" s="128" t="n"/>
      <c r="H544" s="128" t="n"/>
      <c r="I544" s="128" t="n"/>
      <c r="J544" s="128" t="n"/>
      <c r="K544" s="129" t="n"/>
    </row>
    <row r="545">
      <c r="C545" s="128" t="n"/>
      <c r="D545" s="128" t="n"/>
      <c r="E545" s="128" t="n"/>
      <c r="F545" s="128" t="n"/>
      <c r="G545" s="128" t="n"/>
      <c r="H545" s="128" t="n"/>
      <c r="I545" s="128" t="n"/>
      <c r="J545" s="128" t="n"/>
      <c r="K545" s="129" t="n"/>
    </row>
    <row r="546">
      <c r="C546" s="128" t="n"/>
      <c r="D546" s="128" t="n"/>
      <c r="E546" s="128" t="n"/>
      <c r="F546" s="128" t="n"/>
      <c r="G546" s="128" t="n"/>
      <c r="H546" s="128" t="n"/>
      <c r="I546" s="128" t="n"/>
      <c r="J546" s="128" t="n"/>
      <c r="K546" s="129" t="n"/>
    </row>
    <row r="547">
      <c r="C547" s="128" t="n"/>
      <c r="D547" s="128" t="n"/>
      <c r="E547" s="128" t="n"/>
      <c r="F547" s="128" t="n"/>
      <c r="G547" s="128" t="n"/>
      <c r="H547" s="128" t="n"/>
      <c r="I547" s="128" t="n"/>
      <c r="J547" s="128" t="n"/>
      <c r="K547" s="129" t="n"/>
    </row>
    <row r="548">
      <c r="C548" s="128" t="n"/>
      <c r="D548" s="128" t="n"/>
      <c r="E548" s="128" t="n"/>
      <c r="F548" s="128" t="n"/>
      <c r="G548" s="128" t="n"/>
      <c r="H548" s="128" t="n"/>
      <c r="I548" s="128" t="n"/>
      <c r="J548" s="128" t="n"/>
      <c r="K548" s="129" t="n"/>
    </row>
    <row r="549">
      <c r="C549" s="128" t="n"/>
      <c r="D549" s="128" t="n"/>
      <c r="E549" s="128" t="n"/>
      <c r="F549" s="128" t="n"/>
      <c r="G549" s="128" t="n"/>
      <c r="H549" s="128" t="n"/>
      <c r="I549" s="128" t="n"/>
      <c r="J549" s="128" t="n"/>
      <c r="K549" s="129" t="n"/>
    </row>
    <row r="550">
      <c r="C550" s="128" t="n"/>
      <c r="D550" s="128" t="n"/>
      <c r="E550" s="128" t="n"/>
      <c r="F550" s="128" t="n"/>
      <c r="G550" s="128" t="n"/>
      <c r="H550" s="128" t="n"/>
      <c r="I550" s="128" t="n"/>
      <c r="J550" s="128" t="n"/>
      <c r="K550" s="129" t="n"/>
    </row>
    <row r="551">
      <c r="C551" s="128" t="n"/>
      <c r="D551" s="128" t="n"/>
      <c r="E551" s="128" t="n"/>
      <c r="F551" s="128" t="n"/>
      <c r="G551" s="128" t="n"/>
      <c r="H551" s="128" t="n"/>
      <c r="I551" s="128" t="n"/>
      <c r="J551" s="128" t="n"/>
      <c r="K551" s="129" t="n"/>
    </row>
    <row r="552">
      <c r="C552" s="128" t="n"/>
      <c r="D552" s="128" t="n"/>
      <c r="E552" s="128" t="n"/>
      <c r="F552" s="128" t="n"/>
      <c r="G552" s="128" t="n"/>
      <c r="H552" s="128" t="n"/>
      <c r="I552" s="128" t="n"/>
      <c r="J552" s="128" t="n"/>
      <c r="K552" s="129" t="n"/>
    </row>
    <row r="553">
      <c r="C553" s="128" t="n"/>
      <c r="D553" s="128" t="n"/>
      <c r="E553" s="128" t="n"/>
      <c r="F553" s="128" t="n"/>
      <c r="G553" s="128" t="n"/>
      <c r="H553" s="128" t="n"/>
      <c r="I553" s="128" t="n"/>
      <c r="J553" s="128" t="n"/>
      <c r="K553" s="129" t="n"/>
    </row>
    <row r="554">
      <c r="C554" s="128" t="n"/>
      <c r="D554" s="128" t="n"/>
      <c r="E554" s="128" t="n"/>
      <c r="F554" s="128" t="n"/>
      <c r="G554" s="128" t="n"/>
      <c r="H554" s="128" t="n"/>
      <c r="I554" s="128" t="n"/>
      <c r="J554" s="128" t="n"/>
      <c r="K554" s="129" t="n"/>
    </row>
    <row r="555">
      <c r="C555" s="128" t="n"/>
      <c r="D555" s="128" t="n"/>
      <c r="E555" s="128" t="n"/>
      <c r="F555" s="128" t="n"/>
      <c r="G555" s="128" t="n"/>
      <c r="H555" s="128" t="n"/>
      <c r="I555" s="128" t="n"/>
      <c r="J555" s="128" t="n"/>
      <c r="K555" s="129" t="n"/>
    </row>
    <row r="556">
      <c r="C556" s="128" t="n"/>
      <c r="D556" s="128" t="n"/>
      <c r="E556" s="128" t="n"/>
      <c r="F556" s="128" t="n"/>
      <c r="G556" s="128" t="n"/>
      <c r="H556" s="128" t="n"/>
      <c r="I556" s="128" t="n"/>
      <c r="J556" s="128" t="n"/>
      <c r="K556" s="129" t="n"/>
    </row>
    <row r="557">
      <c r="C557" s="128" t="n"/>
      <c r="D557" s="128" t="n"/>
      <c r="E557" s="128" t="n"/>
      <c r="F557" s="128" t="n"/>
      <c r="G557" s="128" t="n"/>
      <c r="H557" s="128" t="n"/>
      <c r="I557" s="128" t="n"/>
      <c r="J557" s="128" t="n"/>
      <c r="K557" s="129" t="n"/>
    </row>
    <row r="558">
      <c r="C558" s="128" t="n"/>
      <c r="D558" s="128" t="n"/>
      <c r="E558" s="128" t="n"/>
      <c r="F558" s="128" t="n"/>
      <c r="G558" s="128" t="n"/>
      <c r="H558" s="128" t="n"/>
      <c r="I558" s="128" t="n"/>
      <c r="J558" s="128" t="n"/>
      <c r="K558" s="129" t="n"/>
    </row>
    <row r="559">
      <c r="C559" s="128" t="n"/>
      <c r="D559" s="128" t="n"/>
      <c r="E559" s="128" t="n"/>
      <c r="F559" s="128" t="n"/>
      <c r="G559" s="128" t="n"/>
      <c r="H559" s="128" t="n"/>
      <c r="I559" s="128" t="n"/>
      <c r="J559" s="128" t="n"/>
      <c r="K559" s="129" t="n"/>
    </row>
    <row r="560">
      <c r="C560" s="128" t="n"/>
      <c r="D560" s="128" t="n"/>
      <c r="E560" s="128" t="n"/>
      <c r="F560" s="128" t="n"/>
      <c r="G560" s="128" t="n"/>
      <c r="H560" s="128" t="n"/>
      <c r="I560" s="128" t="n"/>
      <c r="J560" s="128" t="n"/>
      <c r="K560" s="129" t="n"/>
    </row>
    <row r="561">
      <c r="C561" s="128" t="n"/>
      <c r="D561" s="128" t="n"/>
      <c r="E561" s="128" t="n"/>
      <c r="F561" s="128" t="n"/>
      <c r="G561" s="128" t="n"/>
      <c r="H561" s="128" t="n"/>
      <c r="I561" s="128" t="n"/>
      <c r="J561" s="128" t="n"/>
      <c r="K561" s="129" t="n"/>
    </row>
    <row r="562">
      <c r="C562" s="128" t="n"/>
      <c r="D562" s="128" t="n"/>
      <c r="E562" s="128" t="n"/>
      <c r="F562" s="128" t="n"/>
      <c r="G562" s="128" t="n"/>
      <c r="H562" s="128" t="n"/>
      <c r="I562" s="128" t="n"/>
      <c r="J562" s="128" t="n"/>
      <c r="K562" s="129" t="n"/>
    </row>
    <row r="563">
      <c r="C563" s="128" t="n"/>
      <c r="D563" s="128" t="n"/>
      <c r="E563" s="128" t="n"/>
      <c r="F563" s="128" t="n"/>
      <c r="G563" s="128" t="n"/>
      <c r="H563" s="128" t="n"/>
      <c r="I563" s="128" t="n"/>
      <c r="J563" s="128" t="n"/>
      <c r="K563" s="129" t="n"/>
    </row>
    <row r="564">
      <c r="C564" s="128" t="n"/>
      <c r="D564" s="128" t="n"/>
      <c r="E564" s="128" t="n"/>
      <c r="F564" s="128" t="n"/>
      <c r="G564" s="128" t="n"/>
      <c r="H564" s="128" t="n"/>
      <c r="I564" s="128" t="n"/>
      <c r="J564" s="128" t="n"/>
      <c r="K564" s="129" t="n"/>
    </row>
    <row r="565">
      <c r="C565" s="128" t="n"/>
      <c r="D565" s="128" t="n"/>
      <c r="E565" s="128" t="n"/>
      <c r="F565" s="128" t="n"/>
      <c r="G565" s="128" t="n"/>
      <c r="H565" s="128" t="n"/>
      <c r="I565" s="128" t="n"/>
      <c r="J565" s="128" t="n"/>
      <c r="K565" s="129" t="n"/>
    </row>
    <row r="566">
      <c r="C566" s="128" t="n"/>
      <c r="D566" s="128" t="n"/>
      <c r="E566" s="128" t="n"/>
      <c r="F566" s="128" t="n"/>
      <c r="G566" s="128" t="n"/>
      <c r="H566" s="128" t="n"/>
      <c r="I566" s="128" t="n"/>
      <c r="J566" s="128" t="n"/>
      <c r="K566" s="129" t="n"/>
    </row>
    <row r="567">
      <c r="C567" s="128" t="n"/>
      <c r="D567" s="128" t="n"/>
      <c r="E567" s="128" t="n"/>
      <c r="F567" s="128" t="n"/>
      <c r="G567" s="128" t="n"/>
      <c r="H567" s="128" t="n"/>
      <c r="I567" s="128" t="n"/>
      <c r="J567" s="128" t="n"/>
      <c r="K567" s="129" t="n"/>
    </row>
    <row r="568">
      <c r="C568" s="128" t="n"/>
      <c r="D568" s="128" t="n"/>
      <c r="E568" s="128" t="n"/>
      <c r="F568" s="128" t="n"/>
      <c r="G568" s="128" t="n"/>
      <c r="H568" s="128" t="n"/>
      <c r="I568" s="128" t="n"/>
      <c r="J568" s="128" t="n"/>
      <c r="K568" s="129" t="n"/>
    </row>
    <row r="569">
      <c r="C569" s="128" t="n"/>
      <c r="D569" s="128" t="n"/>
      <c r="E569" s="128" t="n"/>
      <c r="F569" s="128" t="n"/>
      <c r="G569" s="128" t="n"/>
      <c r="H569" s="128" t="n"/>
      <c r="I569" s="128" t="n"/>
      <c r="J569" s="128" t="n"/>
      <c r="K569" s="129" t="n"/>
    </row>
    <row r="570">
      <c r="C570" s="128" t="n"/>
      <c r="D570" s="128" t="n"/>
      <c r="E570" s="128" t="n"/>
      <c r="F570" s="128" t="n"/>
      <c r="G570" s="128" t="n"/>
      <c r="H570" s="128" t="n"/>
      <c r="I570" s="128" t="n"/>
      <c r="J570" s="128" t="n"/>
      <c r="K570" s="129" t="n"/>
    </row>
    <row r="571">
      <c r="C571" s="128" t="n"/>
      <c r="D571" s="128" t="n"/>
      <c r="E571" s="128" t="n"/>
      <c r="F571" s="128" t="n"/>
      <c r="G571" s="128" t="n"/>
      <c r="H571" s="128" t="n"/>
      <c r="I571" s="128" t="n"/>
      <c r="J571" s="128" t="n"/>
      <c r="K571" s="129" t="n"/>
    </row>
    <row r="572">
      <c r="C572" s="128" t="n"/>
      <c r="D572" s="128" t="n"/>
      <c r="E572" s="128" t="n"/>
      <c r="F572" s="128" t="n"/>
      <c r="G572" s="128" t="n"/>
      <c r="H572" s="128" t="n"/>
      <c r="I572" s="128" t="n"/>
      <c r="J572" s="128" t="n"/>
      <c r="K572" s="129" t="n"/>
    </row>
    <row r="573">
      <c r="C573" s="128" t="n"/>
      <c r="D573" s="128" t="n"/>
      <c r="E573" s="128" t="n"/>
      <c r="F573" s="128" t="n"/>
      <c r="G573" s="128" t="n"/>
      <c r="H573" s="128" t="n"/>
      <c r="I573" s="128" t="n"/>
      <c r="J573" s="128" t="n"/>
      <c r="K573" s="129" t="n"/>
    </row>
    <row r="574">
      <c r="C574" s="128" t="n"/>
      <c r="D574" s="128" t="n"/>
      <c r="E574" s="128" t="n"/>
      <c r="F574" s="128" t="n"/>
      <c r="G574" s="128" t="n"/>
      <c r="H574" s="128" t="n"/>
      <c r="I574" s="128" t="n"/>
      <c r="J574" s="128" t="n"/>
      <c r="K574" s="129" t="n"/>
    </row>
    <row r="575">
      <c r="C575" s="128" t="n"/>
      <c r="D575" s="128" t="n"/>
      <c r="E575" s="128" t="n"/>
      <c r="F575" s="128" t="n"/>
      <c r="G575" s="128" t="n"/>
      <c r="H575" s="128" t="n"/>
      <c r="I575" s="128" t="n"/>
      <c r="J575" s="128" t="n"/>
      <c r="K575" s="129" t="n"/>
    </row>
    <row r="576">
      <c r="C576" s="128" t="n"/>
      <c r="D576" s="128" t="n"/>
      <c r="E576" s="128" t="n"/>
      <c r="F576" s="128" t="n"/>
      <c r="G576" s="128" t="n"/>
      <c r="H576" s="128" t="n"/>
      <c r="I576" s="128" t="n"/>
      <c r="J576" s="128" t="n"/>
      <c r="K576" s="129" t="n"/>
    </row>
    <row r="577">
      <c r="C577" s="128" t="n"/>
      <c r="D577" s="128" t="n"/>
      <c r="E577" s="128" t="n"/>
      <c r="F577" s="128" t="n"/>
      <c r="G577" s="128" t="n"/>
      <c r="H577" s="128" t="n"/>
      <c r="I577" s="128" t="n"/>
      <c r="J577" s="128" t="n"/>
      <c r="K577" s="129" t="n"/>
    </row>
    <row r="578">
      <c r="C578" s="128" t="n"/>
      <c r="D578" s="128" t="n"/>
      <c r="E578" s="128" t="n"/>
      <c r="F578" s="128" t="n"/>
      <c r="G578" s="128" t="n"/>
      <c r="H578" s="128" t="n"/>
      <c r="I578" s="128" t="n"/>
      <c r="J578" s="128" t="n"/>
      <c r="K578" s="129" t="n"/>
    </row>
    <row r="579">
      <c r="C579" s="128" t="n"/>
      <c r="D579" s="128" t="n"/>
      <c r="E579" s="128" t="n"/>
      <c r="F579" s="128" t="n"/>
      <c r="G579" s="128" t="n"/>
      <c r="H579" s="128" t="n"/>
      <c r="I579" s="128" t="n"/>
      <c r="J579" s="128" t="n"/>
      <c r="K579" s="129" t="n"/>
    </row>
    <row r="580">
      <c r="C580" s="128" t="n"/>
      <c r="D580" s="128" t="n"/>
      <c r="E580" s="128" t="n"/>
      <c r="F580" s="128" t="n"/>
      <c r="G580" s="128" t="n"/>
      <c r="H580" s="128" t="n"/>
      <c r="I580" s="128" t="n"/>
      <c r="J580" s="128" t="n"/>
      <c r="K580" s="129" t="n"/>
    </row>
    <row r="581">
      <c r="C581" s="128" t="n"/>
      <c r="D581" s="128" t="n"/>
      <c r="E581" s="128" t="n"/>
      <c r="F581" s="128" t="n"/>
      <c r="G581" s="128" t="n"/>
      <c r="H581" s="128" t="n"/>
      <c r="I581" s="128" t="n"/>
      <c r="J581" s="128" t="n"/>
      <c r="K581" s="129" t="n"/>
    </row>
    <row r="582">
      <c r="C582" s="128" t="n"/>
      <c r="D582" s="128" t="n"/>
      <c r="E582" s="128" t="n"/>
      <c r="F582" s="128" t="n"/>
      <c r="G582" s="128" t="n"/>
      <c r="H582" s="128" t="n"/>
      <c r="I582" s="128" t="n"/>
      <c r="J582" s="128" t="n"/>
      <c r="K582" s="129" t="n"/>
    </row>
    <row r="583">
      <c r="C583" s="128" t="n"/>
      <c r="D583" s="128" t="n"/>
      <c r="E583" s="128" t="n"/>
      <c r="F583" s="128" t="n"/>
      <c r="G583" s="128" t="n"/>
      <c r="H583" s="128" t="n"/>
      <c r="I583" s="128" t="n"/>
      <c r="J583" s="128" t="n"/>
      <c r="K583" s="129" t="n"/>
    </row>
    <row r="584">
      <c r="C584" s="128" t="n"/>
      <c r="D584" s="128" t="n"/>
      <c r="E584" s="128" t="n"/>
      <c r="F584" s="128" t="n"/>
      <c r="G584" s="128" t="n"/>
      <c r="H584" s="128" t="n"/>
      <c r="I584" s="128" t="n"/>
      <c r="J584" s="128" t="n"/>
      <c r="K584" s="129" t="n"/>
    </row>
    <row r="585">
      <c r="C585" s="128" t="n"/>
      <c r="D585" s="128" t="n"/>
      <c r="E585" s="128" t="n"/>
      <c r="F585" s="128" t="n"/>
      <c r="G585" s="128" t="n"/>
      <c r="H585" s="128" t="n"/>
      <c r="I585" s="128" t="n"/>
      <c r="J585" s="128" t="n"/>
      <c r="K585" s="129" t="n"/>
    </row>
    <row r="586">
      <c r="C586" s="128" t="n"/>
      <c r="D586" s="128" t="n"/>
      <c r="E586" s="128" t="n"/>
      <c r="F586" s="128" t="n"/>
      <c r="G586" s="128" t="n"/>
      <c r="H586" s="128" t="n"/>
      <c r="I586" s="128" t="n"/>
      <c r="J586" s="128" t="n"/>
      <c r="K586" s="129" t="n"/>
    </row>
    <row r="587">
      <c r="C587" s="128" t="n"/>
      <c r="D587" s="128" t="n"/>
      <c r="E587" s="128" t="n"/>
      <c r="F587" s="128" t="n"/>
      <c r="G587" s="128" t="n"/>
      <c r="H587" s="128" t="n"/>
      <c r="I587" s="128" t="n"/>
      <c r="J587" s="128" t="n"/>
      <c r="K587" s="129" t="n"/>
    </row>
    <row r="588">
      <c r="C588" s="128" t="n"/>
      <c r="D588" s="128" t="n"/>
      <c r="E588" s="128" t="n"/>
      <c r="F588" s="128" t="n"/>
      <c r="G588" s="128" t="n"/>
      <c r="H588" s="128" t="n"/>
      <c r="I588" s="128" t="n"/>
      <c r="J588" s="128" t="n"/>
      <c r="K588" s="129" t="n"/>
    </row>
    <row r="589">
      <c r="C589" s="128" t="n"/>
      <c r="D589" s="128" t="n"/>
      <c r="E589" s="128" t="n"/>
      <c r="F589" s="128" t="n"/>
      <c r="G589" s="128" t="n"/>
      <c r="H589" s="128" t="n"/>
      <c r="I589" s="128" t="n"/>
      <c r="J589" s="128" t="n"/>
      <c r="K589" s="129" t="n"/>
    </row>
    <row r="590">
      <c r="C590" s="128" t="n"/>
      <c r="D590" s="128" t="n"/>
      <c r="E590" s="128" t="n"/>
      <c r="F590" s="128" t="n"/>
      <c r="G590" s="128" t="n"/>
      <c r="H590" s="128" t="n"/>
      <c r="I590" s="128" t="n"/>
      <c r="J590" s="128" t="n"/>
      <c r="K590" s="129" t="n"/>
    </row>
    <row r="591">
      <c r="C591" s="128" t="n"/>
      <c r="D591" s="128" t="n"/>
      <c r="E591" s="128" t="n"/>
      <c r="F591" s="128" t="n"/>
      <c r="G591" s="128" t="n"/>
      <c r="H591" s="128" t="n"/>
      <c r="I591" s="128" t="n"/>
      <c r="J591" s="128" t="n"/>
      <c r="K591" s="129" t="n"/>
    </row>
    <row r="592">
      <c r="C592" s="128" t="n"/>
      <c r="D592" s="128" t="n"/>
      <c r="E592" s="128" t="n"/>
      <c r="F592" s="128" t="n"/>
      <c r="G592" s="128" t="n"/>
      <c r="H592" s="128" t="n"/>
      <c r="I592" s="128" t="n"/>
      <c r="J592" s="128" t="n"/>
      <c r="K592" s="129" t="n"/>
    </row>
    <row r="593">
      <c r="C593" s="128" t="n"/>
      <c r="D593" s="128" t="n"/>
      <c r="E593" s="128" t="n"/>
      <c r="F593" s="128" t="n"/>
      <c r="G593" s="128" t="n"/>
      <c r="H593" s="128" t="n"/>
      <c r="I593" s="128" t="n"/>
      <c r="J593" s="128" t="n"/>
      <c r="K593" s="129" t="n"/>
    </row>
    <row r="594">
      <c r="C594" s="128" t="n"/>
      <c r="D594" s="128" t="n"/>
      <c r="E594" s="128" t="n"/>
      <c r="F594" s="128" t="n"/>
      <c r="G594" s="128" t="n"/>
      <c r="H594" s="128" t="n"/>
      <c r="I594" s="128" t="n"/>
      <c r="J594" s="128" t="n"/>
      <c r="K594" s="129" t="n"/>
    </row>
    <row r="595">
      <c r="C595" s="128" t="n"/>
      <c r="D595" s="128" t="n"/>
      <c r="E595" s="128" t="n"/>
      <c r="F595" s="128" t="n"/>
      <c r="G595" s="128" t="n"/>
      <c r="H595" s="128" t="n"/>
      <c r="I595" s="128" t="n"/>
      <c r="J595" s="128" t="n"/>
      <c r="K595" s="129" t="n"/>
    </row>
    <row r="596">
      <c r="C596" s="128" t="n"/>
      <c r="D596" s="128" t="n"/>
      <c r="E596" s="128" t="n"/>
      <c r="F596" s="128" t="n"/>
      <c r="G596" s="128" t="n"/>
      <c r="H596" s="128" t="n"/>
      <c r="I596" s="128" t="n"/>
      <c r="J596" s="128" t="n"/>
      <c r="K596" s="129" t="n"/>
    </row>
    <row r="597">
      <c r="C597" s="128" t="n"/>
      <c r="D597" s="128" t="n"/>
      <c r="E597" s="128" t="n"/>
      <c r="F597" s="128" t="n"/>
      <c r="G597" s="128" t="n"/>
      <c r="H597" s="128" t="n"/>
      <c r="I597" s="128" t="n"/>
      <c r="J597" s="128" t="n"/>
      <c r="K597" s="129" t="n"/>
    </row>
    <row r="598">
      <c r="C598" s="128" t="n"/>
      <c r="D598" s="128" t="n"/>
      <c r="E598" s="128" t="n"/>
      <c r="F598" s="128" t="n"/>
      <c r="G598" s="128" t="n"/>
      <c r="H598" s="128" t="n"/>
      <c r="I598" s="128" t="n"/>
      <c r="J598" s="128" t="n"/>
      <c r="K598" s="129" t="n"/>
    </row>
    <row r="599">
      <c r="C599" s="128" t="n"/>
      <c r="D599" s="128" t="n"/>
      <c r="E599" s="128" t="n"/>
      <c r="F599" s="128" t="n"/>
      <c r="G599" s="128" t="n"/>
      <c r="H599" s="128" t="n"/>
      <c r="I599" s="128" t="n"/>
      <c r="J599" s="128" t="n"/>
      <c r="K599" s="129" t="n"/>
    </row>
    <row r="600">
      <c r="C600" s="128" t="n"/>
      <c r="D600" s="128" t="n"/>
      <c r="E600" s="128" t="n"/>
      <c r="F600" s="128" t="n"/>
      <c r="G600" s="128" t="n"/>
      <c r="H600" s="128" t="n"/>
      <c r="I600" s="128" t="n"/>
      <c r="J600" s="128" t="n"/>
      <c r="K600" s="129" t="n"/>
    </row>
    <row r="601">
      <c r="C601" s="128" t="n"/>
      <c r="D601" s="128" t="n"/>
      <c r="E601" s="128" t="n"/>
      <c r="F601" s="128" t="n"/>
      <c r="G601" s="128" t="n"/>
      <c r="H601" s="128" t="n"/>
      <c r="I601" s="128" t="n"/>
      <c r="J601" s="128" t="n"/>
      <c r="K601" s="129" t="n"/>
    </row>
    <row r="602">
      <c r="C602" s="128" t="n"/>
      <c r="D602" s="128" t="n"/>
      <c r="E602" s="128" t="n"/>
      <c r="F602" s="128" t="n"/>
      <c r="G602" s="128" t="n"/>
      <c r="H602" s="128" t="n"/>
      <c r="I602" s="128" t="n"/>
      <c r="J602" s="128" t="n"/>
      <c r="K602" s="129" t="n"/>
    </row>
    <row r="603">
      <c r="C603" s="128" t="n"/>
      <c r="D603" s="128" t="n"/>
      <c r="E603" s="128" t="n"/>
      <c r="F603" s="128" t="n"/>
      <c r="G603" s="128" t="n"/>
      <c r="H603" s="128" t="n"/>
      <c r="I603" s="128" t="n"/>
      <c r="J603" s="128" t="n"/>
      <c r="K603" s="129" t="n"/>
    </row>
    <row r="604">
      <c r="C604" s="128" t="n"/>
      <c r="D604" s="128" t="n"/>
      <c r="E604" s="128" t="n"/>
      <c r="F604" s="128" t="n"/>
      <c r="G604" s="128" t="n"/>
      <c r="H604" s="128" t="n"/>
      <c r="I604" s="128" t="n"/>
      <c r="J604" s="128" t="n"/>
      <c r="K604" s="129" t="n"/>
    </row>
    <row r="605">
      <c r="C605" s="128" t="n"/>
      <c r="D605" s="128" t="n"/>
      <c r="E605" s="128" t="n"/>
      <c r="F605" s="128" t="n"/>
      <c r="G605" s="128" t="n"/>
      <c r="H605" s="128" t="n"/>
      <c r="I605" s="128" t="n"/>
      <c r="J605" s="128" t="n"/>
      <c r="K605" s="129" t="n"/>
    </row>
    <row r="606">
      <c r="C606" s="128" t="n"/>
      <c r="D606" s="128" t="n"/>
      <c r="E606" s="128" t="n"/>
      <c r="F606" s="128" t="n"/>
      <c r="G606" s="128" t="n"/>
      <c r="H606" s="128" t="n"/>
      <c r="I606" s="128" t="n"/>
      <c r="J606" s="128" t="n"/>
      <c r="K606" s="129" t="n"/>
    </row>
    <row r="607">
      <c r="C607" s="128" t="n"/>
      <c r="D607" s="128" t="n"/>
      <c r="E607" s="128" t="n"/>
      <c r="F607" s="128" t="n"/>
      <c r="G607" s="128" t="n"/>
      <c r="H607" s="128" t="n"/>
      <c r="I607" s="128" t="n"/>
      <c r="J607" s="128" t="n"/>
      <c r="K607" s="129" t="n"/>
    </row>
    <row r="608">
      <c r="C608" s="128" t="n"/>
      <c r="D608" s="128" t="n"/>
      <c r="E608" s="128" t="n"/>
      <c r="F608" s="128" t="n"/>
      <c r="G608" s="128" t="n"/>
      <c r="H608" s="128" t="n"/>
      <c r="I608" s="128" t="n"/>
      <c r="J608" s="128" t="n"/>
      <c r="K608" s="129" t="n"/>
    </row>
    <row r="609">
      <c r="C609" s="128" t="n"/>
      <c r="D609" s="128" t="n"/>
      <c r="E609" s="128" t="n"/>
      <c r="F609" s="128" t="n"/>
      <c r="G609" s="128" t="n"/>
      <c r="H609" s="128" t="n"/>
      <c r="I609" s="128" t="n"/>
      <c r="J609" s="128" t="n"/>
      <c r="K609" s="129" t="n"/>
    </row>
    <row r="610">
      <c r="C610" s="128" t="n"/>
      <c r="D610" s="128" t="n"/>
      <c r="E610" s="128" t="n"/>
      <c r="F610" s="128" t="n"/>
      <c r="G610" s="128" t="n"/>
      <c r="H610" s="128" t="n"/>
      <c r="I610" s="128" t="n"/>
      <c r="J610" s="128" t="n"/>
      <c r="K610" s="129" t="n"/>
    </row>
    <row r="611">
      <c r="C611" s="128" t="n"/>
      <c r="D611" s="128" t="n"/>
      <c r="E611" s="128" t="n"/>
      <c r="F611" s="128" t="n"/>
      <c r="G611" s="128" t="n"/>
      <c r="H611" s="128" t="n"/>
      <c r="I611" s="128" t="n"/>
      <c r="J611" s="128" t="n"/>
      <c r="K611" s="129" t="n"/>
    </row>
    <row r="612">
      <c r="C612" s="128" t="n"/>
      <c r="D612" s="128" t="n"/>
      <c r="E612" s="128" t="n"/>
      <c r="F612" s="128" t="n"/>
      <c r="G612" s="128" t="n"/>
      <c r="H612" s="128" t="n"/>
      <c r="I612" s="128" t="n"/>
      <c r="J612" s="128" t="n"/>
      <c r="K612" s="129" t="n"/>
    </row>
    <row r="613">
      <c r="C613" s="128" t="n"/>
      <c r="D613" s="128" t="n"/>
      <c r="E613" s="128" t="n"/>
      <c r="F613" s="128" t="n"/>
      <c r="G613" s="128" t="n"/>
      <c r="H613" s="128" t="n"/>
      <c r="I613" s="128" t="n"/>
      <c r="J613" s="128" t="n"/>
      <c r="K613" s="129" t="n"/>
    </row>
    <row r="614">
      <c r="C614" s="128" t="n"/>
      <c r="D614" s="128" t="n"/>
      <c r="E614" s="128" t="n"/>
      <c r="F614" s="128" t="n"/>
      <c r="G614" s="128" t="n"/>
      <c r="H614" s="128" t="n"/>
      <c r="I614" s="128" t="n"/>
      <c r="J614" s="128" t="n"/>
      <c r="K614" s="129" t="n"/>
    </row>
    <row r="615">
      <c r="C615" s="128" t="n"/>
      <c r="D615" s="128" t="n"/>
      <c r="E615" s="128" t="n"/>
      <c r="F615" s="128" t="n"/>
      <c r="G615" s="128" t="n"/>
      <c r="H615" s="128" t="n"/>
      <c r="I615" s="128" t="n"/>
      <c r="J615" s="128" t="n"/>
      <c r="K615" s="129" t="n"/>
    </row>
    <row r="616">
      <c r="C616" s="128" t="n"/>
      <c r="D616" s="128" t="n"/>
      <c r="E616" s="128" t="n"/>
      <c r="F616" s="128" t="n"/>
      <c r="G616" s="128" t="n"/>
      <c r="H616" s="128" t="n"/>
      <c r="I616" s="128" t="n"/>
      <c r="J616" s="128" t="n"/>
      <c r="K616" s="129" t="n"/>
    </row>
    <row r="617">
      <c r="C617" s="128" t="n"/>
      <c r="D617" s="128" t="n"/>
      <c r="E617" s="128" t="n"/>
      <c r="F617" s="128" t="n"/>
      <c r="G617" s="128" t="n"/>
      <c r="H617" s="128" t="n"/>
      <c r="I617" s="128" t="n"/>
      <c r="J617" s="128" t="n"/>
      <c r="K617" s="129" t="n"/>
    </row>
    <row r="618">
      <c r="C618" s="128" t="n"/>
      <c r="D618" s="128" t="n"/>
      <c r="E618" s="128" t="n"/>
      <c r="F618" s="128" t="n"/>
      <c r="G618" s="128" t="n"/>
      <c r="H618" s="128" t="n"/>
      <c r="I618" s="128" t="n"/>
      <c r="J618" s="128" t="n"/>
      <c r="K618" s="129" t="n"/>
    </row>
    <row r="619">
      <c r="C619" s="128" t="n"/>
      <c r="D619" s="128" t="n"/>
      <c r="E619" s="128" t="n"/>
      <c r="F619" s="128" t="n"/>
      <c r="G619" s="128" t="n"/>
      <c r="H619" s="128" t="n"/>
      <c r="I619" s="128" t="n"/>
      <c r="J619" s="128" t="n"/>
      <c r="K619" s="129" t="n"/>
    </row>
    <row r="620">
      <c r="C620" s="128" t="n"/>
      <c r="D620" s="128" t="n"/>
      <c r="E620" s="128" t="n"/>
      <c r="F620" s="128" t="n"/>
      <c r="G620" s="128" t="n"/>
      <c r="H620" s="128" t="n"/>
      <c r="I620" s="128" t="n"/>
      <c r="J620" s="128" t="n"/>
      <c r="K620" s="129" t="n"/>
    </row>
    <row r="621">
      <c r="C621" s="128" t="n"/>
      <c r="D621" s="128" t="n"/>
      <c r="E621" s="128" t="n"/>
      <c r="F621" s="128" t="n"/>
      <c r="G621" s="128" t="n"/>
      <c r="H621" s="128" t="n"/>
      <c r="I621" s="128" t="n"/>
      <c r="J621" s="128" t="n"/>
      <c r="K621" s="129" t="n"/>
    </row>
    <row r="622">
      <c r="C622" s="128" t="n"/>
      <c r="D622" s="128" t="n"/>
      <c r="E622" s="128" t="n"/>
      <c r="F622" s="128" t="n"/>
      <c r="G622" s="128" t="n"/>
      <c r="H622" s="128" t="n"/>
      <c r="I622" s="128" t="n"/>
      <c r="J622" s="128" t="n"/>
      <c r="K622" s="129" t="n"/>
    </row>
    <row r="623">
      <c r="C623" s="128" t="n"/>
      <c r="D623" s="128" t="n"/>
      <c r="E623" s="128" t="n"/>
      <c r="F623" s="128" t="n"/>
      <c r="G623" s="128" t="n"/>
      <c r="H623" s="128" t="n"/>
      <c r="I623" s="128" t="n"/>
      <c r="J623" s="128" t="n"/>
      <c r="K623" s="129" t="n"/>
    </row>
    <row r="624">
      <c r="C624" s="128" t="n"/>
      <c r="D624" s="128" t="n"/>
      <c r="E624" s="128" t="n"/>
      <c r="F624" s="128" t="n"/>
      <c r="G624" s="128" t="n"/>
      <c r="H624" s="128" t="n"/>
      <c r="I624" s="128" t="n"/>
      <c r="J624" s="128" t="n"/>
      <c r="K624" s="129" t="n"/>
    </row>
    <row r="625">
      <c r="C625" s="128" t="n"/>
      <c r="D625" s="128" t="n"/>
      <c r="E625" s="128" t="n"/>
      <c r="F625" s="128" t="n"/>
      <c r="G625" s="128" t="n"/>
      <c r="H625" s="128" t="n"/>
      <c r="I625" s="128" t="n"/>
      <c r="J625" s="128" t="n"/>
      <c r="K625" s="129" t="n"/>
    </row>
    <row r="626">
      <c r="C626" s="128" t="n"/>
      <c r="D626" s="128" t="n"/>
      <c r="E626" s="128" t="n"/>
      <c r="F626" s="128" t="n"/>
      <c r="G626" s="128" t="n"/>
      <c r="H626" s="128" t="n"/>
      <c r="I626" s="128" t="n"/>
      <c r="J626" s="128" t="n"/>
      <c r="K626" s="129" t="n"/>
    </row>
    <row r="627">
      <c r="C627" s="128" t="n"/>
      <c r="D627" s="128" t="n"/>
      <c r="E627" s="128" t="n"/>
      <c r="F627" s="128" t="n"/>
      <c r="G627" s="128" t="n"/>
      <c r="H627" s="128" t="n"/>
      <c r="I627" s="128" t="n"/>
      <c r="J627" s="128" t="n"/>
      <c r="K627" s="129" t="n"/>
    </row>
    <row r="628">
      <c r="C628" s="128" t="n"/>
      <c r="D628" s="128" t="n"/>
      <c r="E628" s="128" t="n"/>
      <c r="F628" s="128" t="n"/>
      <c r="G628" s="128" t="n"/>
      <c r="H628" s="128" t="n"/>
      <c r="I628" s="128" t="n"/>
      <c r="J628" s="128" t="n"/>
      <c r="K628" s="129" t="n"/>
    </row>
    <row r="629">
      <c r="C629" s="128" t="n"/>
      <c r="D629" s="128" t="n"/>
      <c r="E629" s="128" t="n"/>
      <c r="F629" s="128" t="n"/>
      <c r="G629" s="128" t="n"/>
      <c r="H629" s="128" t="n"/>
      <c r="I629" s="128" t="n"/>
      <c r="J629" s="128" t="n"/>
      <c r="K629" s="129" t="n"/>
    </row>
    <row r="630">
      <c r="C630" s="128" t="n"/>
      <c r="D630" s="128" t="n"/>
      <c r="E630" s="128" t="n"/>
      <c r="F630" s="128" t="n"/>
      <c r="G630" s="128" t="n"/>
      <c r="H630" s="128" t="n"/>
      <c r="I630" s="128" t="n"/>
      <c r="J630" s="128" t="n"/>
      <c r="K630" s="129" t="n"/>
    </row>
    <row r="631">
      <c r="C631" s="128" t="n"/>
      <c r="D631" s="128" t="n"/>
      <c r="E631" s="128" t="n"/>
      <c r="F631" s="128" t="n"/>
      <c r="G631" s="128" t="n"/>
      <c r="H631" s="128" t="n"/>
      <c r="I631" s="128" t="n"/>
      <c r="J631" s="128" t="n"/>
      <c r="K631" s="129" t="n"/>
    </row>
    <row r="632">
      <c r="C632" s="128" t="n"/>
      <c r="D632" s="128" t="n"/>
      <c r="E632" s="128" t="n"/>
      <c r="F632" s="128" t="n"/>
      <c r="G632" s="128" t="n"/>
      <c r="H632" s="128" t="n"/>
      <c r="I632" s="128" t="n"/>
      <c r="J632" s="128" t="n"/>
      <c r="K632" s="129" t="n"/>
    </row>
    <row r="633">
      <c r="C633" s="128" t="n"/>
      <c r="D633" s="128" t="n"/>
      <c r="E633" s="128" t="n"/>
      <c r="F633" s="128" t="n"/>
      <c r="G633" s="128" t="n"/>
      <c r="H633" s="128" t="n"/>
      <c r="I633" s="128" t="n"/>
      <c r="J633" s="128" t="n"/>
      <c r="K633" s="129" t="n"/>
    </row>
    <row r="634">
      <c r="C634" s="128" t="n"/>
      <c r="D634" s="128" t="n"/>
      <c r="E634" s="128" t="n"/>
      <c r="F634" s="128" t="n"/>
      <c r="G634" s="128" t="n"/>
      <c r="H634" s="128" t="n"/>
      <c r="I634" s="128" t="n"/>
      <c r="J634" s="128" t="n"/>
      <c r="K634" s="129" t="n"/>
    </row>
    <row r="635">
      <c r="C635" s="128" t="n"/>
      <c r="D635" s="128" t="n"/>
      <c r="E635" s="128" t="n"/>
      <c r="F635" s="128" t="n"/>
      <c r="G635" s="128" t="n"/>
      <c r="H635" s="128" t="n"/>
      <c r="I635" s="128" t="n"/>
      <c r="J635" s="128" t="n"/>
      <c r="K635" s="129" t="n"/>
    </row>
    <row r="636">
      <c r="C636" s="128" t="n"/>
      <c r="D636" s="128" t="n"/>
      <c r="E636" s="128" t="n"/>
      <c r="F636" s="128" t="n"/>
      <c r="G636" s="128" t="n"/>
      <c r="H636" s="128" t="n"/>
      <c r="I636" s="128" t="n"/>
      <c r="J636" s="128" t="n"/>
      <c r="K636" s="129" t="n"/>
    </row>
    <row r="637">
      <c r="C637" s="128" t="n"/>
      <c r="D637" s="128" t="n"/>
      <c r="E637" s="128" t="n"/>
      <c r="F637" s="128" t="n"/>
      <c r="G637" s="128" t="n"/>
      <c r="H637" s="128" t="n"/>
      <c r="I637" s="128" t="n"/>
      <c r="J637" s="128" t="n"/>
      <c r="K637" s="129" t="n"/>
    </row>
    <row r="638">
      <c r="C638" s="128" t="n"/>
      <c r="D638" s="128" t="n"/>
      <c r="E638" s="128" t="n"/>
      <c r="F638" s="128" t="n"/>
      <c r="G638" s="128" t="n"/>
      <c r="H638" s="128" t="n"/>
      <c r="I638" s="128" t="n"/>
      <c r="J638" s="128" t="n"/>
      <c r="K638" s="129" t="n"/>
    </row>
    <row r="639">
      <c r="C639" s="128" t="n"/>
      <c r="D639" s="128" t="n"/>
      <c r="E639" s="128" t="n"/>
      <c r="F639" s="128" t="n"/>
      <c r="G639" s="128" t="n"/>
      <c r="H639" s="128" t="n"/>
      <c r="I639" s="128" t="n"/>
      <c r="J639" s="128" t="n"/>
      <c r="K639" s="129" t="n"/>
    </row>
    <row r="640">
      <c r="C640" s="128" t="n"/>
      <c r="D640" s="128" t="n"/>
      <c r="E640" s="128" t="n"/>
      <c r="F640" s="128" t="n"/>
      <c r="G640" s="128" t="n"/>
      <c r="H640" s="128" t="n"/>
      <c r="I640" s="128" t="n"/>
      <c r="J640" s="128" t="n"/>
      <c r="K640" s="129" t="n"/>
    </row>
    <row r="641">
      <c r="C641" s="128" t="n"/>
      <c r="D641" s="128" t="n"/>
      <c r="E641" s="128" t="n"/>
      <c r="F641" s="128" t="n"/>
      <c r="G641" s="128" t="n"/>
      <c r="H641" s="128" t="n"/>
      <c r="I641" s="128" t="n"/>
      <c r="J641" s="128" t="n"/>
      <c r="K641" s="129" t="n"/>
    </row>
    <row r="642">
      <c r="C642" s="128" t="n"/>
      <c r="D642" s="128" t="n"/>
      <c r="E642" s="128" t="n"/>
      <c r="F642" s="128" t="n"/>
      <c r="G642" s="128" t="n"/>
      <c r="H642" s="128" t="n"/>
      <c r="I642" s="128" t="n"/>
      <c r="J642" s="128" t="n"/>
      <c r="K642" s="129" t="n"/>
    </row>
    <row r="643">
      <c r="C643" s="128" t="n"/>
      <c r="D643" s="128" t="n"/>
      <c r="E643" s="128" t="n"/>
      <c r="F643" s="128" t="n"/>
      <c r="G643" s="128" t="n"/>
      <c r="H643" s="128" t="n"/>
      <c r="I643" s="128" t="n"/>
      <c r="J643" s="128" t="n"/>
      <c r="K643" s="129" t="n"/>
    </row>
    <row r="644">
      <c r="C644" s="128" t="n"/>
      <c r="D644" s="128" t="n"/>
      <c r="E644" s="128" t="n"/>
      <c r="F644" s="128" t="n"/>
      <c r="G644" s="128" t="n"/>
      <c r="H644" s="128" t="n"/>
      <c r="I644" s="128" t="n"/>
      <c r="J644" s="128" t="n"/>
      <c r="K644" s="129" t="n"/>
    </row>
    <row r="645">
      <c r="C645" s="128" t="n"/>
      <c r="D645" s="128" t="n"/>
      <c r="E645" s="128" t="n"/>
      <c r="F645" s="128" t="n"/>
      <c r="G645" s="128" t="n"/>
      <c r="H645" s="128" t="n"/>
      <c r="I645" s="128" t="n"/>
      <c r="J645" s="128" t="n"/>
      <c r="K645" s="129" t="n"/>
    </row>
    <row r="646">
      <c r="C646" s="128" t="n"/>
      <c r="D646" s="128" t="n"/>
      <c r="E646" s="128" t="n"/>
      <c r="F646" s="128" t="n"/>
      <c r="G646" s="128" t="n"/>
      <c r="H646" s="128" t="n"/>
      <c r="I646" s="128" t="n"/>
      <c r="J646" s="128" t="n"/>
      <c r="K646" s="129" t="n"/>
    </row>
    <row r="647">
      <c r="C647" s="128" t="n"/>
      <c r="D647" s="128" t="n"/>
      <c r="E647" s="128" t="n"/>
      <c r="F647" s="128" t="n"/>
      <c r="G647" s="128" t="n"/>
      <c r="H647" s="128" t="n"/>
      <c r="I647" s="128" t="n"/>
      <c r="J647" s="128" t="n"/>
      <c r="K647" s="129" t="n"/>
    </row>
    <row r="648">
      <c r="C648" s="128" t="n"/>
      <c r="D648" s="128" t="n"/>
      <c r="E648" s="128" t="n"/>
      <c r="F648" s="128" t="n"/>
      <c r="G648" s="128" t="n"/>
      <c r="H648" s="128" t="n"/>
      <c r="I648" s="128" t="n"/>
      <c r="J648" s="128" t="n"/>
      <c r="K648" s="129" t="n"/>
    </row>
    <row r="649">
      <c r="C649" s="128" t="n"/>
      <c r="D649" s="128" t="n"/>
      <c r="E649" s="128" t="n"/>
      <c r="F649" s="128" t="n"/>
      <c r="G649" s="128" t="n"/>
      <c r="H649" s="128" t="n"/>
      <c r="I649" s="128" t="n"/>
      <c r="J649" s="128" t="n"/>
      <c r="K649" s="129" t="n"/>
    </row>
    <row r="650">
      <c r="C650" s="128" t="n"/>
      <c r="D650" s="128" t="n"/>
      <c r="E650" s="128" t="n"/>
      <c r="F650" s="128" t="n"/>
      <c r="G650" s="128" t="n"/>
      <c r="H650" s="128" t="n"/>
      <c r="I650" s="128" t="n"/>
      <c r="J650" s="128" t="n"/>
      <c r="K650" s="129" t="n"/>
    </row>
    <row r="651">
      <c r="C651" s="128" t="n"/>
      <c r="D651" s="128" t="n"/>
      <c r="E651" s="128" t="n"/>
      <c r="F651" s="128" t="n"/>
      <c r="G651" s="128" t="n"/>
      <c r="H651" s="128" t="n"/>
      <c r="I651" s="128" t="n"/>
      <c r="J651" s="128" t="n"/>
      <c r="K651" s="129" t="n"/>
    </row>
    <row r="652">
      <c r="C652" s="128" t="n"/>
      <c r="D652" s="128" t="n"/>
      <c r="E652" s="128" t="n"/>
      <c r="F652" s="128" t="n"/>
      <c r="G652" s="128" t="n"/>
      <c r="H652" s="128" t="n"/>
      <c r="I652" s="128" t="n"/>
      <c r="J652" s="128" t="n"/>
      <c r="K652" s="129" t="n"/>
    </row>
    <row r="653">
      <c r="C653" s="128" t="n"/>
      <c r="D653" s="128" t="n"/>
      <c r="E653" s="128" t="n"/>
      <c r="F653" s="128" t="n"/>
      <c r="G653" s="128" t="n"/>
      <c r="H653" s="128" t="n"/>
      <c r="I653" s="128" t="n"/>
      <c r="J653" s="128" t="n"/>
      <c r="K653" s="129" t="n"/>
    </row>
    <row r="654">
      <c r="C654" s="128" t="n"/>
      <c r="D654" s="128" t="n"/>
      <c r="E654" s="128" t="n"/>
      <c r="F654" s="128" t="n"/>
      <c r="G654" s="128" t="n"/>
      <c r="H654" s="128" t="n"/>
      <c r="I654" s="128" t="n"/>
      <c r="J654" s="128" t="n"/>
      <c r="K654" s="129" t="n"/>
    </row>
    <row r="655">
      <c r="C655" s="128" t="n"/>
      <c r="D655" s="128" t="n"/>
      <c r="E655" s="128" t="n"/>
      <c r="F655" s="128" t="n"/>
      <c r="G655" s="128" t="n"/>
      <c r="H655" s="128" t="n"/>
      <c r="I655" s="128" t="n"/>
      <c r="J655" s="128" t="n"/>
      <c r="K655" s="129" t="n"/>
    </row>
    <row r="656">
      <c r="C656" s="128" t="n"/>
      <c r="D656" s="128" t="n"/>
      <c r="E656" s="128" t="n"/>
      <c r="F656" s="128" t="n"/>
      <c r="G656" s="128" t="n"/>
      <c r="H656" s="128" t="n"/>
      <c r="I656" s="128" t="n"/>
      <c r="J656" s="128" t="n"/>
      <c r="K656" s="129" t="n"/>
    </row>
    <row r="657">
      <c r="C657" s="128" t="n"/>
      <c r="D657" s="128" t="n"/>
      <c r="E657" s="128" t="n"/>
      <c r="F657" s="128" t="n"/>
      <c r="G657" s="128" t="n"/>
      <c r="H657" s="128" t="n"/>
      <c r="I657" s="128" t="n"/>
      <c r="J657" s="128" t="n"/>
      <c r="K657" s="129" t="n"/>
    </row>
    <row r="658">
      <c r="C658" s="128" t="n"/>
      <c r="D658" s="128" t="n"/>
      <c r="E658" s="128" t="n"/>
      <c r="F658" s="128" t="n"/>
      <c r="G658" s="128" t="n"/>
      <c r="H658" s="128" t="n"/>
      <c r="I658" s="128" t="n"/>
      <c r="J658" s="128" t="n"/>
      <c r="K658" s="129" t="n"/>
    </row>
    <row r="659">
      <c r="C659" s="128" t="n"/>
      <c r="D659" s="128" t="n"/>
      <c r="E659" s="128" t="n"/>
      <c r="F659" s="128" t="n"/>
      <c r="G659" s="128" t="n"/>
      <c r="H659" s="128" t="n"/>
      <c r="I659" s="128" t="n"/>
      <c r="J659" s="128" t="n"/>
      <c r="K659" s="129" t="n"/>
    </row>
    <row r="660">
      <c r="C660" s="128" t="n"/>
      <c r="D660" s="128" t="n"/>
      <c r="E660" s="128" t="n"/>
      <c r="F660" s="128" t="n"/>
      <c r="G660" s="128" t="n"/>
      <c r="H660" s="128" t="n"/>
      <c r="I660" s="128" t="n"/>
      <c r="J660" s="128" t="n"/>
      <c r="K660" s="129" t="n"/>
    </row>
    <row r="661">
      <c r="C661" s="128" t="n"/>
      <c r="D661" s="128" t="n"/>
      <c r="E661" s="128" t="n"/>
      <c r="F661" s="128" t="n"/>
      <c r="G661" s="128" t="n"/>
      <c r="H661" s="128" t="n"/>
      <c r="I661" s="128" t="n"/>
      <c r="J661" s="128" t="n"/>
      <c r="K661" s="129" t="n"/>
    </row>
    <row r="662">
      <c r="C662" s="128" t="n"/>
      <c r="D662" s="128" t="n"/>
      <c r="E662" s="128" t="n"/>
      <c r="F662" s="128" t="n"/>
      <c r="G662" s="128" t="n"/>
      <c r="H662" s="128" t="n"/>
      <c r="I662" s="128" t="n"/>
      <c r="J662" s="128" t="n"/>
      <c r="K662" s="129" t="n"/>
    </row>
    <row r="663">
      <c r="C663" s="128" t="n"/>
      <c r="D663" s="128" t="n"/>
      <c r="E663" s="128" t="n"/>
      <c r="F663" s="128" t="n"/>
      <c r="G663" s="128" t="n"/>
      <c r="H663" s="128" t="n"/>
      <c r="I663" s="128" t="n"/>
      <c r="J663" s="128" t="n"/>
      <c r="K663" s="129" t="n"/>
    </row>
    <row r="664">
      <c r="C664" s="128" t="n"/>
      <c r="D664" s="128" t="n"/>
      <c r="E664" s="128" t="n"/>
      <c r="F664" s="128" t="n"/>
      <c r="G664" s="128" t="n"/>
      <c r="H664" s="128" t="n"/>
      <c r="I664" s="128" t="n"/>
      <c r="J664" s="128" t="n"/>
      <c r="K664" s="129" t="n"/>
    </row>
    <row r="665">
      <c r="C665" s="128" t="n"/>
      <c r="D665" s="128" t="n"/>
      <c r="E665" s="128" t="n"/>
      <c r="F665" s="128" t="n"/>
      <c r="G665" s="128" t="n"/>
      <c r="H665" s="128" t="n"/>
      <c r="I665" s="128" t="n"/>
      <c r="J665" s="128" t="n"/>
      <c r="K665" s="129" t="n"/>
    </row>
    <row r="666">
      <c r="C666" s="128" t="n"/>
      <c r="D666" s="128" t="n"/>
      <c r="E666" s="128" t="n"/>
      <c r="F666" s="128" t="n"/>
      <c r="G666" s="128" t="n"/>
      <c r="H666" s="128" t="n"/>
      <c r="I666" s="128" t="n"/>
      <c r="J666" s="128" t="n"/>
      <c r="K666" s="129" t="n"/>
    </row>
    <row r="667">
      <c r="C667" s="128" t="n"/>
      <c r="D667" s="128" t="n"/>
      <c r="E667" s="128" t="n"/>
      <c r="F667" s="128" t="n"/>
      <c r="G667" s="128" t="n"/>
      <c r="H667" s="128" t="n"/>
      <c r="I667" s="128" t="n"/>
      <c r="J667" s="128" t="n"/>
      <c r="K667" s="129" t="n"/>
    </row>
    <row r="668">
      <c r="C668" s="128" t="n"/>
      <c r="D668" s="128" t="n"/>
      <c r="E668" s="128" t="n"/>
      <c r="F668" s="128" t="n"/>
      <c r="G668" s="128" t="n"/>
      <c r="H668" s="128" t="n"/>
      <c r="I668" s="128" t="n"/>
      <c r="J668" s="128" t="n"/>
      <c r="K668" s="129" t="n"/>
    </row>
    <row r="669">
      <c r="C669" s="128" t="n"/>
      <c r="D669" s="128" t="n"/>
      <c r="E669" s="128" t="n"/>
      <c r="F669" s="128" t="n"/>
      <c r="G669" s="128" t="n"/>
      <c r="H669" s="128" t="n"/>
      <c r="I669" s="128" t="n"/>
      <c r="J669" s="128" t="n"/>
      <c r="K669" s="129" t="n"/>
    </row>
    <row r="670">
      <c r="C670" s="128" t="n"/>
      <c r="D670" s="128" t="n"/>
      <c r="E670" s="128" t="n"/>
      <c r="F670" s="128" t="n"/>
      <c r="G670" s="128" t="n"/>
      <c r="H670" s="128" t="n"/>
      <c r="I670" s="128" t="n"/>
      <c r="J670" s="128" t="n"/>
      <c r="K670" s="129" t="n"/>
    </row>
    <row r="671">
      <c r="C671" s="128" t="n"/>
      <c r="D671" s="128" t="n"/>
      <c r="E671" s="128" t="n"/>
      <c r="F671" s="128" t="n"/>
      <c r="G671" s="128" t="n"/>
      <c r="H671" s="128" t="n"/>
      <c r="I671" s="128" t="n"/>
      <c r="J671" s="128" t="n"/>
      <c r="K671" s="129" t="n"/>
    </row>
    <row r="672">
      <c r="C672" s="128" t="n"/>
      <c r="D672" s="128" t="n"/>
      <c r="E672" s="128" t="n"/>
      <c r="F672" s="128" t="n"/>
      <c r="G672" s="128" t="n"/>
      <c r="H672" s="128" t="n"/>
      <c r="I672" s="128" t="n"/>
      <c r="J672" s="128" t="n"/>
      <c r="K672" s="129" t="n"/>
    </row>
    <row r="673">
      <c r="C673" s="128" t="n"/>
      <c r="D673" s="128" t="n"/>
      <c r="E673" s="128" t="n"/>
      <c r="F673" s="128" t="n"/>
      <c r="G673" s="128" t="n"/>
      <c r="H673" s="128" t="n"/>
      <c r="I673" s="128" t="n"/>
      <c r="J673" s="128" t="n"/>
      <c r="K673" s="129" t="n"/>
    </row>
    <row r="674">
      <c r="C674" s="128" t="n"/>
      <c r="D674" s="128" t="n"/>
      <c r="E674" s="128" t="n"/>
      <c r="F674" s="128" t="n"/>
      <c r="G674" s="128" t="n"/>
      <c r="H674" s="128" t="n"/>
      <c r="I674" s="128" t="n"/>
      <c r="J674" s="128" t="n"/>
      <c r="K674" s="129" t="n"/>
    </row>
    <row r="675">
      <c r="C675" s="128" t="n"/>
      <c r="D675" s="128" t="n"/>
      <c r="E675" s="128" t="n"/>
      <c r="F675" s="128" t="n"/>
      <c r="G675" s="128" t="n"/>
      <c r="H675" s="128" t="n"/>
      <c r="I675" s="128" t="n"/>
      <c r="J675" s="128" t="n"/>
      <c r="K675" s="129" t="n"/>
    </row>
    <row r="676">
      <c r="C676" s="128" t="n"/>
      <c r="D676" s="128" t="n"/>
      <c r="E676" s="128" t="n"/>
      <c r="F676" s="128" t="n"/>
      <c r="G676" s="128" t="n"/>
      <c r="H676" s="128" t="n"/>
      <c r="I676" s="128" t="n"/>
      <c r="J676" s="128" t="n"/>
      <c r="K676" s="129" t="n"/>
    </row>
    <row r="677">
      <c r="C677" s="128" t="n"/>
      <c r="D677" s="128" t="n"/>
      <c r="E677" s="128" t="n"/>
      <c r="F677" s="128" t="n"/>
      <c r="G677" s="128" t="n"/>
      <c r="H677" s="128" t="n"/>
      <c r="I677" s="128" t="n"/>
      <c r="J677" s="128" t="n"/>
      <c r="K677" s="129" t="n"/>
    </row>
    <row r="678">
      <c r="C678" s="128" t="n"/>
      <c r="D678" s="128" t="n"/>
      <c r="E678" s="128" t="n"/>
      <c r="F678" s="128" t="n"/>
      <c r="G678" s="128" t="n"/>
      <c r="H678" s="128" t="n"/>
      <c r="I678" s="128" t="n"/>
      <c r="J678" s="128" t="n"/>
      <c r="K678" s="129" t="n"/>
    </row>
    <row r="679">
      <c r="C679" s="128" t="n"/>
      <c r="D679" s="128" t="n"/>
      <c r="E679" s="128" t="n"/>
      <c r="F679" s="128" t="n"/>
      <c r="G679" s="128" t="n"/>
      <c r="H679" s="128" t="n"/>
      <c r="I679" s="128" t="n"/>
      <c r="J679" s="128" t="n"/>
      <c r="K679" s="129" t="n"/>
    </row>
    <row r="680">
      <c r="C680" s="128" t="n"/>
      <c r="D680" s="128" t="n"/>
      <c r="E680" s="128" t="n"/>
      <c r="F680" s="128" t="n"/>
      <c r="G680" s="128" t="n"/>
      <c r="H680" s="128" t="n"/>
      <c r="I680" s="128" t="n"/>
      <c r="J680" s="128" t="n"/>
      <c r="K680" s="129" t="n"/>
    </row>
    <row r="681">
      <c r="C681" s="128" t="n"/>
      <c r="D681" s="128" t="n"/>
      <c r="E681" s="128" t="n"/>
      <c r="F681" s="128" t="n"/>
      <c r="G681" s="128" t="n"/>
      <c r="H681" s="128" t="n"/>
      <c r="I681" s="128" t="n"/>
      <c r="J681" s="128" t="n"/>
      <c r="K681" s="129" t="n"/>
    </row>
    <row r="682">
      <c r="C682" s="128" t="n"/>
      <c r="D682" s="128" t="n"/>
      <c r="E682" s="128" t="n"/>
      <c r="F682" s="128" t="n"/>
      <c r="G682" s="128" t="n"/>
      <c r="H682" s="128" t="n"/>
      <c r="I682" s="128" t="n"/>
      <c r="J682" s="128" t="n"/>
      <c r="K682" s="129" t="n"/>
    </row>
    <row r="683">
      <c r="C683" s="128" t="n"/>
      <c r="D683" s="128" t="n"/>
      <c r="E683" s="128" t="n"/>
      <c r="F683" s="128" t="n"/>
      <c r="G683" s="128" t="n"/>
      <c r="H683" s="128" t="n"/>
      <c r="I683" s="128" t="n"/>
      <c r="J683" s="128" t="n"/>
      <c r="K683" s="129" t="n"/>
    </row>
    <row r="684">
      <c r="C684" s="128" t="n"/>
      <c r="D684" s="128" t="n"/>
      <c r="E684" s="128" t="n"/>
      <c r="F684" s="128" t="n"/>
      <c r="G684" s="128" t="n"/>
      <c r="H684" s="128" t="n"/>
      <c r="I684" s="128" t="n"/>
      <c r="J684" s="128" t="n"/>
      <c r="K684" s="129" t="n"/>
    </row>
    <row r="685">
      <c r="C685" s="128" t="n"/>
      <c r="D685" s="128" t="n"/>
      <c r="E685" s="128" t="n"/>
      <c r="F685" s="128" t="n"/>
      <c r="G685" s="128" t="n"/>
      <c r="H685" s="128" t="n"/>
      <c r="I685" s="128" t="n"/>
      <c r="J685" s="128" t="n"/>
      <c r="K685" s="129" t="n"/>
    </row>
    <row r="686">
      <c r="C686" s="128" t="n"/>
      <c r="D686" s="128" t="n"/>
      <c r="E686" s="128" t="n"/>
      <c r="F686" s="128" t="n"/>
      <c r="G686" s="128" t="n"/>
      <c r="H686" s="128" t="n"/>
      <c r="I686" s="128" t="n"/>
      <c r="J686" s="128" t="n"/>
      <c r="K686" s="129" t="n"/>
    </row>
    <row r="687">
      <c r="C687" s="128" t="n"/>
      <c r="D687" s="128" t="n"/>
      <c r="E687" s="128" t="n"/>
      <c r="F687" s="128" t="n"/>
      <c r="G687" s="128" t="n"/>
      <c r="H687" s="128" t="n"/>
      <c r="I687" s="128" t="n"/>
      <c r="J687" s="128" t="n"/>
      <c r="K687" s="129" t="n"/>
    </row>
    <row r="688">
      <c r="C688" s="128" t="n"/>
      <c r="D688" s="128" t="n"/>
      <c r="E688" s="128" t="n"/>
      <c r="F688" s="128" t="n"/>
      <c r="G688" s="128" t="n"/>
      <c r="H688" s="128" t="n"/>
      <c r="I688" s="128" t="n"/>
      <c r="J688" s="128" t="n"/>
      <c r="K688" s="129" t="n"/>
    </row>
    <row r="689">
      <c r="C689" s="128" t="n"/>
      <c r="D689" s="128" t="n"/>
      <c r="E689" s="128" t="n"/>
      <c r="F689" s="128" t="n"/>
      <c r="G689" s="128" t="n"/>
      <c r="H689" s="128" t="n"/>
      <c r="I689" s="128" t="n"/>
      <c r="J689" s="128" t="n"/>
      <c r="K689" s="129" t="n"/>
    </row>
    <row r="690">
      <c r="C690" s="128" t="n"/>
      <c r="D690" s="128" t="n"/>
      <c r="E690" s="128" t="n"/>
      <c r="F690" s="128" t="n"/>
      <c r="G690" s="128" t="n"/>
      <c r="H690" s="128" t="n"/>
      <c r="I690" s="128" t="n"/>
      <c r="J690" s="128" t="n"/>
      <c r="K690" s="129" t="n"/>
    </row>
    <row r="691">
      <c r="C691" s="128" t="n"/>
      <c r="D691" s="128" t="n"/>
      <c r="E691" s="128" t="n"/>
      <c r="F691" s="128" t="n"/>
      <c r="G691" s="128" t="n"/>
      <c r="H691" s="128" t="n"/>
      <c r="I691" s="128" t="n"/>
      <c r="J691" s="128" t="n"/>
      <c r="K691" s="129" t="n"/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tabColor rgb="FF4A66AC"/>
    <outlinePr summaryBelow="1" summaryRight="1"/>
    <pageSetUpPr/>
  </sheetPr>
  <dimension ref="B1:AA87"/>
  <sheetViews>
    <sheetView tabSelected="1" topLeftCell="A7" zoomScale="125" zoomScaleNormal="125" workbookViewId="0">
      <selection activeCell="H21" sqref="H21"/>
    </sheetView>
  </sheetViews>
  <sheetFormatPr baseColWidth="10" defaultColWidth="8.83203125" defaultRowHeight="13"/>
  <cols>
    <col width="11.1640625" customWidth="1" style="126" min="1" max="1"/>
    <col width="2.5" customWidth="1" style="127" min="2" max="2"/>
    <col width="44.1640625" customWidth="1" style="127" min="3" max="3"/>
    <col width="11.6640625" customWidth="1" style="127" min="4" max="4"/>
    <col width="2" customWidth="1" style="127" min="5" max="5"/>
    <col width="4" customWidth="1" style="127" min="6" max="6"/>
    <col width="22.6640625" customWidth="1" style="127" min="7" max="7"/>
    <col width="14.1640625" customWidth="1" style="127" min="8" max="8"/>
    <col width="7.6640625" customWidth="1" style="127" min="9" max="9"/>
    <col width="8.83203125" customWidth="1" style="126" min="10" max="10"/>
    <col width="9.83203125" customWidth="1" style="127" min="11" max="11"/>
    <col width="8.83203125" customWidth="1" style="126" min="12" max="14"/>
    <col width="10.1640625" customWidth="1" style="127" min="15" max="15"/>
    <col width="8.83203125" customWidth="1" style="126" min="16" max="23"/>
  </cols>
  <sheetData>
    <row r="1" ht="13.5" customHeight="1" s="1">
      <c r="B1" s="359" t="inlineStr">
        <is>
          <t>Monthly Budget</t>
        </is>
      </c>
      <c r="F1" s="170" t="n"/>
      <c r="G1" s="171" t="n"/>
      <c r="H1" s="171" t="n"/>
    </row>
    <row r="2" ht="15" customHeight="1" s="1" thickBot="1">
      <c r="F2" s="170" t="n"/>
      <c r="H2" s="171" t="n"/>
    </row>
    <row r="3" ht="15" customHeight="1" s="1">
      <c r="B3" s="205" t="n"/>
      <c r="C3" s="206" t="inlineStr">
        <is>
          <t>Monthly Disposable</t>
        </is>
      </c>
      <c r="D3" s="206" t="inlineStr">
        <is>
          <t xml:space="preserve"> </t>
        </is>
      </c>
      <c r="E3" s="172" t="n"/>
      <c r="F3" s="170" t="n"/>
      <c r="H3" s="171" t="n"/>
    </row>
    <row r="4" ht="15" customHeight="1" s="1">
      <c r="B4" s="173" t="n"/>
      <c r="C4" s="170" t="n"/>
      <c r="D4" s="170" t="n"/>
      <c r="E4" s="174" t="n"/>
      <c r="F4" s="170" t="n"/>
      <c r="H4" s="171" t="n"/>
    </row>
    <row r="5" ht="13.5" customHeight="1" s="1">
      <c r="B5" s="173" t="n"/>
      <c r="C5" s="170" t="inlineStr">
        <is>
          <t>Clothing</t>
        </is>
      </c>
      <c r="D5" s="170" t="n">
        <v>0</v>
      </c>
      <c r="E5" s="174" t="n"/>
      <c r="F5" s="170" t="n"/>
      <c r="H5" s="171" t="n"/>
    </row>
    <row r="6" ht="13.5" customHeight="1" s="1">
      <c r="B6" s="173" t="n"/>
      <c r="C6" s="170" t="inlineStr">
        <is>
          <t>Dry Cleaning and Tailor</t>
        </is>
      </c>
      <c r="D6" s="170" t="n">
        <v>100</v>
      </c>
      <c r="E6" s="174" t="n"/>
      <c r="F6" s="170" t="n"/>
      <c r="H6" s="171" t="n"/>
    </row>
    <row r="7" ht="13.5" customHeight="1" s="1">
      <c r="B7" s="173" t="n"/>
      <c r="C7" s="170" t="inlineStr">
        <is>
          <t>Gas</t>
        </is>
      </c>
      <c r="D7" s="170" t="n">
        <v>150</v>
      </c>
      <c r="E7" s="174" t="n"/>
      <c r="F7" s="170" t="n"/>
      <c r="H7" s="171" t="n"/>
    </row>
    <row r="8" ht="13.5" customHeight="1" s="1">
      <c r="B8" s="173" t="n"/>
      <c r="C8" s="170" t="inlineStr">
        <is>
          <t>Doc</t>
        </is>
      </c>
      <c r="D8" s="170" t="n">
        <v>100</v>
      </c>
      <c r="E8" s="174" t="inlineStr">
        <is>
          <t xml:space="preserve"> </t>
        </is>
      </c>
      <c r="F8" s="170" t="n"/>
      <c r="G8" s="171" t="n"/>
      <c r="H8" s="171" t="n"/>
    </row>
    <row r="9" ht="15" customHeight="1" s="1">
      <c r="B9" s="173" t="n"/>
      <c r="C9" s="170" t="inlineStr">
        <is>
          <t>Groceries</t>
        </is>
      </c>
      <c r="D9" s="170" t="n">
        <v>970</v>
      </c>
      <c r="E9" s="174" t="n"/>
      <c r="F9" s="170" t="n"/>
      <c r="G9" s="171" t="n"/>
      <c r="H9" s="171" t="n"/>
    </row>
    <row r="10" ht="13.5" customHeight="1" s="1" thickBot="1">
      <c r="B10" s="173" t="n"/>
      <c r="C10" s="170" t="inlineStr">
        <is>
          <t>Housekeeping</t>
        </is>
      </c>
      <c r="D10" s="170" t="n">
        <v>0</v>
      </c>
      <c r="E10" s="174" t="n"/>
      <c r="F10" s="170" t="n"/>
      <c r="G10" s="171" t="n"/>
      <c r="H10" s="171" t="n"/>
      <c r="K10" s="212" t="inlineStr">
        <is>
          <t>Personal</t>
        </is>
      </c>
    </row>
    <row r="11" ht="13.5" customHeight="1" s="1">
      <c r="B11" s="173" t="n"/>
      <c r="C11" s="170" t="inlineStr">
        <is>
          <t>Personal Stuff</t>
        </is>
      </c>
      <c r="D11" s="178">
        <f>N14/12</f>
        <v/>
      </c>
      <c r="E11" s="174" t="n"/>
      <c r="F11" s="170" t="n"/>
      <c r="G11" s="171" t="n"/>
      <c r="H11" s="171" t="n"/>
      <c r="K11" s="213" t="inlineStr">
        <is>
          <t>Dr. Perez</t>
        </is>
      </c>
      <c r="L11" s="214" t="n">
        <v>585</v>
      </c>
      <c r="M11" s="214" t="n">
        <v>4</v>
      </c>
      <c r="N11" s="215">
        <f>L11*M11</f>
        <v/>
      </c>
    </row>
    <row r="12" ht="13.5" customHeight="1" s="1">
      <c r="B12" s="173" t="n"/>
      <c r="C12" s="170" t="inlineStr">
        <is>
          <t>Pierce</t>
        </is>
      </c>
      <c r="D12" s="170" t="n">
        <v>130</v>
      </c>
      <c r="E12" s="174" t="n"/>
      <c r="F12" s="170" t="n"/>
      <c r="G12" s="171" t="n"/>
      <c r="H12" s="171" t="n"/>
      <c r="K12" s="175" t="inlineStr">
        <is>
          <t>Face Other</t>
        </is>
      </c>
      <c r="L12" s="126" t="n">
        <v>152</v>
      </c>
      <c r="M12" s="126" t="n">
        <v>12</v>
      </c>
      <c r="N12" s="176">
        <f>L12*M12</f>
        <v/>
      </c>
    </row>
    <row r="13" ht="13.5" customHeight="1" s="1">
      <c r="B13" s="173" t="n"/>
      <c r="C13" s="170" t="inlineStr">
        <is>
          <t>Nails</t>
        </is>
      </c>
      <c r="D13" s="170" t="n">
        <v>175</v>
      </c>
      <c r="E13" s="174" t="n"/>
      <c r="F13" s="170" t="n"/>
      <c r="G13" s="171" t="n"/>
      <c r="H13" s="171" t="n"/>
      <c r="K13" s="175" t="inlineStr">
        <is>
          <t>Haircut</t>
        </is>
      </c>
      <c r="L13" s="126" t="n">
        <v>500</v>
      </c>
      <c r="M13" s="126" t="n">
        <v>7</v>
      </c>
      <c r="N13" s="177">
        <f>L13*M13</f>
        <v/>
      </c>
    </row>
    <row r="14" ht="15" customHeight="1" s="1" thickBot="1">
      <c r="B14" s="173" t="n"/>
      <c r="C14" s="170" t="inlineStr">
        <is>
          <t>Personal Grooming</t>
        </is>
      </c>
      <c r="D14" s="178">
        <f>N14/12</f>
        <v/>
      </c>
      <c r="E14" s="174" t="n"/>
      <c r="F14" s="170" t="n"/>
      <c r="G14" s="171" t="n"/>
      <c r="H14" s="171" t="n"/>
      <c r="K14" s="216" t="n"/>
      <c r="L14" s="180" t="n"/>
      <c r="M14" s="180" t="n"/>
      <c r="N14" s="217">
        <f>SUM(N11:N13)</f>
        <v/>
      </c>
    </row>
    <row r="15" ht="13.5" customHeight="1" s="1" thickBot="1">
      <c r="B15" s="173" t="n"/>
      <c r="C15" s="170" t="inlineStr">
        <is>
          <t>Pool</t>
        </is>
      </c>
      <c r="D15" s="170" t="n">
        <v>110</v>
      </c>
      <c r="E15" s="174" t="n"/>
      <c r="F15" s="170" t="n"/>
      <c r="G15" s="207" t="inlineStr">
        <is>
          <t>Streaming / Gym</t>
        </is>
      </c>
    </row>
    <row r="16" ht="15" customHeight="1" s="1" thickBot="1">
      <c r="B16" s="173" t="n"/>
      <c r="C16" s="170" t="inlineStr">
        <is>
          <t>Subscriptions</t>
        </is>
      </c>
      <c r="D16" s="178">
        <f>H26</f>
        <v/>
      </c>
      <c r="E16" s="174" t="n"/>
      <c r="F16" s="170" t="n"/>
      <c r="G16" s="208" t="inlineStr">
        <is>
          <t>Apple</t>
        </is>
      </c>
      <c r="H16" s="209">
        <f>K22</f>
        <v/>
      </c>
    </row>
    <row r="17" ht="13.5" customHeight="1" s="1" thickBot="1">
      <c r="B17" s="173" t="n"/>
      <c r="C17" s="170" t="inlineStr">
        <is>
          <t>Car Wash</t>
        </is>
      </c>
      <c r="D17" s="178" t="n">
        <v>24</v>
      </c>
      <c r="E17" s="174" t="n"/>
      <c r="F17" s="170" t="n"/>
      <c r="G17" s="182" t="inlineStr">
        <is>
          <t>Audible</t>
        </is>
      </c>
      <c r="H17" s="183" t="n">
        <v>16.18</v>
      </c>
      <c r="J17" s="184" t="inlineStr">
        <is>
          <t xml:space="preserve"> </t>
        </is>
      </c>
      <c r="K17" s="212" t="inlineStr">
        <is>
          <t>Apple</t>
        </is>
      </c>
    </row>
    <row r="18" ht="13.5" customHeight="1" s="1">
      <c r="B18" s="173" t="n"/>
      <c r="C18" s="170" t="inlineStr">
        <is>
          <t xml:space="preserve"> </t>
        </is>
      </c>
      <c r="D18" s="170" t="inlineStr">
        <is>
          <t xml:space="preserve"> </t>
        </is>
      </c>
      <c r="E18" s="174" t="n"/>
      <c r="F18" s="170" t="n"/>
      <c r="G18" s="182" t="inlineStr">
        <is>
          <t xml:space="preserve"> </t>
        </is>
      </c>
      <c r="H18" s="183" t="inlineStr">
        <is>
          <t xml:space="preserve"> </t>
        </is>
      </c>
      <c r="J18" s="185" t="inlineStr">
        <is>
          <t xml:space="preserve"> </t>
        </is>
      </c>
      <c r="K18" s="218" t="n">
        <v>2.99</v>
      </c>
      <c r="L18" s="219" t="inlineStr">
        <is>
          <t xml:space="preserve"> </t>
        </is>
      </c>
      <c r="M18" s="215" t="n"/>
    </row>
    <row r="19" ht="13.5" customHeight="1" s="1">
      <c r="B19" s="173" t="n"/>
      <c r="C19" s="170" t="n"/>
      <c r="D19" s="178" t="n"/>
      <c r="E19" s="174" t="n"/>
      <c r="F19" s="170" t="n"/>
      <c r="G19" s="182" t="inlineStr">
        <is>
          <t>Peacock</t>
        </is>
      </c>
      <c r="H19" s="183" t="n">
        <v>12</v>
      </c>
      <c r="J19" s="185" t="n"/>
      <c r="K19" s="186" t="n">
        <v>4.32</v>
      </c>
      <c r="L19" s="184" t="inlineStr">
        <is>
          <t>Apple Storage</t>
        </is>
      </c>
      <c r="M19" s="176" t="n"/>
    </row>
    <row r="20" ht="13.5" customHeight="1" s="1">
      <c r="B20" s="173" t="n"/>
      <c r="C20" s="170" t="n"/>
      <c r="D20" s="178" t="n"/>
      <c r="E20" s="174" t="n"/>
      <c r="F20" s="170" t="n"/>
      <c r="G20" s="182" t="inlineStr">
        <is>
          <t>Fubo</t>
        </is>
      </c>
      <c r="H20" s="183" t="n">
        <v>70</v>
      </c>
      <c r="J20" s="185" t="n"/>
      <c r="K20" s="186" t="n">
        <v>12.99</v>
      </c>
      <c r="L20" s="184" t="inlineStr">
        <is>
          <t>Apple TV</t>
        </is>
      </c>
      <c r="M20" s="176" t="n"/>
    </row>
    <row r="21" ht="13.5" customHeight="1" s="1">
      <c r="B21" s="173" t="n"/>
      <c r="C21" s="170" t="n"/>
      <c r="D21" s="178" t="n"/>
      <c r="E21" s="174" t="n"/>
      <c r="F21" s="170" t="n"/>
      <c r="G21" s="182" t="inlineStr">
        <is>
          <t>Parmount</t>
        </is>
      </c>
      <c r="H21" s="183" t="n">
        <v>15</v>
      </c>
      <c r="J21" s="185" t="n"/>
      <c r="K21" s="187" t="n">
        <v>9.73</v>
      </c>
      <c r="L21" s="184" t="inlineStr">
        <is>
          <t>Amazon Prime</t>
        </is>
      </c>
      <c r="M21" s="176" t="n"/>
    </row>
    <row r="22" ht="15" customHeight="1" s="1" thickBot="1">
      <c r="B22" s="173" t="n"/>
      <c r="C22" s="170" t="n"/>
      <c r="D22" s="178" t="n"/>
      <c r="E22" s="174" t="n"/>
      <c r="F22" s="170" t="n"/>
      <c r="G22" s="182" t="inlineStr">
        <is>
          <t xml:space="preserve">Lifetime </t>
        </is>
      </c>
      <c r="H22" s="183" t="n">
        <v>151</v>
      </c>
      <c r="J22" s="185" t="n"/>
      <c r="K22" s="220">
        <f>SUM(K18:K21)</f>
        <v/>
      </c>
      <c r="L22" s="180" t="n"/>
      <c r="M22" s="217" t="n"/>
    </row>
    <row r="23" ht="13.5" customHeight="1" s="1">
      <c r="B23" s="173" t="n"/>
      <c r="E23" s="174" t="n"/>
      <c r="F23" s="170" t="n"/>
      <c r="G23" s="182" t="inlineStr">
        <is>
          <t>Netflix</t>
        </is>
      </c>
      <c r="H23" s="188" t="n">
        <v>21</v>
      </c>
      <c r="J23" s="184" t="inlineStr">
        <is>
          <t xml:space="preserve"> </t>
        </is>
      </c>
    </row>
    <row r="24" ht="15" customHeight="1" s="1" thickBot="1">
      <c r="B24" s="173" t="n"/>
      <c r="C24" s="189" t="inlineStr">
        <is>
          <t xml:space="preserve"> </t>
        </is>
      </c>
      <c r="D24" s="189" t="inlineStr">
        <is>
          <t xml:space="preserve"> </t>
        </is>
      </c>
      <c r="E24" s="174" t="n"/>
      <c r="F24" s="170" t="n"/>
      <c r="G24" s="182" t="inlineStr">
        <is>
          <t>Spotify</t>
        </is>
      </c>
      <c r="H24" s="183" t="n">
        <v>13</v>
      </c>
      <c r="J24" s="184" t="inlineStr">
        <is>
          <t xml:space="preserve"> </t>
        </is>
      </c>
      <c r="K24" s="190" t="inlineStr">
        <is>
          <t xml:space="preserve"> </t>
        </is>
      </c>
    </row>
    <row r="25" ht="13.5" customHeight="1" s="1">
      <c r="B25" s="173" t="n"/>
      <c r="C25" s="170" t="n"/>
      <c r="D25" s="170" t="n"/>
      <c r="E25" s="174" t="n"/>
      <c r="F25" s="170" t="n"/>
      <c r="G25" s="182" t="inlineStr">
        <is>
          <t>Hulu</t>
        </is>
      </c>
      <c r="H25" s="191" t="n">
        <v>14.06</v>
      </c>
      <c r="J25" s="185" t="inlineStr">
        <is>
          <t xml:space="preserve"> </t>
        </is>
      </c>
      <c r="K25" s="190" t="n"/>
    </row>
    <row r="26" ht="15" customHeight="1" s="1" thickBot="1">
      <c r="B26" s="173" t="n"/>
      <c r="C26" s="170" t="inlineStr">
        <is>
          <t>Total Monthly Expenses</t>
        </is>
      </c>
      <c r="D26" s="178">
        <f>SUM(D5:D24)</f>
        <v/>
      </c>
      <c r="E26" s="174" t="n"/>
      <c r="F26" s="170" t="n"/>
      <c r="G26" s="210" t="n"/>
      <c r="H26" s="211">
        <f>SUM(H16:H25)</f>
        <v/>
      </c>
      <c r="J26" s="185" t="inlineStr">
        <is>
          <t xml:space="preserve"> </t>
        </is>
      </c>
      <c r="K26" s="190" t="n"/>
    </row>
    <row r="27" ht="15" customHeight="1" s="1" thickBot="1">
      <c r="B27" s="192" t="n"/>
      <c r="C27" s="189" t="n"/>
      <c r="D27" s="189" t="inlineStr">
        <is>
          <t xml:space="preserve"> </t>
        </is>
      </c>
      <c r="E27" s="193" t="n"/>
      <c r="F27" s="170" t="n"/>
      <c r="K27" s="190" t="n"/>
    </row>
    <row r="28" ht="27" customHeight="1" s="1">
      <c r="B28" s="171" t="n"/>
      <c r="C28" s="171" t="n"/>
      <c r="D28" s="171" t="n"/>
      <c r="E28" s="171" t="n"/>
      <c r="F28" s="170" t="n"/>
      <c r="K28" s="190" t="n"/>
    </row>
    <row r="29" ht="21.75" customHeight="1" s="1">
      <c r="C29" s="126" t="inlineStr">
        <is>
          <t xml:space="preserve"> </t>
        </is>
      </c>
      <c r="D29" s="126" t="inlineStr">
        <is>
          <t xml:space="preserve"> </t>
        </is>
      </c>
      <c r="F29" s="170" t="n"/>
      <c r="G29" s="212" t="inlineStr">
        <is>
          <t>State Farm</t>
        </is>
      </c>
      <c r="K29" s="190" t="n"/>
      <c r="T29" s="184" t="n"/>
    </row>
    <row r="30" ht="21.75" customHeight="1" s="1">
      <c r="F30" s="170" t="n"/>
      <c r="G30" s="194" t="inlineStr">
        <is>
          <t>Car</t>
        </is>
      </c>
      <c r="H30" s="195" t="n">
        <v>497</v>
      </c>
      <c r="I30" s="196" t="inlineStr">
        <is>
          <t xml:space="preserve"> </t>
        </is>
      </c>
      <c r="J30" s="196" t="inlineStr">
        <is>
          <t xml:space="preserve"> </t>
        </is>
      </c>
      <c r="Q30" s="185" t="n"/>
    </row>
    <row r="31" ht="21.75" customHeight="1" s="1">
      <c r="F31" s="170" t="n"/>
      <c r="G31" s="175" t="inlineStr">
        <is>
          <t>Dallas Home Owners</t>
        </is>
      </c>
      <c r="H31" s="197" t="n">
        <v>395</v>
      </c>
      <c r="I31" s="185" t="inlineStr">
        <is>
          <t xml:space="preserve"> </t>
        </is>
      </c>
      <c r="J31" s="184" t="inlineStr">
        <is>
          <t xml:space="preserve"> </t>
        </is>
      </c>
      <c r="N31" s="198" t="n"/>
      <c r="S31" s="184" t="n"/>
    </row>
    <row r="32" ht="21.75" customHeight="1" s="1">
      <c r="F32" s="170" t="n"/>
      <c r="G32" s="175" t="inlineStr">
        <is>
          <t>Personal</t>
        </is>
      </c>
      <c r="H32" s="360" t="inlineStr">
        <is>
          <t xml:space="preserve"> </t>
        </is>
      </c>
      <c r="I32" s="185" t="inlineStr">
        <is>
          <t xml:space="preserve"> </t>
        </is>
      </c>
      <c r="J32" s="184" t="inlineStr">
        <is>
          <t xml:space="preserve"> </t>
        </is>
      </c>
      <c r="S32" s="184" t="n"/>
      <c r="Z32" s="4" t="n"/>
      <c r="AA32" s="4" t="n"/>
    </row>
    <row r="33" ht="21.75" customHeight="1" s="1">
      <c r="F33" s="170" t="n"/>
      <c r="G33" s="199" t="n"/>
      <c r="H33" s="177">
        <f>SUM(H30:H32)</f>
        <v/>
      </c>
      <c r="O33" s="184" t="n"/>
    </row>
    <row r="34" ht="15" customHeight="1" s="1">
      <c r="F34" s="200" t="n"/>
      <c r="G34" s="179" t="inlineStr">
        <is>
          <t>Bi-Annually</t>
        </is>
      </c>
      <c r="H34" s="181">
        <f>H30*6</f>
        <v/>
      </c>
    </row>
    <row r="35" ht="12.75" customHeight="1" s="1">
      <c r="N35" s="198" t="n"/>
      <c r="O35" s="184" t="n"/>
      <c r="P35" s="184" t="n"/>
      <c r="Q35" s="184" t="n"/>
      <c r="R35" s="184" t="n"/>
    </row>
    <row r="36" ht="12.75" customHeight="1" s="1">
      <c r="O36" s="184" t="n"/>
      <c r="P36" s="184" t="n"/>
      <c r="Q36" s="184" t="n"/>
      <c r="V36" s="184" t="n"/>
    </row>
    <row r="37" ht="12.75" customHeight="1" s="1">
      <c r="O37" s="184" t="n"/>
      <c r="Q37" s="185" t="n"/>
      <c r="V37" s="190" t="n"/>
      <c r="W37" s="184" t="n"/>
    </row>
    <row r="38" ht="12.75" customHeight="1" s="1">
      <c r="F38" s="201" t="n"/>
      <c r="O38" s="184" t="n"/>
      <c r="Q38" s="184" t="n"/>
      <c r="W38" s="184" t="n"/>
    </row>
    <row r="39" ht="12.75" customHeight="1" s="1">
      <c r="O39" s="184" t="n"/>
      <c r="Q39" s="185" t="n"/>
      <c r="W39" s="184" t="n"/>
    </row>
    <row r="40" ht="12.75" customHeight="1" s="1">
      <c r="O40" s="184" t="n"/>
      <c r="V40" s="185" t="n"/>
      <c r="W40" s="184" t="n"/>
    </row>
    <row r="41" ht="12.75" customHeight="1" s="1">
      <c r="O41" s="184" t="n"/>
      <c r="V41" s="190" t="n"/>
    </row>
    <row r="42" ht="12.75" customHeight="1" s="1">
      <c r="O42" s="184" t="n"/>
      <c r="W42" s="184" t="n"/>
    </row>
    <row r="43" ht="12.75" customHeight="1" s="1">
      <c r="O43" s="184" t="n"/>
      <c r="W43" s="184" t="n"/>
    </row>
    <row r="44" ht="12.75" customHeight="1" s="1"/>
    <row r="45" ht="12.75" customHeight="1" s="1"/>
    <row r="46" ht="12.75" customHeight="1" s="1"/>
    <row r="49" ht="12.75" customHeight="1" s="1">
      <c r="N49" s="198" t="inlineStr">
        <is>
          <t>Oct</t>
        </is>
      </c>
    </row>
    <row r="50" ht="12.75" customHeight="1" s="1"/>
    <row r="51" ht="12.75" customHeight="1" s="1"/>
    <row r="52" ht="12.75" customHeight="1" s="1"/>
    <row r="53" ht="12.75" customHeight="1" s="1"/>
    <row r="54" ht="12.75" customHeight="1" s="1"/>
    <row r="55" ht="12.75" customHeight="1" s="1"/>
    <row r="56" ht="12.75" customHeight="1" s="1"/>
    <row r="57" ht="12.75" customHeight="1" s="1"/>
    <row r="58" ht="12.75" customHeight="1" s="1"/>
    <row r="59" ht="12.75" customHeight="1" s="1"/>
    <row r="60" ht="12.75" customHeight="1" s="1">
      <c r="O60" s="202" t="n"/>
      <c r="P60" s="202" t="n"/>
      <c r="Q60" s="202" t="n"/>
      <c r="R60" s="202" t="n"/>
      <c r="S60" s="202" t="n"/>
    </row>
    <row r="61" ht="12.75" customHeight="1" s="1">
      <c r="O61" s="126">
        <f>SUM(O48:O60)</f>
        <v/>
      </c>
      <c r="P61" s="126">
        <f>SUM(P48:P60)</f>
        <v/>
      </c>
      <c r="Q61" s="126">
        <f>SUM(Q48:Q60)</f>
        <v/>
      </c>
      <c r="R61" s="126">
        <f>SUM(R48:R60)</f>
        <v/>
      </c>
      <c r="S61" s="126">
        <f>SUM(S48:S60)</f>
        <v/>
      </c>
    </row>
    <row r="86" ht="12.75" customHeight="1" s="1">
      <c r="O86" s="126">
        <f>O61+O46+#REF!</f>
        <v/>
      </c>
      <c r="P86" s="126">
        <f>P61+P46+#REF!</f>
        <v/>
      </c>
      <c r="Q86" s="126">
        <f>Q61+Q46+#REF!</f>
        <v/>
      </c>
      <c r="R86" s="126">
        <f>R61+R46+#REF!</f>
        <v/>
      </c>
      <c r="S86" s="126">
        <f>S61+S46+#REF!</f>
        <v/>
      </c>
    </row>
    <row r="87" ht="12.75" customHeight="1" s="1">
      <c r="O87" s="203">
        <f>O86/3</f>
        <v/>
      </c>
      <c r="P87" s="204">
        <f>P86/3</f>
        <v/>
      </c>
      <c r="Q87" s="204">
        <f>Q86/3</f>
        <v/>
      </c>
      <c r="R87" s="204">
        <f>R86/3</f>
        <v/>
      </c>
      <c r="S87" s="204">
        <f>S86/3</f>
        <v/>
      </c>
    </row>
  </sheetData>
  <mergeCells count="1">
    <mergeCell ref="B1:C1"/>
  </mergeCells>
  <pageMargins left="0.75" right="0.75" top="1" bottom="1" header="0.511811023622047" footer="0.511811023622047"/>
  <pageSetup orientation="landscape" scale="73" horizontalDpi="300" verticalDpi="300"/>
</worksheet>
</file>

<file path=xl/worksheets/sheet9.xml><?xml version="1.0" encoding="utf-8"?>
<worksheet xmlns="http://schemas.openxmlformats.org/spreadsheetml/2006/main">
  <sheetPr>
    <tabColor rgb="FF9D90A0"/>
    <outlinePr summaryBelow="1" summaryRight="1"/>
    <pageSetUpPr/>
  </sheetPr>
  <dimension ref="B1:N15"/>
  <sheetViews>
    <sheetView zoomScaleNormal="100" workbookViewId="0">
      <selection activeCell="F6" sqref="F6"/>
    </sheetView>
  </sheetViews>
  <sheetFormatPr baseColWidth="10" defaultColWidth="8.83203125" defaultRowHeight="13"/>
  <cols>
    <col width="10.1640625" customWidth="1" style="127" min="1" max="1"/>
    <col width="4" customWidth="1" style="127" min="2" max="2"/>
    <col width="8.83203125" customWidth="1" style="126" min="3" max="3"/>
    <col width="19.6640625" customWidth="1" style="127" min="4" max="4"/>
    <col width="0.83203125" customWidth="1" style="127" min="5" max="5"/>
    <col width="16.1640625" customWidth="1" style="127" min="6" max="6"/>
    <col width="2.33203125" customWidth="1" style="127" min="7" max="7"/>
    <col width="2.5" customWidth="1" style="127" min="8" max="8"/>
    <col width="3.5" customWidth="1" style="127" min="9" max="9"/>
    <col width="8.83203125" customWidth="1" style="126" min="10" max="13"/>
    <col width="2.33203125" customWidth="1" style="127" min="14" max="14"/>
    <col width="8.83203125" customWidth="1" style="126" min="15" max="156"/>
  </cols>
  <sheetData>
    <row r="1" ht="30.75" customHeight="1" s="1" thickBot="1">
      <c r="B1" s="221" t="n"/>
      <c r="C1" s="222" t="n"/>
      <c r="G1" s="221" t="n"/>
      <c r="H1" s="221" t="n"/>
      <c r="I1" s="221" t="n"/>
    </row>
    <row r="2" ht="22.5" customHeight="1" s="1">
      <c r="B2" s="231" t="n"/>
      <c r="C2" s="232" t="inlineStr">
        <is>
          <t>Chicago</t>
        </is>
      </c>
      <c r="D2" s="233" t="n"/>
      <c r="E2" s="233" t="n"/>
      <c r="F2" s="233" t="n"/>
      <c r="G2" s="234" t="n"/>
      <c r="H2" s="221" t="n"/>
      <c r="I2" s="223" t="n"/>
      <c r="J2" s="224" t="inlineStr">
        <is>
          <t xml:space="preserve"> </t>
        </is>
      </c>
      <c r="N2" s="200" t="n"/>
    </row>
    <row r="3" ht="18" customHeight="1" s="1">
      <c r="B3" s="235" t="n"/>
      <c r="C3" s="236" t="n"/>
      <c r="D3" s="237" t="n"/>
      <c r="E3" s="237" t="n"/>
      <c r="F3" s="389" t="n"/>
      <c r="G3" s="239" t="n"/>
      <c r="H3" s="221" t="n"/>
      <c r="I3" s="223" t="n"/>
      <c r="J3" s="225" t="n"/>
      <c r="K3" s="200" t="n"/>
      <c r="L3" s="200" t="n"/>
      <c r="M3" s="390" t="n"/>
      <c r="N3" s="200" t="n"/>
    </row>
    <row r="4" ht="18" customHeight="1" s="1">
      <c r="B4" s="235" t="n"/>
      <c r="C4" s="236" t="inlineStr">
        <is>
          <t>Mortgage</t>
        </is>
      </c>
      <c r="D4" s="237" t="n"/>
      <c r="E4" s="237" t="n"/>
      <c r="F4" s="240" t="n">
        <v>1218</v>
      </c>
      <c r="G4" s="239" t="n"/>
      <c r="H4" s="221" t="n"/>
      <c r="I4" s="223" t="n"/>
      <c r="J4" s="225" t="inlineStr">
        <is>
          <t xml:space="preserve"> </t>
        </is>
      </c>
      <c r="K4" s="200" t="n"/>
      <c r="L4" s="200" t="n"/>
      <c r="M4" s="227" t="inlineStr">
        <is>
          <t xml:space="preserve"> </t>
        </is>
      </c>
      <c r="N4" s="200" t="n"/>
    </row>
    <row r="5" ht="18" customHeight="1" s="1">
      <c r="B5" s="235" t="n"/>
      <c r="C5" s="236" t="inlineStr">
        <is>
          <t>Association</t>
        </is>
      </c>
      <c r="D5" s="237" t="n"/>
      <c r="E5" s="237" t="n"/>
      <c r="F5" s="240" t="n">
        <v>933</v>
      </c>
      <c r="G5" s="239" t="n"/>
      <c r="H5" s="221" t="n"/>
      <c r="I5" s="223" t="n"/>
      <c r="J5" s="225" t="inlineStr">
        <is>
          <t xml:space="preserve"> </t>
        </is>
      </c>
      <c r="K5" s="200" t="n"/>
      <c r="L5" s="200" t="n"/>
      <c r="M5" s="227" t="inlineStr">
        <is>
          <t xml:space="preserve"> </t>
        </is>
      </c>
      <c r="N5" s="200" t="n"/>
    </row>
    <row r="6" ht="18" customHeight="1" s="1">
      <c r="B6" s="235" t="n"/>
      <c r="C6" s="236" t="inlineStr">
        <is>
          <t>Direct TV</t>
        </is>
      </c>
      <c r="D6" s="237" t="n"/>
      <c r="E6" s="237" t="n"/>
      <c r="F6" s="241" t="n">
        <v>24</v>
      </c>
      <c r="G6" s="239" t="n"/>
      <c r="H6" s="221" t="n"/>
      <c r="I6" s="223" t="n"/>
      <c r="J6" s="225" t="inlineStr">
        <is>
          <t xml:space="preserve"> </t>
        </is>
      </c>
      <c r="K6" s="200" t="n"/>
      <c r="L6" s="200" t="n"/>
      <c r="M6" s="227" t="inlineStr">
        <is>
          <t xml:space="preserve"> </t>
        </is>
      </c>
      <c r="N6" s="200" t="n"/>
    </row>
    <row r="7" ht="18" customHeight="1" s="1">
      <c r="B7" s="242" t="n"/>
      <c r="C7" s="237" t="inlineStr">
        <is>
          <t>Electricity</t>
        </is>
      </c>
      <c r="D7" s="237" t="n"/>
      <c r="E7" s="237" t="n"/>
      <c r="F7" s="241" t="n">
        <v>0</v>
      </c>
      <c r="G7" s="239" t="n"/>
      <c r="H7" s="221" t="n"/>
      <c r="I7" s="228" t="n"/>
      <c r="J7" s="200" t="inlineStr">
        <is>
          <t xml:space="preserve"> </t>
        </is>
      </c>
      <c r="K7" s="200" t="n"/>
      <c r="L7" s="200" t="n"/>
      <c r="M7" s="227" t="inlineStr">
        <is>
          <t xml:space="preserve"> </t>
        </is>
      </c>
      <c r="N7" s="200" t="n"/>
    </row>
    <row r="8" ht="18" customHeight="1" s="1">
      <c r="B8" s="242" t="n"/>
      <c r="C8" s="237" t="inlineStr">
        <is>
          <t xml:space="preserve"> </t>
        </is>
      </c>
      <c r="D8" s="237" t="n"/>
      <c r="E8" s="237" t="n"/>
      <c r="F8" s="241" t="inlineStr">
        <is>
          <t xml:space="preserve"> </t>
        </is>
      </c>
      <c r="G8" s="239" t="n"/>
      <c r="H8" s="221" t="n"/>
      <c r="I8" s="228" t="n"/>
      <c r="J8" s="200" t="inlineStr">
        <is>
          <t xml:space="preserve"> </t>
        </is>
      </c>
      <c r="K8" s="200" t="n"/>
      <c r="L8" s="200" t="n"/>
      <c r="M8" s="227" t="inlineStr">
        <is>
          <t xml:space="preserve"> </t>
        </is>
      </c>
      <c r="N8" s="200" t="n"/>
    </row>
    <row r="9" ht="18" customHeight="1" s="1">
      <c r="B9" s="242" t="n"/>
      <c r="C9" s="237" t="inlineStr">
        <is>
          <t>Total</t>
        </is>
      </c>
      <c r="D9" s="237" t="n"/>
      <c r="E9" s="237" t="n"/>
      <c r="F9" s="391">
        <f>SUM(F4:F8)</f>
        <v/>
      </c>
      <c r="G9" s="239" t="n"/>
      <c r="H9" s="221" t="n"/>
      <c r="I9" s="228" t="n"/>
      <c r="J9" s="200" t="inlineStr">
        <is>
          <t xml:space="preserve"> </t>
        </is>
      </c>
      <c r="K9" s="200" t="inlineStr">
        <is>
          <t xml:space="preserve"> </t>
        </is>
      </c>
      <c r="L9" s="200" t="inlineStr">
        <is>
          <t xml:space="preserve"> </t>
        </is>
      </c>
      <c r="M9" s="229" t="inlineStr">
        <is>
          <t xml:space="preserve"> </t>
        </is>
      </c>
      <c r="N9" s="200" t="inlineStr">
        <is>
          <t xml:space="preserve"> </t>
        </is>
      </c>
    </row>
    <row r="10" ht="18" customHeight="1" s="1">
      <c r="B10" s="242" t="n"/>
      <c r="C10" s="237" t="inlineStr">
        <is>
          <t>Less: Rent</t>
        </is>
      </c>
      <c r="D10" s="237" t="n"/>
      <c r="E10" s="237" t="n"/>
      <c r="F10" s="240" t="n">
        <v>2400</v>
      </c>
      <c r="G10" s="239" t="n"/>
      <c r="H10" s="221" t="n"/>
      <c r="I10" s="228" t="n"/>
      <c r="J10" s="200" t="inlineStr">
        <is>
          <t xml:space="preserve"> </t>
        </is>
      </c>
      <c r="K10" s="200" t="n"/>
      <c r="L10" s="200" t="n"/>
      <c r="M10" s="229" t="inlineStr">
        <is>
          <t xml:space="preserve"> </t>
        </is>
      </c>
      <c r="N10" s="200" t="n"/>
    </row>
    <row r="11" ht="18" customHeight="1" s="1">
      <c r="B11" s="242" t="n"/>
      <c r="C11" s="237" t="inlineStr">
        <is>
          <t>After Expenses &amp; Rent</t>
        </is>
      </c>
      <c r="D11" s="237" t="n"/>
      <c r="E11" s="237" t="n"/>
      <c r="F11" s="389">
        <f>F10-F9</f>
        <v/>
      </c>
      <c r="G11" s="239" t="n"/>
      <c r="H11" s="221" t="n"/>
      <c r="I11" s="228" t="n"/>
      <c r="J11" s="200" t="inlineStr">
        <is>
          <t xml:space="preserve"> </t>
        </is>
      </c>
      <c r="K11" s="200" t="n"/>
      <c r="L11" s="200" t="n"/>
      <c r="M11" s="229" t="inlineStr">
        <is>
          <t xml:space="preserve"> </t>
        </is>
      </c>
      <c r="N11" s="200" t="n"/>
    </row>
    <row r="12" ht="18.75" customHeight="1" s="1" thickBot="1">
      <c r="B12" s="244" t="n"/>
      <c r="C12" s="245" t="n"/>
      <c r="D12" s="245" t="n"/>
      <c r="E12" s="245" t="n"/>
      <c r="F12" s="246" t="n"/>
      <c r="G12" s="247" t="n"/>
      <c r="H12" s="221" t="n"/>
      <c r="I12" s="228" t="n"/>
      <c r="J12" s="200" t="n"/>
      <c r="K12" s="200" t="n"/>
      <c r="L12" s="200" t="n"/>
      <c r="M12" s="227" t="n"/>
      <c r="N12" s="200" t="inlineStr">
        <is>
          <t xml:space="preserve"> </t>
        </is>
      </c>
    </row>
    <row r="13" ht="15.75" customHeight="1" s="1">
      <c r="B13" s="221" t="n"/>
      <c r="C13" s="221" t="n"/>
      <c r="D13" s="221" t="n"/>
      <c r="E13" s="221" t="n"/>
      <c r="F13" s="230" t="n"/>
      <c r="G13" s="221" t="n"/>
      <c r="H13" s="221" t="n"/>
      <c r="I13" s="221" t="n"/>
    </row>
    <row r="14" ht="15.75" customHeight="1" s="1">
      <c r="B14" s="221" t="n"/>
      <c r="C14" s="221" t="n"/>
      <c r="D14" s="221" t="n"/>
      <c r="E14" s="221" t="n"/>
      <c r="F14" s="221" t="n"/>
      <c r="G14" s="221" t="n"/>
      <c r="H14" s="221" t="n"/>
      <c r="I14" s="221" t="n"/>
    </row>
    <row r="15" ht="15.75" customHeight="1" s="1">
      <c r="B15" s="221" t="n"/>
      <c r="C15" s="221" t="n"/>
      <c r="D15" s="221" t="n"/>
      <c r="E15" s="221" t="n"/>
      <c r="F15" s="221" t="n"/>
      <c r="G15" s="221" t="n"/>
      <c r="H15" s="221" t="n"/>
      <c r="I15" s="221" t="n"/>
    </row>
  </sheetData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>
  <sheetPr>
    <tabColor rgb="FFACCBF9"/>
    <outlinePr summaryBelow="1" summaryRight="1"/>
    <pageSetUpPr fitToPage="1"/>
  </sheetPr>
  <dimension ref="B2:P19"/>
  <sheetViews>
    <sheetView zoomScaleNormal="100" workbookViewId="0">
      <selection activeCell="G5" sqref="G5"/>
    </sheetView>
  </sheetViews>
  <sheetFormatPr baseColWidth="10" defaultColWidth="11.5" defaultRowHeight="13"/>
  <cols>
    <col width="15" customWidth="1" style="128" min="6" max="6"/>
    <col width="11.5" customWidth="1" style="129" min="7" max="7"/>
    <col width="4.6640625" customWidth="1" style="128" min="8" max="8"/>
    <col width="11.5" customWidth="1" style="129" min="9" max="9"/>
    <col width="14.5" customWidth="1" style="128" min="10" max="10"/>
    <col width="11.5" customWidth="1" style="129" min="11" max="12"/>
    <col width="21" customWidth="1" style="128" min="13" max="13"/>
  </cols>
  <sheetData>
    <row r="2" ht="16.5" customHeight="1" s="1" thickBot="1">
      <c r="B2" s="97" t="n"/>
      <c r="C2" s="97" t="n"/>
      <c r="D2" s="97" t="n"/>
      <c r="E2" s="97" t="n"/>
      <c r="F2" s="248" t="n"/>
      <c r="G2" s="248" t="n"/>
      <c r="H2" s="248" t="n"/>
      <c r="I2" s="248" t="n"/>
      <c r="J2" s="248" t="n"/>
      <c r="K2" s="161" t="n"/>
    </row>
    <row r="3" ht="18" customHeight="1" s="1">
      <c r="B3" s="252" t="n"/>
      <c r="C3" s="253" t="inlineStr">
        <is>
          <t>Scottsdale</t>
        </is>
      </c>
      <c r="D3" s="254" t="n"/>
      <c r="E3" s="254" t="n"/>
      <c r="F3" s="255" t="n"/>
      <c r="G3" s="256" t="n"/>
      <c r="H3" s="249" t="n"/>
      <c r="I3" s="272" t="n"/>
      <c r="J3" s="273" t="inlineStr">
        <is>
          <t>HELOC</t>
        </is>
      </c>
      <c r="K3" s="161" t="n"/>
      <c r="L3" s="272" t="n"/>
      <c r="M3" s="273" t="inlineStr">
        <is>
          <t>HELOC Xtra</t>
        </is>
      </c>
    </row>
    <row r="4" ht="18" customHeight="1" s="1">
      <c r="B4" s="257" t="n"/>
      <c r="C4" s="258" t="n"/>
      <c r="D4" s="259" t="n"/>
      <c r="E4" s="259" t="n"/>
      <c r="F4" s="392" t="n"/>
      <c r="G4" s="261" t="n"/>
      <c r="H4" s="249" t="n"/>
      <c r="I4" s="274" t="inlineStr">
        <is>
          <t>Current</t>
        </is>
      </c>
      <c r="J4" s="275" t="n">
        <v>46895</v>
      </c>
      <c r="K4" s="161" t="n"/>
      <c r="L4" s="274" t="inlineStr">
        <is>
          <t>Current</t>
        </is>
      </c>
      <c r="M4" s="275" t="n">
        <v>46895</v>
      </c>
    </row>
    <row r="5" ht="18.75" customHeight="1" s="1" thickBot="1">
      <c r="B5" s="257" t="n"/>
      <c r="C5" s="258" t="inlineStr">
        <is>
          <t>Mortgage</t>
        </is>
      </c>
      <c r="D5" s="259" t="n"/>
      <c r="E5" s="259" t="n"/>
      <c r="F5" s="262" t="n">
        <v>2378</v>
      </c>
      <c r="G5" s="261" t="inlineStr">
        <is>
          <t>Clickpay</t>
        </is>
      </c>
      <c r="H5" s="249" t="n"/>
      <c r="I5" s="274" t="inlineStr">
        <is>
          <t>Payment</t>
        </is>
      </c>
      <c r="J5" s="276">
        <f>F6</f>
        <v/>
      </c>
      <c r="K5" s="161" t="n"/>
      <c r="L5" s="274" t="inlineStr">
        <is>
          <t>Payment</t>
        </is>
      </c>
      <c r="M5" s="276">
        <f>F6+F7</f>
        <v/>
      </c>
    </row>
    <row r="6" ht="18.75" customHeight="1" s="1" thickBot="1">
      <c r="B6" s="257" t="n"/>
      <c r="C6" s="258" t="inlineStr">
        <is>
          <t>HELOC</t>
        </is>
      </c>
      <c r="D6" s="259" t="n"/>
      <c r="E6" s="259" t="n"/>
      <c r="F6" s="263" t="n">
        <v>500</v>
      </c>
      <c r="G6" s="261" t="n"/>
      <c r="H6" s="249" t="n"/>
      <c r="I6" s="274" t="n"/>
      <c r="J6" s="276" t="n"/>
      <c r="K6" s="161" t="n"/>
      <c r="L6" s="274" t="inlineStr">
        <is>
          <t xml:space="preserve"> </t>
        </is>
      </c>
      <c r="M6" s="280" t="inlineStr">
        <is>
          <t xml:space="preserve"> </t>
        </is>
      </c>
    </row>
    <row r="7" ht="18.75" customHeight="1" s="1" thickBot="1">
      <c r="B7" s="257" t="n"/>
      <c r="C7" s="258" t="inlineStr">
        <is>
          <t>Xtra</t>
        </is>
      </c>
      <c r="D7" s="259" t="n"/>
      <c r="E7" s="259" t="n"/>
      <c r="F7" s="263" t="n">
        <v>0</v>
      </c>
      <c r="G7" s="261" t="n"/>
      <c r="H7" s="249" t="n"/>
      <c r="I7" s="274" t="inlineStr">
        <is>
          <t>Months</t>
        </is>
      </c>
      <c r="J7" s="277">
        <f>J4/J5</f>
        <v/>
      </c>
      <c r="K7" s="161" t="n"/>
      <c r="L7" s="274" t="inlineStr">
        <is>
          <t>Months</t>
        </is>
      </c>
      <c r="M7" s="277">
        <f>M4/M5</f>
        <v/>
      </c>
    </row>
    <row r="8" ht="18" customHeight="1" s="1">
      <c r="B8" s="257" t="n"/>
      <c r="C8" s="258" t="inlineStr">
        <is>
          <t>Association</t>
        </is>
      </c>
      <c r="D8" s="259" t="n"/>
      <c r="E8" s="259" t="n"/>
      <c r="F8" s="264" t="n">
        <v>1042</v>
      </c>
      <c r="G8" s="261" t="n"/>
      <c r="H8" s="249" t="n"/>
      <c r="I8" s="278" t="inlineStr">
        <is>
          <t>Years</t>
        </is>
      </c>
      <c r="J8" s="393">
        <f>J7/12</f>
        <v/>
      </c>
      <c r="K8" s="161" t="n"/>
      <c r="L8" s="278" t="inlineStr">
        <is>
          <t>Years</t>
        </is>
      </c>
      <c r="M8" s="393">
        <f>M7/12</f>
        <v/>
      </c>
    </row>
    <row r="9" ht="18" customHeight="1" s="1">
      <c r="B9" s="265" t="n"/>
      <c r="C9" s="259" t="inlineStr">
        <is>
          <t xml:space="preserve"> </t>
        </is>
      </c>
      <c r="D9" s="259" t="n"/>
      <c r="E9" s="259" t="n"/>
      <c r="F9" s="264" t="inlineStr">
        <is>
          <t xml:space="preserve"> </t>
        </is>
      </c>
      <c r="G9" s="261" t="n"/>
      <c r="H9" s="249" t="n"/>
      <c r="I9" s="249" t="n"/>
      <c r="J9" s="249" t="n"/>
      <c r="K9" s="161" t="n"/>
    </row>
    <row r="10" ht="18" customHeight="1" s="1">
      <c r="B10" s="265" t="n"/>
      <c r="C10" s="259" t="inlineStr">
        <is>
          <t>Total</t>
        </is>
      </c>
      <c r="D10" s="259" t="n"/>
      <c r="E10" s="259" t="n"/>
      <c r="F10" s="394">
        <f>F5+F6+F8</f>
        <v/>
      </c>
      <c r="G10" s="261" t="n"/>
      <c r="H10" s="249" t="n"/>
      <c r="I10" s="249" t="n"/>
      <c r="J10" s="249" t="n"/>
      <c r="K10" s="161" t="n"/>
    </row>
    <row r="11" ht="18" customHeight="1" s="1">
      <c r="B11" s="265" t="n"/>
      <c r="C11" s="259" t="inlineStr">
        <is>
          <t>Rent</t>
        </is>
      </c>
      <c r="D11" s="259" t="n"/>
      <c r="E11" s="259" t="n"/>
      <c r="F11" s="266" t="n">
        <v>3500</v>
      </c>
      <c r="G11" s="261" t="n"/>
      <c r="H11" s="249" t="n"/>
      <c r="I11" s="249" t="n"/>
      <c r="J11" s="249" t="n"/>
      <c r="K11" s="161" t="n"/>
    </row>
    <row r="12" ht="18" customHeight="1" s="1">
      <c r="B12" s="265" t="n"/>
      <c r="C12" s="259" t="inlineStr">
        <is>
          <t>After Expenses  &amp; Rent</t>
        </is>
      </c>
      <c r="D12" s="259" t="n"/>
      <c r="E12" s="259" t="n"/>
      <c r="F12" s="395">
        <f>F11-F10</f>
        <v/>
      </c>
      <c r="G12" s="261" t="n"/>
      <c r="H12" s="249" t="n"/>
      <c r="I12" s="249" t="n"/>
      <c r="J12" s="249" t="n"/>
      <c r="K12" s="161" t="n"/>
      <c r="M12" s="129" t="inlineStr">
        <is>
          <t xml:space="preserve"> </t>
        </is>
      </c>
    </row>
    <row r="13" ht="18.75" customHeight="1" s="1" thickBot="1">
      <c r="B13" s="268" t="n"/>
      <c r="C13" s="269" t="inlineStr">
        <is>
          <t xml:space="preserve"> </t>
        </is>
      </c>
      <c r="D13" s="269" t="n"/>
      <c r="E13" s="269" t="n"/>
      <c r="F13" s="270" t="inlineStr">
        <is>
          <t xml:space="preserve"> </t>
        </is>
      </c>
      <c r="G13" s="271" t="n"/>
      <c r="H13" s="249" t="n"/>
      <c r="I13" s="249" t="n"/>
      <c r="J13" s="249" t="n"/>
      <c r="K13" s="161" t="n"/>
      <c r="M13" s="129" t="inlineStr">
        <is>
          <t xml:space="preserve"> </t>
        </is>
      </c>
    </row>
    <row r="14" ht="18" customHeight="1" s="1">
      <c r="B14" s="97" t="n"/>
      <c r="C14" s="97" t="n"/>
      <c r="D14" s="97" t="n"/>
      <c r="E14" s="97" t="n"/>
      <c r="F14" s="248" t="n"/>
      <c r="G14" s="248" t="n"/>
      <c r="H14" s="249" t="n"/>
      <c r="I14" s="249" t="n"/>
      <c r="J14" s="249" t="n"/>
      <c r="K14" s="161" t="n"/>
      <c r="M14" s="250" t="inlineStr">
        <is>
          <t xml:space="preserve"> </t>
        </is>
      </c>
    </row>
    <row r="15" ht="15.75" customHeight="1" s="1">
      <c r="B15" s="97" t="n"/>
      <c r="C15" s="97" t="n"/>
      <c r="D15" s="97" t="n"/>
      <c r="E15" s="97" t="n"/>
      <c r="F15" s="248" t="n"/>
      <c r="G15" s="248" t="n"/>
      <c r="H15" s="248" t="n"/>
      <c r="I15" s="248" t="n"/>
      <c r="J15" s="248" t="n"/>
      <c r="K15" s="161" t="n"/>
    </row>
    <row r="16" ht="15.75" customHeight="1" s="1">
      <c r="B16" s="97" t="n"/>
      <c r="C16" s="97" t="n"/>
      <c r="D16" s="97" t="n"/>
      <c r="E16" s="97" t="n"/>
      <c r="F16" s="248" t="n"/>
      <c r="G16" s="248" t="n"/>
      <c r="H16" s="248" t="n"/>
      <c r="I16" s="248" t="n"/>
      <c r="J16" s="248" t="n"/>
      <c r="K16" s="161" t="n"/>
    </row>
    <row r="17" ht="15.75" customHeight="1" s="1">
      <c r="B17" s="97" t="n"/>
      <c r="C17" s="97" t="n"/>
      <c r="D17" s="97" t="n"/>
      <c r="E17" s="97" t="n"/>
      <c r="F17" s="248" t="n"/>
      <c r="G17" s="248" t="n"/>
      <c r="H17" s="248" t="n"/>
      <c r="I17" s="248" t="n"/>
      <c r="J17" s="248" t="n"/>
      <c r="K17" s="161" t="n"/>
    </row>
    <row r="18" ht="15.75" customHeight="1" s="1">
      <c r="B18" s="30" t="n"/>
      <c r="C18" s="30" t="n"/>
      <c r="D18" s="30" t="n"/>
      <c r="E18" s="30" t="n"/>
      <c r="F18" s="251" t="n"/>
      <c r="G18" s="251" t="n"/>
      <c r="H18" s="248" t="n"/>
      <c r="I18" s="248" t="n"/>
      <c r="J18" s="248" t="n"/>
      <c r="K18" s="161" t="n"/>
    </row>
    <row r="19" ht="15.75" customHeight="1" s="1">
      <c r="H19" s="251" t="n"/>
      <c r="I19" s="251" t="n"/>
      <c r="J19" s="251" t="n"/>
      <c r="P19" s="98" t="n"/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Candlewood Hotel Company</dc:creator>
  <dc:language xmlns:dc="http://purl.org/dc/elements/1.1/">en-US</dc:language>
  <dcterms:created xmlns:dcterms="http://purl.org/dc/terms/" xmlns:xsi="http://www.w3.org/2001/XMLSchema-instance" xsi:type="dcterms:W3CDTF">2001-04-11T23:59:41Z</dcterms:created>
  <dcterms:modified xmlns:dcterms="http://purl.org/dc/terms/" xmlns:xsi="http://www.w3.org/2001/XMLSchema-instance" xsi:type="dcterms:W3CDTF">2026-09-13T23:11:32Z</dcterms:modified>
  <cp:lastModifiedBy>Kate Burda</cp:lastModifiedBy>
  <cp:revision>0</cp:revision>
  <cp:lastPrinted>2025-12-13T19:49:47Z</cp:lastPrinted>
</cp:coreProperties>
</file>