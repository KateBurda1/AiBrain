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netorg703210-my.sharepoint.com/personal/kate_kateburda_com/Documents/Kate &amp; Co/Client Files/Lost/"/>
    </mc:Choice>
  </mc:AlternateContent>
  <xr:revisionPtr revIDLastSave="291" documentId="8_{55A3EF32-5258-1947-8713-90C447948EEA}" xr6:coauthVersionLast="47" xr6:coauthVersionMax="47" xr10:uidLastSave="{3EE1ED2A-4AB7-4940-9126-FB04875DD6E2}"/>
  <bookViews>
    <workbookView xWindow="56120" yWindow="500" windowWidth="46280" windowHeight="27100" tabRatio="500" xr2:uid="{00000000-000D-0000-FFFF-FFFF00000000}"/>
  </bookViews>
  <sheets>
    <sheet name="!st" sheetId="2" r:id="rId1"/>
    <sheet name="2nd" sheetId="3" r:id="rId2"/>
  </sheets>
  <definedNames>
    <definedName name="_xlnm.Print_Area" localSheetId="0">'!st'!$B$1:$I$45</definedName>
    <definedName name="_xlnm.Print_Area" localSheetId="1">'2nd'!$B$2:$K$50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3" i="2" l="1"/>
  <c r="I23" i="2" s="1"/>
  <c r="K23" i="2" s="1"/>
  <c r="G33" i="2"/>
  <c r="I33" i="2" s="1"/>
  <c r="K33" i="2" s="1"/>
  <c r="G41" i="2"/>
  <c r="I41" i="2" s="1"/>
  <c r="G12" i="2"/>
  <c r="I12" i="2" s="1"/>
  <c r="J25" i="3"/>
  <c r="E11" i="3"/>
  <c r="H11" i="3"/>
  <c r="J11" i="3"/>
  <c r="E25" i="3"/>
  <c r="E36" i="3"/>
  <c r="E37" i="3"/>
  <c r="J37" i="3"/>
  <c r="H33" i="3"/>
  <c r="J33" i="3"/>
  <c r="J46" i="3"/>
  <c r="E44" i="3"/>
  <c r="E45" i="3"/>
  <c r="J45" i="3"/>
  <c r="H41" i="3"/>
  <c r="J41" i="3"/>
  <c r="D31" i="2"/>
  <c r="D32" i="2" s="1"/>
  <c r="D39" i="2"/>
  <c r="D40" i="2" s="1"/>
  <c r="I40" i="2" s="1"/>
  <c r="D12" i="2"/>
  <c r="D23" i="2"/>
  <c r="I44" i="2" l="1"/>
  <c r="G53" i="2"/>
  <c r="H53" i="2" s="1"/>
  <c r="K12" i="2"/>
  <c r="K43" i="2" s="1"/>
  <c r="J38" i="3"/>
  <c r="J49" i="3"/>
</calcChain>
</file>

<file path=xl/sharedStrings.xml><?xml version="1.0" encoding="utf-8"?>
<sst xmlns="http://schemas.openxmlformats.org/spreadsheetml/2006/main" count="219" uniqueCount="63">
  <si>
    <t>Description</t>
  </si>
  <si>
    <t xml:space="preserve"> </t>
  </si>
  <si>
    <t xml:space="preserve"> Investment </t>
  </si>
  <si>
    <t>Days</t>
  </si>
  <si>
    <t>Measure &amp; Equip</t>
  </si>
  <si>
    <t>Hrs call w/ Prep</t>
  </si>
  <si>
    <t>Hours = Days</t>
  </si>
  <si>
    <t>Week(s)</t>
  </si>
  <si>
    <t>Development  &amp; Design of Measurement and Metrics</t>
  </si>
  <si>
    <t>Total Cost</t>
  </si>
  <si>
    <t>Months</t>
  </si>
  <si>
    <t>Per day charge</t>
  </si>
  <si>
    <t>Hotel</t>
  </si>
  <si>
    <t>Hrs of calls &amp; prep per hotel</t>
  </si>
  <si>
    <t>Diving in &amp; Discovery</t>
  </si>
  <si>
    <t>Enhance &amp; Elevate</t>
  </si>
  <si>
    <t>Coach &amp; Focus</t>
  </si>
  <si>
    <t>Benchmark &amp; Brag</t>
  </si>
  <si>
    <t>Building the Urban Experience</t>
  </si>
  <si>
    <t>Science</t>
  </si>
  <si>
    <t>Foundation</t>
  </si>
  <si>
    <t xml:space="preserve">Discovery and Development </t>
  </si>
  <si>
    <t>Alignment of  Strategy, Goals and Tactics (w / team)</t>
  </si>
  <si>
    <t>Customer (Sales and Revenue)</t>
  </si>
  <si>
    <t>Employee (Employee Relations / Coaching)</t>
  </si>
  <si>
    <t>Guest  (Customer Service)</t>
  </si>
  <si>
    <t>Delivery - Workshop (Install and Simulate)</t>
  </si>
  <si>
    <t>Framework, Coach &amp; Focus</t>
  </si>
  <si>
    <t xml:space="preserve">Framework  </t>
  </si>
  <si>
    <t>Tools and Resources help install and sustain new methodology</t>
  </si>
  <si>
    <t>Team Members</t>
  </si>
  <si>
    <t>Leaders &amp; Coaches</t>
  </si>
  <si>
    <t>Guest, Customer, and Employee (3 sessions = 5 days)</t>
  </si>
  <si>
    <t>Customer (Sales and Revenue)                        3 days</t>
  </si>
  <si>
    <t>Employee (Employee Relations / Coaching)    1 day</t>
  </si>
  <si>
    <t>Guest  (Customer Service)                                1 day</t>
  </si>
  <si>
    <t>Positioning the Hotel</t>
  </si>
  <si>
    <t>Discovery Market- Leverage Points</t>
  </si>
  <si>
    <t xml:space="preserve">2 months following 1:1 calls with Sales &amp; Operations </t>
  </si>
  <si>
    <t>Focus Calls (Cadence and Accountability)</t>
  </si>
  <si>
    <t>Coaching Leaders to Sustain Methodology &amp; Accountability</t>
  </si>
  <si>
    <t>Nashville- Holston House   -  New Orleans Eliza Jane</t>
  </si>
  <si>
    <t xml:space="preserve"> Deliverables</t>
  </si>
  <si>
    <t xml:space="preserve">  </t>
  </si>
  <si>
    <t xml:space="preserve">Project management, materials, </t>
  </si>
  <si>
    <t>Science &amp; Strategy</t>
  </si>
  <si>
    <t>Process &amp; Customer Enagement</t>
  </si>
  <si>
    <t>Segment goals, strategy, tactic development</t>
  </si>
  <si>
    <t xml:space="preserve"> Ignite</t>
  </si>
  <si>
    <t>Account Development plans of focus and identified accounts</t>
  </si>
  <si>
    <t>Ignite</t>
  </si>
  <si>
    <t>Negotiated Account program</t>
  </si>
  <si>
    <t>Art &amp; Talent Optimization</t>
  </si>
  <si>
    <t>Connect Sales Training</t>
  </si>
  <si>
    <t>Deployment</t>
  </si>
  <si>
    <t>Deployment Plan</t>
  </si>
  <si>
    <t>Framework: Tools and Reources</t>
  </si>
  <si>
    <t>Focus: Coaching Guide</t>
  </si>
  <si>
    <t>Practice Hospitality : Skill and Competency Program</t>
  </si>
  <si>
    <t>Practice Hospitality: On-Boarding Program</t>
  </si>
  <si>
    <t xml:space="preserve"> Onboarding </t>
  </si>
  <si>
    <t>Foundation:  Connect Sales Training Guide</t>
  </si>
  <si>
    <t>Estimated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</si>
</sst>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000000"/>
      <name val="Franklin Gothic Book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rgb="FFFFFFFF"/>
      <name val="Franklin Gothic Book"/>
      <family val="2"/>
    </font>
    <font>
      <sz val="16"/>
      <color theme="0" tint="-0.14999847407452621"/>
      <name val="Franklin Gothic Book"/>
      <family val="2"/>
    </font>
    <font>
      <b/>
      <i/>
      <u/>
      <sz val="16"/>
      <color rgb="FF000000"/>
      <name val="Franklin Gothic Book"/>
      <family val="2"/>
    </font>
    <font>
      <sz val="16"/>
      <color theme="1"/>
      <name val="Franklin Gothic Book"/>
      <family val="2"/>
    </font>
    <font>
      <i/>
      <u/>
      <sz val="16"/>
      <color rgb="FF000000"/>
      <name val="Franklin Gothic Book"/>
      <family val="2"/>
    </font>
    <font>
      <i/>
      <sz val="16"/>
      <color rgb="FFFFFFFF"/>
      <name val="Franklin Gothic Book"/>
      <family val="2"/>
    </font>
    <font>
      <sz val="16"/>
      <color theme="0"/>
      <name val="Franklin Gothic Book"/>
      <family val="2"/>
    </font>
    <font>
      <sz val="8"/>
      <name val="Calibri"/>
      <family val="2"/>
      <scheme val="minor"/>
    </font>
    <font>
      <u/>
      <sz val="16"/>
      <color theme="1"/>
      <name val="Franklin Gothic Book"/>
      <family val="2"/>
    </font>
    <font>
      <sz val="20"/>
      <color theme="0"/>
      <name val="Franklin Gothic Book"/>
      <family val="2"/>
    </font>
    <font>
      <sz val="18"/>
      <color theme="1"/>
      <name val="Franklin Gothic Book"/>
      <family val="2"/>
    </font>
    <font>
      <u/>
      <sz val="16"/>
      <color rgb="FF000000"/>
      <name val="Franklin Gothic Book"/>
      <family val="2"/>
    </font>
    <font>
      <b/>
      <i/>
      <u/>
      <sz val="16"/>
      <color theme="1"/>
      <name val="Franklin Gothic Book"/>
      <family val="2"/>
    </font>
    <font>
      <sz val="16"/>
      <color theme="4" tint="-0.499984740745262"/>
      <name val="Franklin Gothic Book"/>
      <family val="2"/>
    </font>
    <font>
      <sz val="12"/>
      <color theme="4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0004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C194D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5237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auto="1"/>
      </left>
      <right/>
      <top/>
      <bottom/>
      <diagonal/>
    </border>
  </borders>
  <cellStyleXfs count="18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6">
    <xf numFmtId="0" fontId="0" fillId="0" borderId="0" xfId="0"/>
    <xf numFmtId="0" fontId="2" fillId="2" borderId="0" xfId="0" applyFont="1" applyFill="1" applyAlignment="1">
      <alignment horizontal="left" wrapText="1" readingOrder="1"/>
    </xf>
    <xf numFmtId="0" fontId="0" fillId="0" borderId="0" xfId="0" applyFont="1"/>
    <xf numFmtId="0" fontId="5" fillId="2" borderId="3" xfId="0" applyFont="1" applyFill="1" applyBorder="1" applyAlignment="1">
      <alignment horizontal="center" wrapText="1" readingOrder="1"/>
    </xf>
    <xf numFmtId="0" fontId="6" fillId="2" borderId="3" xfId="0" applyFont="1" applyFill="1" applyBorder="1" applyAlignment="1">
      <alignment horizontal="center" wrapText="1" readingOrder="1"/>
    </xf>
    <xf numFmtId="0" fontId="6" fillId="2" borderId="4" xfId="0" applyFont="1" applyFill="1" applyBorder="1" applyAlignment="1">
      <alignment horizontal="center" wrapText="1" readingOrder="1"/>
    </xf>
    <xf numFmtId="0" fontId="8" fillId="2" borderId="5" xfId="0" applyFont="1" applyFill="1" applyBorder="1" applyAlignment="1">
      <alignment horizontal="center" wrapText="1" readingOrder="1"/>
    </xf>
    <xf numFmtId="6" fontId="8" fillId="2" borderId="6" xfId="0" applyNumberFormat="1" applyFont="1" applyFill="1" applyBorder="1" applyAlignment="1">
      <alignment horizontal="right" vertical="center" wrapText="1" readingOrder="1"/>
    </xf>
    <xf numFmtId="0" fontId="8" fillId="2" borderId="6" xfId="0" applyFont="1" applyFill="1" applyBorder="1" applyAlignment="1">
      <alignment horizontal="right" vertical="center" wrapText="1" readingOrder="1"/>
    </xf>
    <xf numFmtId="0" fontId="8" fillId="2" borderId="5" xfId="0" applyFont="1" applyFill="1" applyBorder="1" applyAlignment="1">
      <alignment horizontal="right" vertical="center" wrapText="1" readingOrder="1"/>
    </xf>
    <xf numFmtId="0" fontId="8" fillId="2" borderId="0" xfId="0" applyFont="1" applyFill="1" applyBorder="1" applyAlignment="1">
      <alignment horizontal="right" wrapText="1" readingOrder="1"/>
    </xf>
    <xf numFmtId="0" fontId="8" fillId="2" borderId="0" xfId="0" applyFont="1" applyFill="1" applyAlignment="1">
      <alignment horizontal="right" wrapText="1" readingOrder="1"/>
    </xf>
    <xf numFmtId="0" fontId="2" fillId="2" borderId="3" xfId="0" applyFont="1" applyFill="1" applyBorder="1" applyAlignment="1">
      <alignment horizontal="left" wrapText="1" readingOrder="1"/>
    </xf>
    <xf numFmtId="0" fontId="6" fillId="2" borderId="0" xfId="0" applyFont="1" applyFill="1" applyAlignment="1">
      <alignment horizontal="left" wrapText="1" readingOrder="1"/>
    </xf>
    <xf numFmtId="0" fontId="10" fillId="3" borderId="0" xfId="0" applyFont="1" applyFill="1" applyAlignment="1">
      <alignment horizontal="left" vertical="center" wrapText="1" readingOrder="1"/>
    </xf>
    <xf numFmtId="0" fontId="8" fillId="3" borderId="0" xfId="0" applyFont="1" applyFill="1" applyAlignment="1">
      <alignment horizontal="left" wrapText="1" readingOrder="1"/>
    </xf>
    <xf numFmtId="6" fontId="11" fillId="3" borderId="0" xfId="0" applyNumberFormat="1" applyFont="1" applyFill="1" applyAlignment="1">
      <alignment horizontal="right" wrapText="1" readingOrder="1"/>
    </xf>
    <xf numFmtId="0" fontId="8" fillId="2" borderId="3" xfId="0" applyFont="1" applyFill="1" applyBorder="1" applyAlignment="1">
      <alignment horizontal="center" wrapText="1" readingOrder="1"/>
    </xf>
    <xf numFmtId="0" fontId="2" fillId="2" borderId="0" xfId="0" applyFont="1" applyFill="1" applyBorder="1" applyAlignment="1">
      <alignment horizontal="left" vertical="center" wrapText="1" indent="2" readingOrder="1"/>
    </xf>
    <xf numFmtId="164" fontId="13" fillId="2" borderId="7" xfId="1" applyNumberFormat="1" applyFont="1" applyFill="1" applyBorder="1" applyAlignment="1">
      <alignment horizontal="right" vertical="center" wrapText="1" readingOrder="1"/>
    </xf>
    <xf numFmtId="164" fontId="13" fillId="2" borderId="6" xfId="0" applyNumberFormat="1" applyFont="1" applyFill="1" applyBorder="1" applyAlignment="1">
      <alignment horizontal="right" vertical="center" wrapText="1" readingOrder="1"/>
    </xf>
    <xf numFmtId="0" fontId="8" fillId="4" borderId="0" xfId="0" applyFont="1" applyFill="1" applyAlignment="1">
      <alignment horizontal="left" wrapText="1" indent="2"/>
    </xf>
    <xf numFmtId="0" fontId="7" fillId="2" borderId="0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2" fillId="2" borderId="0" xfId="0" applyFont="1" applyFill="1" applyBorder="1" applyAlignment="1">
      <alignment horizontal="left" vertical="center" wrapText="1" indent="3" readingOrder="1"/>
    </xf>
    <xf numFmtId="0" fontId="7" fillId="2" borderId="0" xfId="0" applyFont="1" applyFill="1" applyBorder="1" applyAlignment="1">
      <alignment horizontal="left" wrapText="1" readingOrder="1"/>
    </xf>
    <xf numFmtId="0" fontId="9" fillId="2" borderId="0" xfId="0" applyFont="1" applyFill="1" applyBorder="1" applyAlignment="1">
      <alignment horizontal="left" vertical="center" wrapText="1" indent="1" readingOrder="1"/>
    </xf>
    <xf numFmtId="0" fontId="11" fillId="5" borderId="1" xfId="0" applyFont="1" applyFill="1" applyBorder="1" applyAlignment="1">
      <alignment horizontal="center" wrapText="1" readingOrder="1"/>
    </xf>
    <xf numFmtId="0" fontId="11" fillId="5" borderId="2" xfId="0" applyFont="1" applyFill="1" applyBorder="1" applyAlignment="1">
      <alignment horizontal="center" wrapText="1" readingOrder="1"/>
    </xf>
    <xf numFmtId="0" fontId="8" fillId="2" borderId="10" xfId="0" applyFont="1" applyFill="1" applyBorder="1" applyAlignment="1">
      <alignment horizontal="right" vertical="center" wrapText="1" readingOrder="1"/>
    </xf>
    <xf numFmtId="0" fontId="8" fillId="2" borderId="11" xfId="0" applyFont="1" applyFill="1" applyBorder="1" applyAlignment="1">
      <alignment horizontal="right" wrapText="1" readingOrder="1"/>
    </xf>
    <xf numFmtId="0" fontId="2" fillId="2" borderId="0" xfId="0" applyFont="1" applyFill="1" applyBorder="1" applyAlignment="1">
      <alignment horizontal="left" wrapText="1" readingOrder="1"/>
    </xf>
    <xf numFmtId="0" fontId="8" fillId="2" borderId="10" xfId="0" applyFont="1" applyFill="1" applyBorder="1" applyAlignment="1">
      <alignment horizontal="right" wrapText="1" readingOrder="1"/>
    </xf>
    <xf numFmtId="164" fontId="8" fillId="2" borderId="13" xfId="1" applyNumberFormat="1" applyFont="1" applyFill="1" applyBorder="1" applyAlignment="1">
      <alignment horizontal="right" wrapText="1" readingOrder="1"/>
    </xf>
    <xf numFmtId="0" fontId="7" fillId="2" borderId="9" xfId="0" applyFont="1" applyFill="1" applyBorder="1" applyAlignment="1">
      <alignment horizontal="left" wrapText="1" indent="1" readingOrder="1"/>
    </xf>
    <xf numFmtId="0" fontId="2" fillId="2" borderId="12" xfId="0" applyFont="1" applyFill="1" applyBorder="1" applyAlignment="1">
      <alignment horizontal="left" wrapText="1" indent="2" readingOrder="1"/>
    </xf>
    <xf numFmtId="0" fontId="7" fillId="2" borderId="9" xfId="0" applyFont="1" applyFill="1" applyBorder="1" applyAlignment="1">
      <alignment horizontal="left" vertical="center" wrapText="1" readingOrder="1"/>
    </xf>
    <xf numFmtId="0" fontId="2" fillId="2" borderId="0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left" wrapText="1" readingOrder="1"/>
    </xf>
    <xf numFmtId="0" fontId="8" fillId="5" borderId="1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0" fontId="8" fillId="2" borderId="6" xfId="0" applyFont="1" applyFill="1" applyBorder="1" applyAlignment="1">
      <alignment horizontal="center" wrapText="1" readingOrder="1"/>
    </xf>
    <xf numFmtId="0" fontId="17" fillId="4" borderId="0" xfId="0" applyFont="1" applyFill="1" applyAlignment="1">
      <alignment horizontal="left"/>
    </xf>
    <xf numFmtId="0" fontId="2" fillId="2" borderId="0" xfId="0" applyFont="1" applyFill="1" applyBorder="1" applyAlignment="1">
      <alignment horizontal="left" vertical="center" wrapText="1" indent="4" readingOrder="1"/>
    </xf>
    <xf numFmtId="0" fontId="2" fillId="2" borderId="0" xfId="0" applyFont="1" applyFill="1" applyBorder="1" applyAlignment="1">
      <alignment horizontal="left" vertical="center" wrapText="1" indent="6" readingOrder="1"/>
    </xf>
    <xf numFmtId="0" fontId="2" fillId="2" borderId="0" xfId="0" applyFont="1" applyFill="1" applyBorder="1" applyAlignment="1">
      <alignment horizontal="left" vertical="center" wrapText="1" indent="12" readingOrder="1"/>
    </xf>
    <xf numFmtId="0" fontId="2" fillId="2" borderId="0" xfId="0" applyFont="1" applyFill="1" applyBorder="1" applyAlignment="1">
      <alignment horizontal="left" wrapText="1" indent="4" readingOrder="1"/>
    </xf>
    <xf numFmtId="0" fontId="2" fillId="6" borderId="18" xfId="0" applyFont="1" applyFill="1" applyBorder="1" applyAlignment="1">
      <alignment horizontal="left" wrapText="1" indent="1" readingOrder="1"/>
    </xf>
    <xf numFmtId="6" fontId="2" fillId="6" borderId="18" xfId="0" applyNumberFormat="1" applyFont="1" applyFill="1" applyBorder="1" applyAlignment="1">
      <alignment horizontal="right" wrapText="1" readingOrder="1"/>
    </xf>
    <xf numFmtId="0" fontId="2" fillId="6" borderId="18" xfId="0" applyFont="1" applyFill="1" applyBorder="1" applyAlignment="1">
      <alignment horizontal="right" wrapText="1" readingOrder="1"/>
    </xf>
    <xf numFmtId="164" fontId="16" fillId="6" borderId="20" xfId="0" applyNumberFormat="1" applyFont="1" applyFill="1" applyBorder="1" applyAlignment="1">
      <alignment horizontal="right" wrapText="1" readingOrder="1"/>
    </xf>
    <xf numFmtId="0" fontId="2" fillId="2" borderId="21" xfId="0" applyFont="1" applyFill="1" applyBorder="1" applyAlignment="1">
      <alignment vertical="top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6" fillId="2" borderId="0" xfId="0" applyFont="1" applyFill="1" applyBorder="1" applyAlignment="1">
      <alignment horizontal="center" wrapText="1" readingOrder="1"/>
    </xf>
    <xf numFmtId="0" fontId="6" fillId="2" borderId="0" xfId="0" applyFont="1" applyFill="1" applyBorder="1" applyAlignment="1">
      <alignment horizontal="center" vertical="center" wrapText="1" readingOrder="1"/>
    </xf>
    <xf numFmtId="0" fontId="6" fillId="2" borderId="0" xfId="0" applyFont="1" applyFill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2" borderId="0" xfId="0" applyFont="1" applyFill="1" applyBorder="1" applyAlignment="1">
      <alignment horizontal="left" vertical="center" wrapText="1" readingOrder="1"/>
    </xf>
    <xf numFmtId="0" fontId="6" fillId="6" borderId="0" xfId="0" applyFont="1" applyFill="1" applyAlignment="1">
      <alignment horizontal="center" vertical="center" wrapText="1" readingOrder="1"/>
    </xf>
    <xf numFmtId="0" fontId="6" fillId="6" borderId="0" xfId="0" applyFont="1" applyFill="1" applyAlignment="1">
      <alignment horizontal="left" vertical="center" wrapText="1" indent="1" readingOrder="1"/>
    </xf>
    <xf numFmtId="0" fontId="6" fillId="6" borderId="0" xfId="0" applyFont="1" applyFill="1" applyAlignment="1">
      <alignment horizontal="left" vertical="center" wrapText="1" readingOrder="1"/>
    </xf>
    <xf numFmtId="0" fontId="6" fillId="6" borderId="19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6" fillId="2" borderId="0" xfId="0" applyFont="1" applyFill="1" applyBorder="1" applyAlignment="1">
      <alignment horizontal="left" wrapText="1" readingOrder="1"/>
    </xf>
    <xf numFmtId="0" fontId="6" fillId="2" borderId="0" xfId="0" applyFont="1" applyFill="1" applyAlignment="1">
      <alignment horizontal="center" wrapText="1" readingOrder="1"/>
    </xf>
    <xf numFmtId="0" fontId="6" fillId="6" borderId="18" xfId="0" applyFont="1" applyFill="1" applyBorder="1" applyAlignment="1">
      <alignment horizontal="right" wrapText="1" readingOrder="1"/>
    </xf>
    <xf numFmtId="0" fontId="18" fillId="2" borderId="3" xfId="0" applyFont="1" applyFill="1" applyBorder="1" applyAlignment="1">
      <alignment horizontal="center" wrapText="1" readingOrder="1"/>
    </xf>
    <xf numFmtId="0" fontId="18" fillId="2" borderId="4" xfId="0" applyFont="1" applyFill="1" applyBorder="1" applyAlignment="1">
      <alignment horizontal="center" vertical="center" wrapText="1" readingOrder="1"/>
    </xf>
    <xf numFmtId="0" fontId="18" fillId="2" borderId="4" xfId="0" applyFont="1" applyFill="1" applyBorder="1" applyAlignment="1">
      <alignment horizontal="center" wrapText="1" readingOrder="1"/>
    </xf>
    <xf numFmtId="0" fontId="18" fillId="2" borderId="0" xfId="0" applyFont="1" applyFill="1" applyBorder="1" applyAlignment="1">
      <alignment horizontal="center" vertical="center" wrapText="1" readingOrder="1"/>
    </xf>
    <xf numFmtId="0" fontId="18" fillId="2" borderId="0" xfId="0" applyFont="1" applyFill="1" applyBorder="1" applyAlignment="1">
      <alignment horizontal="center" wrapText="1" readingOrder="1"/>
    </xf>
    <xf numFmtId="0" fontId="18" fillId="2" borderId="0" xfId="0" applyFont="1" applyFill="1" applyAlignment="1">
      <alignment horizontal="center" vertical="center" wrapText="1" readingOrder="1"/>
    </xf>
    <xf numFmtId="0" fontId="18" fillId="2" borderId="3" xfId="0" applyFont="1" applyFill="1" applyBorder="1" applyAlignment="1">
      <alignment horizontal="center" vertical="center" wrapText="1" readingOrder="1"/>
    </xf>
    <xf numFmtId="0" fontId="18" fillId="2" borderId="9" xfId="0" applyFont="1" applyFill="1" applyBorder="1" applyAlignment="1">
      <alignment horizontal="center" vertical="center" wrapText="1" readingOrder="1"/>
    </xf>
    <xf numFmtId="0" fontId="18" fillId="6" borderId="0" xfId="0" applyFont="1" applyFill="1" applyAlignment="1">
      <alignment horizontal="left" vertical="center" wrapText="1" indent="1" readingOrder="1"/>
    </xf>
    <xf numFmtId="0" fontId="18" fillId="6" borderId="0" xfId="0" applyFont="1" applyFill="1" applyAlignment="1">
      <alignment horizontal="center" vertical="center" wrapText="1" readingOrder="1"/>
    </xf>
    <xf numFmtId="0" fontId="18" fillId="6" borderId="19" xfId="0" applyFont="1" applyFill="1" applyBorder="1" applyAlignment="1">
      <alignment horizontal="center" vertical="center" wrapText="1" readingOrder="1"/>
    </xf>
    <xf numFmtId="0" fontId="18" fillId="2" borderId="12" xfId="0" applyFont="1" applyFill="1" applyBorder="1" applyAlignment="1">
      <alignment horizontal="center" vertical="center" wrapText="1" readingOrder="1"/>
    </xf>
    <xf numFmtId="0" fontId="18" fillId="2" borderId="0" xfId="0" applyFont="1" applyFill="1" applyBorder="1" applyAlignment="1">
      <alignment horizontal="left" wrapText="1" readingOrder="1"/>
    </xf>
    <xf numFmtId="0" fontId="18" fillId="2" borderId="0" xfId="0" applyFont="1" applyFill="1" applyAlignment="1">
      <alignment horizontal="left" wrapText="1" readingOrder="1"/>
    </xf>
    <xf numFmtId="0" fontId="19" fillId="0" borderId="0" xfId="0" applyFont="1"/>
    <xf numFmtId="0" fontId="8" fillId="4" borderId="0" xfId="0" applyFont="1" applyFill="1" applyAlignment="1">
      <alignment horizontal="left" indent="2"/>
    </xf>
    <xf numFmtId="165" fontId="0" fillId="0" borderId="0" xfId="0" applyNumberFormat="1"/>
    <xf numFmtId="0" fontId="0" fillId="0" borderId="0" xfId="0" applyNumberFormat="1"/>
    <xf numFmtId="0" fontId="2" fillId="2" borderId="4" xfId="0" applyFont="1" applyFill="1" applyBorder="1" applyAlignment="1">
      <alignment horizontal="left" vertical="center" wrapText="1" readingOrder="1"/>
    </xf>
    <xf numFmtId="0" fontId="2" fillId="2" borderId="9" xfId="0" applyFont="1" applyFill="1" applyBorder="1" applyAlignment="1">
      <alignment horizontal="left" wrapText="1" indent="1" readingOrder="1"/>
    </xf>
    <xf numFmtId="164" fontId="8" fillId="2" borderId="0" xfId="0" applyNumberFormat="1" applyFont="1" applyFill="1" applyBorder="1" applyAlignment="1">
      <alignment horizontal="right" wrapText="1" readingOrder="1"/>
    </xf>
    <xf numFmtId="0" fontId="11" fillId="7" borderId="1" xfId="0" applyFont="1" applyFill="1" applyBorder="1" applyAlignment="1">
      <alignment horizontal="center" wrapText="1" readingOrder="1"/>
    </xf>
    <xf numFmtId="0" fontId="8" fillId="7" borderId="1" xfId="0" applyFont="1" applyFill="1" applyBorder="1" applyAlignment="1">
      <alignment horizontal="center" wrapText="1" readingOrder="1"/>
    </xf>
    <xf numFmtId="0" fontId="11" fillId="7" borderId="2" xfId="0" applyFont="1" applyFill="1" applyBorder="1" applyAlignment="1">
      <alignment horizontal="center" wrapText="1" readingOrder="1"/>
    </xf>
    <xf numFmtId="0" fontId="10" fillId="7" borderId="0" xfId="0" applyFont="1" applyFill="1" applyAlignment="1">
      <alignment horizontal="left" vertical="center" wrapText="1" readingOrder="1"/>
    </xf>
    <xf numFmtId="0" fontId="8" fillId="7" borderId="0" xfId="0" applyFont="1" applyFill="1" applyAlignment="1">
      <alignment horizontal="left" wrapText="1" readingOrder="1"/>
    </xf>
    <xf numFmtId="0" fontId="18" fillId="7" borderId="0" xfId="0" applyFont="1" applyFill="1" applyAlignment="1">
      <alignment horizontal="left" wrapText="1" readingOrder="1"/>
    </xf>
    <xf numFmtId="6" fontId="11" fillId="7" borderId="0" xfId="0" applyNumberFormat="1" applyFont="1" applyFill="1" applyAlignment="1">
      <alignment horizontal="right" wrapText="1" readingOrder="1"/>
    </xf>
    <xf numFmtId="0" fontId="8" fillId="2" borderId="4" xfId="0" applyFont="1" applyFill="1" applyBorder="1" applyAlignment="1">
      <alignment horizontal="center" wrapText="1" readingOrder="1"/>
    </xf>
    <xf numFmtId="0" fontId="8" fillId="2" borderId="0" xfId="0" applyFont="1" applyFill="1" applyBorder="1" applyAlignment="1">
      <alignment horizontal="center" wrapText="1" readingOrder="1"/>
    </xf>
    <xf numFmtId="6" fontId="8" fillId="2" borderId="0" xfId="0" applyNumberFormat="1" applyFont="1" applyFill="1" applyBorder="1" applyAlignment="1">
      <alignment horizontal="right" vertical="center" wrapText="1" readingOrder="1"/>
    </xf>
    <xf numFmtId="0" fontId="8" fillId="2" borderId="0" xfId="0" applyFont="1" applyFill="1" applyBorder="1" applyAlignment="1">
      <alignment horizontal="right" vertical="center" wrapText="1" readingOrder="1"/>
    </xf>
    <xf numFmtId="164" fontId="13" fillId="2" borderId="3" xfId="1" applyNumberFormat="1" applyFont="1" applyFill="1" applyBorder="1" applyAlignment="1">
      <alignment horizontal="right" vertical="center" wrapText="1" readingOrder="1"/>
    </xf>
    <xf numFmtId="0" fontId="8" fillId="2" borderId="4" xfId="0" applyFont="1" applyFill="1" applyBorder="1" applyAlignment="1">
      <alignment horizontal="right" vertical="center" wrapText="1" readingOrder="1"/>
    </xf>
    <xf numFmtId="0" fontId="6" fillId="2" borderId="0" xfId="0" applyFont="1" applyFill="1" applyBorder="1" applyAlignment="1">
      <alignment horizontal="right" vertical="center" wrapText="1" readingOrder="1"/>
    </xf>
    <xf numFmtId="164" fontId="13" fillId="2" borderId="0" xfId="0" applyNumberFormat="1" applyFont="1" applyFill="1" applyBorder="1" applyAlignment="1">
      <alignment horizontal="right" vertical="center" wrapText="1" readingOrder="1"/>
    </xf>
    <xf numFmtId="0" fontId="8" fillId="2" borderId="9" xfId="0" applyFont="1" applyFill="1" applyBorder="1" applyAlignment="1">
      <alignment horizontal="right" vertical="center" wrapText="1" readingOrder="1"/>
    </xf>
    <xf numFmtId="6" fontId="6" fillId="6" borderId="0" xfId="0" applyNumberFormat="1" applyFont="1" applyFill="1" applyBorder="1" applyAlignment="1">
      <alignment horizontal="right" wrapText="1" readingOrder="1"/>
    </xf>
    <xf numFmtId="0" fontId="6" fillId="6" borderId="0" xfId="0" applyFont="1" applyFill="1" applyBorder="1" applyAlignment="1">
      <alignment horizontal="right" wrapText="1" readingOrder="1"/>
    </xf>
    <xf numFmtId="164" fontId="16" fillId="6" borderId="19" xfId="0" applyNumberFormat="1" applyFont="1" applyFill="1" applyBorder="1" applyAlignment="1">
      <alignment horizontal="right" wrapText="1" readingOrder="1"/>
    </xf>
    <xf numFmtId="0" fontId="15" fillId="0" borderId="15" xfId="0" applyFont="1" applyBorder="1" applyAlignment="1">
      <alignment horizontal="center" vertical="center" textRotation="90" wrapText="1"/>
    </xf>
    <xf numFmtId="0" fontId="15" fillId="0" borderId="16" xfId="0" applyFont="1" applyBorder="1" applyAlignment="1">
      <alignment horizontal="center" vertical="center" textRotation="90" wrapText="1"/>
    </xf>
    <xf numFmtId="0" fontId="15" fillId="0" borderId="17" xfId="0" applyFont="1" applyBorder="1" applyAlignment="1">
      <alignment horizontal="center" vertical="center" textRotation="90" wrapText="1"/>
    </xf>
    <xf numFmtId="0" fontId="14" fillId="7" borderId="8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wrapText="1" readingOrder="1"/>
    </xf>
    <xf numFmtId="0" fontId="15" fillId="0" borderId="14" xfId="0" applyFont="1" applyBorder="1" applyAlignment="1">
      <alignment horizontal="center" vertical="center" textRotation="90" wrapText="1"/>
    </xf>
    <xf numFmtId="0" fontId="14" fillId="5" borderId="8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wrapText="1" readingOrder="1"/>
    </xf>
    <xf numFmtId="0" fontId="8" fillId="2" borderId="4" xfId="0" applyFont="1" applyFill="1" applyBorder="1" applyAlignment="1">
      <alignment horizontal="center" vertical="center" wrapText="1" readingOrder="1"/>
    </xf>
    <xf numFmtId="0" fontId="8" fillId="2" borderId="0" xfId="0" applyFont="1" applyFill="1" applyBorder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 wrapText="1" readingOrder="1"/>
    </xf>
    <xf numFmtId="0" fontId="8" fillId="2" borderId="9" xfId="0" applyFont="1" applyFill="1" applyBorder="1" applyAlignment="1">
      <alignment horizontal="center" vertical="center" wrapText="1" readingOrder="1"/>
    </xf>
    <xf numFmtId="0" fontId="8" fillId="6" borderId="0" xfId="0" applyFont="1" applyFill="1" applyAlignment="1">
      <alignment horizontal="center" vertical="center" wrapText="1" readingOrder="1"/>
    </xf>
    <xf numFmtId="0" fontId="8" fillId="6" borderId="19" xfId="0" applyFont="1" applyFill="1" applyBorder="1" applyAlignment="1">
      <alignment horizontal="center" vertical="center" wrapText="1" readingOrder="1"/>
    </xf>
    <xf numFmtId="0" fontId="8" fillId="6" borderId="0" xfId="0" applyFont="1" applyFill="1" applyAlignment="1">
      <alignment horizontal="left" vertical="center" wrapText="1" indent="1" readingOrder="1"/>
    </xf>
    <xf numFmtId="0" fontId="8" fillId="2" borderId="12" xfId="0" applyFont="1" applyFill="1" applyBorder="1" applyAlignment="1">
      <alignment horizontal="center" vertical="center" wrapText="1" readingOrder="1"/>
    </xf>
    <xf numFmtId="0" fontId="8" fillId="2" borderId="0" xfId="0" applyFont="1" applyFill="1" applyBorder="1" applyAlignment="1">
      <alignment horizontal="left" wrapText="1" readingOrder="1"/>
    </xf>
    <xf numFmtId="0" fontId="8" fillId="2" borderId="0" xfId="0" applyFont="1" applyFill="1" applyAlignment="1">
      <alignment horizontal="left" wrapText="1" readingOrder="1"/>
    </xf>
  </cellXfs>
  <cellStyles count="18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</cellStyles>
  <dxfs count="0"/>
  <tableStyles count="0" defaultTableStyle="TableStyleMedium9" defaultPivotStyle="PivotStyleMedium7"/>
  <colors>
    <mruColors>
      <color rgb="FFB52372"/>
      <color rgb="FF9C194D"/>
      <color rgb="FF943C4F"/>
      <color rgb="FF9424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99"/>
  <sheetViews>
    <sheetView showGridLines="0" tabSelected="1" zoomScaleNormal="100" zoomScalePageLayoutView="90" workbookViewId="0">
      <selection activeCell="B2" sqref="B2:I44"/>
    </sheetView>
  </sheetViews>
  <sheetFormatPr baseColWidth="10" defaultRowHeight="16" x14ac:dyDescent="0.2"/>
  <cols>
    <col min="3" max="3" width="76.5" bestFit="1" customWidth="1"/>
    <col min="4" max="4" width="13.33203125" style="2" customWidth="1"/>
    <col min="5" max="5" width="21.83203125" style="2" customWidth="1"/>
    <col min="6" max="6" width="12.1640625" style="2" customWidth="1"/>
    <col min="7" max="8" width="13.33203125" style="2" customWidth="1"/>
    <col min="9" max="9" width="24.1640625" customWidth="1"/>
  </cols>
  <sheetData>
    <row r="2" spans="2:12" ht="25" x14ac:dyDescent="0.25">
      <c r="C2" s="110" t="s">
        <v>1</v>
      </c>
      <c r="D2" s="110"/>
      <c r="E2" s="110"/>
      <c r="F2" s="110"/>
      <c r="G2" s="110"/>
      <c r="H2" s="110"/>
      <c r="I2" s="110"/>
    </row>
    <row r="3" spans="2:12" ht="21" x14ac:dyDescent="0.2">
      <c r="C3" s="88" t="s">
        <v>0</v>
      </c>
      <c r="D3" s="111" t="s">
        <v>1</v>
      </c>
      <c r="E3" s="111"/>
      <c r="F3" s="111"/>
      <c r="G3" s="88"/>
      <c r="H3" s="89"/>
      <c r="I3" s="90" t="s">
        <v>2</v>
      </c>
    </row>
    <row r="4" spans="2:12" ht="42" x14ac:dyDescent="0.2">
      <c r="C4" s="3"/>
      <c r="D4" s="4" t="s">
        <v>1</v>
      </c>
      <c r="E4" s="4"/>
      <c r="F4" s="67" t="s">
        <v>1</v>
      </c>
      <c r="G4" s="67" t="s">
        <v>62</v>
      </c>
      <c r="H4" s="67"/>
      <c r="I4" s="17" t="s">
        <v>1</v>
      </c>
    </row>
    <row r="5" spans="2:12" ht="21" x14ac:dyDescent="0.2">
      <c r="B5" s="112" t="s">
        <v>45</v>
      </c>
      <c r="C5" s="37" t="s">
        <v>1</v>
      </c>
      <c r="D5" s="5" t="s">
        <v>3</v>
      </c>
      <c r="E5" s="5"/>
      <c r="F5" s="115"/>
      <c r="G5" s="95"/>
      <c r="H5" s="69"/>
      <c r="I5" s="95"/>
    </row>
    <row r="6" spans="2:12" ht="21" x14ac:dyDescent="0.2">
      <c r="B6" s="112"/>
      <c r="C6" s="18" t="s">
        <v>47</v>
      </c>
      <c r="D6" s="53">
        <v>2</v>
      </c>
      <c r="E6" s="53"/>
      <c r="F6" s="116"/>
      <c r="G6" s="53">
        <v>44</v>
      </c>
      <c r="H6" s="71"/>
      <c r="I6" s="96"/>
    </row>
    <row r="7" spans="2:12" ht="21" x14ac:dyDescent="0.2">
      <c r="B7" s="112"/>
      <c r="C7" s="21" t="s">
        <v>1</v>
      </c>
      <c r="D7" s="53"/>
      <c r="E7" s="53"/>
      <c r="F7" s="116"/>
      <c r="G7" s="53"/>
      <c r="H7" s="71"/>
      <c r="I7" s="96"/>
    </row>
    <row r="8" spans="2:12" ht="20" x14ac:dyDescent="0.2">
      <c r="B8" s="112"/>
      <c r="C8" s="42" t="s">
        <v>42</v>
      </c>
      <c r="D8" s="53"/>
      <c r="E8" s="53"/>
      <c r="F8" s="116"/>
      <c r="G8" s="53"/>
      <c r="H8" s="71"/>
      <c r="I8" s="96"/>
      <c r="L8">
        <v>0.72</v>
      </c>
    </row>
    <row r="9" spans="2:12" ht="21" x14ac:dyDescent="0.2">
      <c r="B9" s="112"/>
      <c r="C9" s="18" t="s">
        <v>48</v>
      </c>
      <c r="D9" s="55">
        <v>1</v>
      </c>
      <c r="E9" s="55" t="s">
        <v>1</v>
      </c>
      <c r="F9" s="117"/>
      <c r="G9" s="55">
        <v>4</v>
      </c>
      <c r="H9" s="72"/>
      <c r="I9" s="97" t="s">
        <v>1</v>
      </c>
    </row>
    <row r="10" spans="2:12" ht="21" x14ac:dyDescent="0.2">
      <c r="B10" s="112"/>
      <c r="C10" s="82" t="s">
        <v>1</v>
      </c>
      <c r="D10" s="55" t="s">
        <v>1</v>
      </c>
      <c r="E10" s="55" t="s">
        <v>1</v>
      </c>
      <c r="F10" s="117"/>
      <c r="G10" s="55" t="s">
        <v>1</v>
      </c>
      <c r="H10" s="72"/>
      <c r="I10" s="97"/>
    </row>
    <row r="11" spans="2:12" ht="21" x14ac:dyDescent="0.2">
      <c r="B11" s="112"/>
      <c r="C11" s="82" t="s">
        <v>1</v>
      </c>
      <c r="D11" s="55">
        <v>2</v>
      </c>
      <c r="E11" s="55" t="s">
        <v>1</v>
      </c>
      <c r="F11" s="117" t="s">
        <v>1</v>
      </c>
      <c r="G11" s="117" t="s">
        <v>1</v>
      </c>
      <c r="H11" s="72"/>
      <c r="I11" s="98" t="s">
        <v>1</v>
      </c>
    </row>
    <row r="12" spans="2:12" ht="21" x14ac:dyDescent="0.2">
      <c r="B12" s="112"/>
      <c r="C12" s="12" t="s">
        <v>1</v>
      </c>
      <c r="D12" s="56">
        <f>SUM(D6:D11)</f>
        <v>5</v>
      </c>
      <c r="E12" s="56"/>
      <c r="F12" s="118" t="s">
        <v>1</v>
      </c>
      <c r="G12" s="118">
        <f>SUM(G6:G11)</f>
        <v>48</v>
      </c>
      <c r="H12" s="73"/>
      <c r="I12" s="99">
        <f>(G12*F43)</f>
        <v>7200</v>
      </c>
      <c r="K12" s="83">
        <f>I12*L8</f>
        <v>5184</v>
      </c>
    </row>
    <row r="13" spans="2:12" ht="21" x14ac:dyDescent="0.2">
      <c r="B13" s="107" t="s">
        <v>46</v>
      </c>
      <c r="C13" s="85" t="s">
        <v>1</v>
      </c>
      <c r="D13" s="52" t="s">
        <v>1</v>
      </c>
      <c r="E13" s="52"/>
      <c r="F13" s="115"/>
      <c r="G13" s="115"/>
      <c r="H13" s="68"/>
      <c r="I13" s="100"/>
    </row>
    <row r="14" spans="2:12" ht="21" x14ac:dyDescent="0.2">
      <c r="B14" s="108"/>
      <c r="C14" s="18" t="s">
        <v>49</v>
      </c>
      <c r="D14" s="54"/>
      <c r="E14" s="54"/>
      <c r="F14" s="116"/>
      <c r="G14" s="54">
        <v>20</v>
      </c>
      <c r="H14" s="70"/>
      <c r="I14" s="98"/>
    </row>
    <row r="15" spans="2:12" ht="21" x14ac:dyDescent="0.2">
      <c r="B15" s="108"/>
      <c r="C15" s="18" t="s">
        <v>51</v>
      </c>
      <c r="D15" s="54"/>
      <c r="E15" s="54"/>
      <c r="F15" s="116"/>
      <c r="G15" s="54">
        <v>4</v>
      </c>
      <c r="H15" s="70"/>
      <c r="I15" s="98"/>
    </row>
    <row r="16" spans="2:12" ht="21" x14ac:dyDescent="0.2">
      <c r="B16" s="108"/>
      <c r="C16" s="18" t="s">
        <v>53</v>
      </c>
      <c r="D16" s="54">
        <v>1</v>
      </c>
      <c r="E16" s="54" t="s">
        <v>1</v>
      </c>
      <c r="F16" s="116"/>
      <c r="G16" s="54">
        <v>10</v>
      </c>
      <c r="H16" s="70"/>
      <c r="I16" s="97" t="s">
        <v>1</v>
      </c>
    </row>
    <row r="17" spans="1:11" ht="21" x14ac:dyDescent="0.2">
      <c r="B17" s="108"/>
      <c r="C17" s="18" t="s">
        <v>1</v>
      </c>
      <c r="D17" s="54"/>
      <c r="E17" s="54"/>
      <c r="F17" s="116"/>
      <c r="G17" s="54" t="s">
        <v>1</v>
      </c>
      <c r="H17" s="70"/>
      <c r="I17" s="101"/>
    </row>
    <row r="18" spans="1:11" ht="21" x14ac:dyDescent="0.2">
      <c r="B18" s="108"/>
      <c r="C18" s="42" t="s">
        <v>42</v>
      </c>
      <c r="D18" s="54">
        <v>5</v>
      </c>
      <c r="E18" s="54">
        <v>1</v>
      </c>
      <c r="F18" s="116"/>
      <c r="G18" s="54"/>
      <c r="H18" s="70"/>
      <c r="I18" s="101" t="s">
        <v>1</v>
      </c>
    </row>
    <row r="19" spans="1:11" ht="21" x14ac:dyDescent="0.2">
      <c r="B19" s="108"/>
      <c r="C19" s="45" t="s">
        <v>50</v>
      </c>
      <c r="D19" s="54"/>
      <c r="E19" s="54"/>
      <c r="F19" s="116"/>
      <c r="G19" s="54">
        <v>4</v>
      </c>
      <c r="H19" s="70"/>
      <c r="I19" s="98"/>
    </row>
    <row r="20" spans="1:11" ht="21" x14ac:dyDescent="0.2">
      <c r="B20" s="108"/>
      <c r="C20" s="45" t="s">
        <v>61</v>
      </c>
      <c r="D20" s="54"/>
      <c r="E20" s="54"/>
      <c r="F20" s="116"/>
      <c r="G20" s="54">
        <v>4</v>
      </c>
      <c r="H20" s="70"/>
      <c r="I20" s="98"/>
    </row>
    <row r="21" spans="1:11" ht="21" x14ac:dyDescent="0.2">
      <c r="B21" s="108"/>
      <c r="C21" s="45" t="s">
        <v>56</v>
      </c>
      <c r="D21" s="54"/>
      <c r="E21" s="54"/>
      <c r="F21" s="116"/>
      <c r="G21" s="54">
        <v>4</v>
      </c>
      <c r="H21" s="70"/>
      <c r="I21" s="98" t="s">
        <v>1</v>
      </c>
    </row>
    <row r="22" spans="1:11" ht="21" x14ac:dyDescent="0.2">
      <c r="B22" s="108"/>
      <c r="C22" s="45" t="s">
        <v>57</v>
      </c>
      <c r="D22" s="54"/>
      <c r="E22" s="54"/>
      <c r="F22" s="116"/>
      <c r="G22" s="54">
        <v>3</v>
      </c>
      <c r="H22" s="70"/>
      <c r="I22" s="98"/>
    </row>
    <row r="23" spans="1:11" ht="22" thickBot="1" x14ac:dyDescent="0.25">
      <c r="B23" s="109"/>
      <c r="C23" s="25"/>
      <c r="D23" s="54">
        <f>SUM(D14:D22)</f>
        <v>6</v>
      </c>
      <c r="E23" s="54"/>
      <c r="F23" s="116" t="s">
        <v>1</v>
      </c>
      <c r="G23" s="116">
        <f>SUM(G14:G22)</f>
        <v>49</v>
      </c>
      <c r="H23" s="70"/>
      <c r="I23" s="102">
        <f>G23*F43</f>
        <v>7350</v>
      </c>
      <c r="K23" s="83">
        <f>I23*L8</f>
        <v>5292</v>
      </c>
    </row>
    <row r="24" spans="1:11" ht="20" customHeight="1" x14ac:dyDescent="0.2">
      <c r="B24" s="107" t="s">
        <v>52</v>
      </c>
      <c r="C24" s="86" t="s">
        <v>43</v>
      </c>
      <c r="D24" s="57"/>
      <c r="E24" s="57"/>
      <c r="F24" s="119"/>
      <c r="G24" s="119"/>
      <c r="H24" s="74"/>
      <c r="I24" s="103"/>
    </row>
    <row r="25" spans="1:11" ht="21" x14ac:dyDescent="0.2">
      <c r="A25" t="s">
        <v>1</v>
      </c>
      <c r="B25" s="108"/>
      <c r="C25" s="18" t="s">
        <v>54</v>
      </c>
      <c r="D25" s="54" t="s">
        <v>1</v>
      </c>
      <c r="E25" s="54"/>
      <c r="F25" s="116" t="s">
        <v>1</v>
      </c>
      <c r="G25" s="54">
        <v>10</v>
      </c>
      <c r="H25" s="70"/>
      <c r="I25" s="10"/>
    </row>
    <row r="26" spans="1:11" ht="22" customHeight="1" x14ac:dyDescent="0.2">
      <c r="B26" s="108"/>
      <c r="C26" s="18" t="s">
        <v>60</v>
      </c>
      <c r="D26" s="54" t="s">
        <v>1</v>
      </c>
      <c r="E26" s="58" t="s">
        <v>1</v>
      </c>
      <c r="F26" s="116" t="s">
        <v>1</v>
      </c>
      <c r="G26" s="54" t="s">
        <v>1</v>
      </c>
      <c r="H26" s="70"/>
      <c r="I26" s="10"/>
    </row>
    <row r="27" spans="1:11" ht="22" customHeight="1" x14ac:dyDescent="0.2">
      <c r="B27" s="108"/>
      <c r="C27" s="43"/>
      <c r="D27" s="59"/>
      <c r="E27" s="61"/>
      <c r="F27" s="120"/>
      <c r="G27" s="59"/>
      <c r="H27" s="76"/>
      <c r="I27" s="104"/>
    </row>
    <row r="28" spans="1:11" ht="22" customHeight="1" x14ac:dyDescent="0.2">
      <c r="B28" s="108"/>
      <c r="C28" s="42" t="s">
        <v>42</v>
      </c>
      <c r="D28" s="59" t="s">
        <v>1</v>
      </c>
      <c r="E28" s="61" t="s">
        <v>1</v>
      </c>
      <c r="F28" s="120" t="s">
        <v>1</v>
      </c>
      <c r="G28" s="59" t="s">
        <v>1</v>
      </c>
      <c r="H28" s="76" t="s">
        <v>1</v>
      </c>
      <c r="I28" s="105" t="s">
        <v>1</v>
      </c>
    </row>
    <row r="29" spans="1:11" ht="22" customHeight="1" x14ac:dyDescent="0.2">
      <c r="B29" s="108"/>
      <c r="C29" s="46" t="s">
        <v>55</v>
      </c>
      <c r="D29" s="59">
        <v>2</v>
      </c>
      <c r="E29" s="61" t="s">
        <v>5</v>
      </c>
      <c r="F29" s="120"/>
      <c r="G29" s="59"/>
      <c r="H29" s="76"/>
      <c r="I29" s="105"/>
    </row>
    <row r="30" spans="1:11" ht="30" customHeight="1" x14ac:dyDescent="0.2">
      <c r="B30" s="108"/>
      <c r="C30" s="43" t="s">
        <v>59</v>
      </c>
      <c r="D30" s="59">
        <v>8</v>
      </c>
      <c r="E30" s="61" t="s">
        <v>7</v>
      </c>
      <c r="F30" s="120" t="s">
        <v>1</v>
      </c>
      <c r="G30" s="59">
        <v>10</v>
      </c>
      <c r="H30" s="76"/>
      <c r="I30" s="105"/>
    </row>
    <row r="31" spans="1:11" ht="22" customHeight="1" x14ac:dyDescent="0.2">
      <c r="B31" s="108"/>
      <c r="C31" s="43" t="s">
        <v>58</v>
      </c>
      <c r="D31" s="59">
        <f>D29*D30</f>
        <v>16</v>
      </c>
      <c r="E31" s="61" t="s">
        <v>13</v>
      </c>
      <c r="F31" s="120" t="s">
        <v>1</v>
      </c>
      <c r="G31" s="59" t="s">
        <v>1</v>
      </c>
      <c r="H31" s="76" t="s">
        <v>1</v>
      </c>
      <c r="I31" s="105"/>
    </row>
    <row r="32" spans="1:11" ht="41" customHeight="1" x14ac:dyDescent="0.2">
      <c r="B32" s="108"/>
      <c r="C32" s="18" t="s">
        <v>1</v>
      </c>
      <c r="D32" s="59">
        <f>D31/8</f>
        <v>2</v>
      </c>
      <c r="E32" s="61" t="s">
        <v>6</v>
      </c>
      <c r="F32" s="120" t="s">
        <v>1</v>
      </c>
      <c r="G32" s="59" t="s">
        <v>1</v>
      </c>
      <c r="H32" s="76" t="s">
        <v>1</v>
      </c>
      <c r="I32" s="105" t="s">
        <v>1</v>
      </c>
    </row>
    <row r="33" spans="2:11" ht="30" customHeight="1" thickBot="1" x14ac:dyDescent="0.25">
      <c r="B33" s="109"/>
      <c r="C33" s="35" t="s">
        <v>1</v>
      </c>
      <c r="D33" s="62" t="s">
        <v>1</v>
      </c>
      <c r="E33" s="62"/>
      <c r="F33" s="121" t="s">
        <v>1</v>
      </c>
      <c r="G33" s="121">
        <f>SUM(G25:G32)</f>
        <v>20</v>
      </c>
      <c r="H33" s="77"/>
      <c r="I33" s="106">
        <f>G33*F43</f>
        <v>3000</v>
      </c>
      <c r="K33" s="84">
        <f>I33*L8</f>
        <v>2160</v>
      </c>
    </row>
    <row r="34" spans="2:11" ht="21" hidden="1" x14ac:dyDescent="0.2">
      <c r="B34" s="107" t="s">
        <v>17</v>
      </c>
      <c r="C34" s="36" t="s">
        <v>4</v>
      </c>
      <c r="D34" s="57" t="s">
        <v>1</v>
      </c>
      <c r="E34" s="57"/>
      <c r="F34" s="119" t="s">
        <v>1</v>
      </c>
      <c r="G34" s="119"/>
      <c r="H34" s="74"/>
      <c r="I34" s="32"/>
    </row>
    <row r="35" spans="2:11" ht="32" hidden="1" customHeight="1" x14ac:dyDescent="0.2">
      <c r="B35" s="108"/>
      <c r="C35" s="37" t="s">
        <v>8</v>
      </c>
      <c r="D35" s="59">
        <v>3</v>
      </c>
      <c r="E35" s="60"/>
      <c r="F35" s="122"/>
      <c r="G35" s="122"/>
      <c r="H35" s="75"/>
      <c r="I35" s="47"/>
    </row>
    <row r="36" spans="2:11" ht="32" hidden="1" customHeight="1" x14ac:dyDescent="0.2">
      <c r="B36" s="108"/>
      <c r="C36" s="37"/>
      <c r="D36" s="59" t="s">
        <v>1</v>
      </c>
      <c r="E36" s="61" t="s">
        <v>1</v>
      </c>
      <c r="F36" s="120" t="s">
        <v>1</v>
      </c>
      <c r="G36" s="120" t="s">
        <v>1</v>
      </c>
      <c r="H36" s="76" t="s">
        <v>1</v>
      </c>
      <c r="I36" s="66" t="s">
        <v>1</v>
      </c>
    </row>
    <row r="37" spans="2:11" ht="32" hidden="1" customHeight="1" x14ac:dyDescent="0.2">
      <c r="B37" s="108"/>
      <c r="C37" s="51" t="s">
        <v>40</v>
      </c>
      <c r="D37" s="59">
        <v>2</v>
      </c>
      <c r="E37" s="61" t="s">
        <v>5</v>
      </c>
      <c r="F37" s="120"/>
      <c r="G37" s="120"/>
      <c r="H37" s="76"/>
      <c r="I37" s="66"/>
    </row>
    <row r="38" spans="2:11" ht="32" hidden="1" customHeight="1" x14ac:dyDescent="0.2">
      <c r="B38" s="108"/>
      <c r="C38" s="51"/>
      <c r="D38" s="59">
        <v>2</v>
      </c>
      <c r="E38" s="61" t="s">
        <v>7</v>
      </c>
      <c r="F38" s="120" t="s">
        <v>1</v>
      </c>
      <c r="G38" s="120"/>
      <c r="H38" s="76"/>
      <c r="I38" s="66"/>
    </row>
    <row r="39" spans="2:11" ht="32" hidden="1" customHeight="1" x14ac:dyDescent="0.2">
      <c r="B39" s="108"/>
      <c r="C39" s="51"/>
      <c r="D39" s="59">
        <f>D37+D38</f>
        <v>4</v>
      </c>
      <c r="E39" s="61" t="s">
        <v>13</v>
      </c>
      <c r="F39" s="120" t="s">
        <v>1</v>
      </c>
      <c r="G39" s="120" t="s">
        <v>1</v>
      </c>
      <c r="H39" s="76" t="s">
        <v>1</v>
      </c>
      <c r="I39" s="66"/>
    </row>
    <row r="40" spans="2:11" ht="32" hidden="1" customHeight="1" x14ac:dyDescent="0.2">
      <c r="B40" s="108"/>
      <c r="C40" s="51"/>
      <c r="D40" s="59">
        <f>D39/8</f>
        <v>0.5</v>
      </c>
      <c r="E40" s="61" t="s">
        <v>6</v>
      </c>
      <c r="F40" s="120" t="s">
        <v>1</v>
      </c>
      <c r="G40" s="120" t="s">
        <v>1</v>
      </c>
      <c r="H40" s="76" t="s">
        <v>1</v>
      </c>
      <c r="I40" s="66" t="e">
        <f>G40*D40</f>
        <v>#VALUE!</v>
      </c>
    </row>
    <row r="41" spans="2:11" ht="22" hidden="1" thickBot="1" x14ac:dyDescent="0.25">
      <c r="B41" s="109"/>
      <c r="C41" s="38" t="s">
        <v>1</v>
      </c>
      <c r="D41" s="63" t="s">
        <v>1</v>
      </c>
      <c r="E41" s="63"/>
      <c r="F41" s="123"/>
      <c r="G41" s="123">
        <f>SUM(G35:G40)</f>
        <v>0</v>
      </c>
      <c r="H41" s="78"/>
      <c r="I41" s="33">
        <f>F43*G41</f>
        <v>0</v>
      </c>
    </row>
    <row r="42" spans="2:11" ht="21" x14ac:dyDescent="0.2">
      <c r="C42" s="31" t="s">
        <v>44</v>
      </c>
      <c r="D42" s="53"/>
      <c r="E42" s="53"/>
      <c r="F42" s="124" t="s">
        <v>1</v>
      </c>
      <c r="G42" s="124"/>
      <c r="H42" s="79"/>
      <c r="I42" s="87">
        <v>0</v>
      </c>
    </row>
    <row r="43" spans="2:11" ht="21" x14ac:dyDescent="0.2">
      <c r="C43" s="1"/>
      <c r="D43" s="65" t="s">
        <v>1</v>
      </c>
      <c r="E43" s="65"/>
      <c r="F43" s="13">
        <v>150</v>
      </c>
      <c r="G43" s="125" t="s">
        <v>1</v>
      </c>
      <c r="H43" s="80"/>
      <c r="I43" s="11"/>
      <c r="K43">
        <f>SUM(K8:K33)</f>
        <v>12636</v>
      </c>
    </row>
    <row r="44" spans="2:11" ht="21" x14ac:dyDescent="0.2">
      <c r="C44" s="91" t="s">
        <v>9</v>
      </c>
      <c r="D44" s="92" t="s">
        <v>1</v>
      </c>
      <c r="E44" s="92"/>
      <c r="F44" s="92"/>
      <c r="G44" s="92"/>
      <c r="H44" s="93"/>
      <c r="I44" s="94">
        <f>SUM(I12+I23+I33+I41+I42)</f>
        <v>17550</v>
      </c>
    </row>
    <row r="45" spans="2:11" x14ac:dyDescent="0.2">
      <c r="H45" s="81"/>
    </row>
    <row r="46" spans="2:11" x14ac:dyDescent="0.2">
      <c r="H46" s="81"/>
    </row>
    <row r="47" spans="2:11" x14ac:dyDescent="0.2">
      <c r="H47" s="81"/>
    </row>
    <row r="48" spans="2:11" x14ac:dyDescent="0.2">
      <c r="H48" s="81"/>
    </row>
    <row r="49" spans="6:8" x14ac:dyDescent="0.2">
      <c r="H49" s="81"/>
    </row>
    <row r="50" spans="6:8" x14ac:dyDescent="0.2">
      <c r="H50" s="81"/>
    </row>
    <row r="51" spans="6:8" x14ac:dyDescent="0.2">
      <c r="H51" s="81"/>
    </row>
    <row r="52" spans="6:8" x14ac:dyDescent="0.2">
      <c r="H52" s="81"/>
    </row>
    <row r="53" spans="6:8" x14ac:dyDescent="0.2">
      <c r="F53" s="81"/>
      <c r="G53" s="81">
        <f>G33+G23+G12</f>
        <v>117</v>
      </c>
      <c r="H53" s="81">
        <f>G53*200</f>
        <v>23400</v>
      </c>
    </row>
    <row r="54" spans="6:8" x14ac:dyDescent="0.2">
      <c r="F54" s="81"/>
      <c r="G54" s="81"/>
      <c r="H54" s="81"/>
    </row>
    <row r="55" spans="6:8" x14ac:dyDescent="0.2">
      <c r="F55" s="81"/>
      <c r="G55" s="81"/>
      <c r="H55" s="81"/>
    </row>
    <row r="56" spans="6:8" x14ac:dyDescent="0.2">
      <c r="F56" s="81"/>
      <c r="G56" s="81"/>
      <c r="H56" s="81"/>
    </row>
    <row r="57" spans="6:8" x14ac:dyDescent="0.2">
      <c r="F57" s="81"/>
      <c r="G57" s="81"/>
      <c r="H57" s="81"/>
    </row>
    <row r="58" spans="6:8" x14ac:dyDescent="0.2">
      <c r="F58" s="81"/>
      <c r="G58" s="81"/>
      <c r="H58" s="81"/>
    </row>
    <row r="59" spans="6:8" x14ac:dyDescent="0.2">
      <c r="F59" s="81"/>
      <c r="G59" s="81"/>
      <c r="H59" s="81"/>
    </row>
    <row r="60" spans="6:8" x14ac:dyDescent="0.2">
      <c r="F60" s="81"/>
      <c r="G60" s="81"/>
      <c r="H60" s="81"/>
    </row>
    <row r="61" spans="6:8" x14ac:dyDescent="0.2">
      <c r="F61" s="81"/>
      <c r="G61" s="81"/>
      <c r="H61" s="81"/>
    </row>
    <row r="62" spans="6:8" x14ac:dyDescent="0.2">
      <c r="F62" s="81"/>
      <c r="G62" s="81"/>
      <c r="H62" s="81"/>
    </row>
    <row r="63" spans="6:8" x14ac:dyDescent="0.2">
      <c r="F63" s="81"/>
      <c r="G63" s="81"/>
      <c r="H63" s="81"/>
    </row>
    <row r="64" spans="6:8" x14ac:dyDescent="0.2">
      <c r="F64" s="81"/>
      <c r="G64" s="81"/>
      <c r="H64" s="81"/>
    </row>
    <row r="65" spans="6:8" x14ac:dyDescent="0.2">
      <c r="F65" s="81"/>
      <c r="G65" s="81"/>
      <c r="H65" s="81"/>
    </row>
    <row r="66" spans="6:8" x14ac:dyDescent="0.2">
      <c r="F66" s="81"/>
      <c r="G66" s="81"/>
      <c r="H66" s="81"/>
    </row>
    <row r="67" spans="6:8" x14ac:dyDescent="0.2">
      <c r="F67" s="81"/>
      <c r="G67" s="81"/>
      <c r="H67" s="81"/>
    </row>
    <row r="68" spans="6:8" x14ac:dyDescent="0.2">
      <c r="F68" s="81"/>
      <c r="G68" s="81"/>
      <c r="H68" s="81"/>
    </row>
    <row r="69" spans="6:8" x14ac:dyDescent="0.2">
      <c r="F69" s="81"/>
      <c r="G69" s="81"/>
      <c r="H69" s="81"/>
    </row>
    <row r="70" spans="6:8" x14ac:dyDescent="0.2">
      <c r="F70" s="81"/>
      <c r="G70" s="81"/>
      <c r="H70" s="81"/>
    </row>
    <row r="71" spans="6:8" x14ac:dyDescent="0.2">
      <c r="F71" s="81"/>
      <c r="G71" s="81"/>
      <c r="H71" s="81"/>
    </row>
    <row r="72" spans="6:8" x14ac:dyDescent="0.2">
      <c r="F72" s="81"/>
      <c r="G72" s="81"/>
      <c r="H72" s="81"/>
    </row>
    <row r="73" spans="6:8" x14ac:dyDescent="0.2">
      <c r="F73" s="81"/>
      <c r="G73" s="81"/>
      <c r="H73" s="81"/>
    </row>
    <row r="74" spans="6:8" x14ac:dyDescent="0.2">
      <c r="F74" s="81"/>
      <c r="G74" s="81"/>
      <c r="H74" s="81"/>
    </row>
    <row r="75" spans="6:8" x14ac:dyDescent="0.2">
      <c r="F75" s="81"/>
      <c r="G75" s="81"/>
      <c r="H75" s="81"/>
    </row>
    <row r="76" spans="6:8" x14ac:dyDescent="0.2">
      <c r="F76" s="81"/>
      <c r="G76" s="81"/>
      <c r="H76" s="81"/>
    </row>
    <row r="77" spans="6:8" x14ac:dyDescent="0.2">
      <c r="F77" s="81"/>
      <c r="G77" s="81"/>
      <c r="H77" s="81"/>
    </row>
    <row r="78" spans="6:8" x14ac:dyDescent="0.2">
      <c r="F78" s="81"/>
      <c r="G78" s="81"/>
      <c r="H78" s="81"/>
    </row>
    <row r="79" spans="6:8" x14ac:dyDescent="0.2">
      <c r="F79" s="81"/>
      <c r="G79" s="81"/>
      <c r="H79" s="81"/>
    </row>
    <row r="80" spans="6:8" x14ac:dyDescent="0.2">
      <c r="F80" s="81"/>
      <c r="G80" s="81"/>
      <c r="H80" s="81"/>
    </row>
    <row r="81" spans="6:8" x14ac:dyDescent="0.2">
      <c r="F81" s="81"/>
      <c r="G81" s="81"/>
      <c r="H81" s="81"/>
    </row>
    <row r="82" spans="6:8" x14ac:dyDescent="0.2">
      <c r="F82" s="81"/>
      <c r="G82" s="81"/>
      <c r="H82" s="81"/>
    </row>
    <row r="83" spans="6:8" x14ac:dyDescent="0.2">
      <c r="F83" s="81"/>
      <c r="G83" s="81"/>
      <c r="H83" s="81"/>
    </row>
    <row r="84" spans="6:8" x14ac:dyDescent="0.2">
      <c r="F84" s="81"/>
      <c r="G84" s="81"/>
      <c r="H84" s="81"/>
    </row>
    <row r="85" spans="6:8" x14ac:dyDescent="0.2">
      <c r="F85" s="81"/>
      <c r="G85" s="81"/>
      <c r="H85" s="81"/>
    </row>
    <row r="86" spans="6:8" x14ac:dyDescent="0.2">
      <c r="F86" s="81"/>
      <c r="G86" s="81"/>
      <c r="H86" s="81"/>
    </row>
    <row r="87" spans="6:8" x14ac:dyDescent="0.2">
      <c r="F87" s="81"/>
      <c r="G87" s="81"/>
      <c r="H87" s="81"/>
    </row>
    <row r="88" spans="6:8" x14ac:dyDescent="0.2">
      <c r="F88" s="81"/>
      <c r="G88" s="81"/>
      <c r="H88" s="81"/>
    </row>
    <row r="89" spans="6:8" x14ac:dyDescent="0.2">
      <c r="F89" s="81"/>
      <c r="G89" s="81"/>
      <c r="H89" s="81"/>
    </row>
    <row r="90" spans="6:8" x14ac:dyDescent="0.2">
      <c r="F90" s="81"/>
      <c r="G90" s="81"/>
      <c r="H90" s="81"/>
    </row>
    <row r="91" spans="6:8" x14ac:dyDescent="0.2">
      <c r="F91" s="81"/>
      <c r="G91" s="81"/>
      <c r="H91" s="81"/>
    </row>
    <row r="92" spans="6:8" x14ac:dyDescent="0.2">
      <c r="F92" s="81"/>
      <c r="G92" s="81"/>
      <c r="H92" s="81"/>
    </row>
    <row r="93" spans="6:8" x14ac:dyDescent="0.2">
      <c r="F93" s="81"/>
      <c r="G93" s="81"/>
      <c r="H93" s="81"/>
    </row>
    <row r="94" spans="6:8" x14ac:dyDescent="0.2">
      <c r="F94" s="81"/>
      <c r="G94" s="81"/>
      <c r="H94" s="81"/>
    </row>
    <row r="95" spans="6:8" x14ac:dyDescent="0.2">
      <c r="F95" s="81"/>
      <c r="G95" s="81"/>
      <c r="H95" s="81"/>
    </row>
    <row r="96" spans="6:8" x14ac:dyDescent="0.2">
      <c r="F96" s="81"/>
      <c r="G96" s="81"/>
      <c r="H96" s="81"/>
    </row>
    <row r="97" spans="6:8" x14ac:dyDescent="0.2">
      <c r="F97" s="81"/>
      <c r="G97" s="81"/>
      <c r="H97" s="81"/>
    </row>
    <row r="98" spans="6:8" x14ac:dyDescent="0.2">
      <c r="F98" s="81"/>
      <c r="G98" s="81"/>
      <c r="H98" s="81"/>
    </row>
    <row r="99" spans="6:8" x14ac:dyDescent="0.2">
      <c r="F99" s="81"/>
      <c r="G99" s="81"/>
      <c r="H99" s="81"/>
    </row>
  </sheetData>
  <mergeCells count="6">
    <mergeCell ref="B34:B41"/>
    <mergeCell ref="C2:I2"/>
    <mergeCell ref="B24:B33"/>
    <mergeCell ref="D3:F3"/>
    <mergeCell ref="B5:B12"/>
    <mergeCell ref="B13:B23"/>
  </mergeCells>
  <phoneticPr fontId="12" type="noConversion"/>
  <pageMargins left="0.7" right="0.7" top="0.75" bottom="0.75" header="0.3" footer="0.3"/>
  <pageSetup scale="44" orientation="portrait" horizontalDpi="0" verticalDpi="0"/>
  <colBreaks count="1" manualBreakCount="1">
    <brk id="2" max="4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"/>
  <sheetViews>
    <sheetView showGridLines="0" zoomScale="90" zoomScaleNormal="90" zoomScalePageLayoutView="90" workbookViewId="0">
      <selection activeCell="G19" sqref="G19"/>
    </sheetView>
  </sheetViews>
  <sheetFormatPr baseColWidth="10" defaultRowHeight="16" x14ac:dyDescent="0.2"/>
  <cols>
    <col min="4" max="4" width="76" customWidth="1"/>
    <col min="5" max="5" width="18.83203125" customWidth="1"/>
    <col min="6" max="6" width="32.83203125" bestFit="1" customWidth="1"/>
    <col min="7" max="7" width="7.6640625" bestFit="1" customWidth="1"/>
    <col min="8" max="8" width="21" customWidth="1"/>
    <col min="9" max="9" width="22.83203125" customWidth="1"/>
    <col min="10" max="10" width="24" customWidth="1"/>
  </cols>
  <sheetData>
    <row r="1" spans="1:10" x14ac:dyDescent="0.2">
      <c r="A1" t="s">
        <v>1</v>
      </c>
    </row>
    <row r="3" spans="1:10" ht="25" x14ac:dyDescent="0.25">
      <c r="D3" s="113" t="s">
        <v>41</v>
      </c>
      <c r="E3" s="113"/>
      <c r="F3" s="113"/>
      <c r="G3" s="113"/>
      <c r="H3" s="113"/>
      <c r="I3" s="113"/>
      <c r="J3" s="113"/>
    </row>
    <row r="4" spans="1:10" ht="20" x14ac:dyDescent="0.2">
      <c r="D4" s="27" t="s">
        <v>0</v>
      </c>
      <c r="E4" s="114" t="s">
        <v>1</v>
      </c>
      <c r="F4" s="114"/>
      <c r="G4" s="114"/>
      <c r="H4" s="27"/>
      <c r="I4" s="39"/>
      <c r="J4" s="28" t="s">
        <v>2</v>
      </c>
    </row>
    <row r="5" spans="1:10" ht="20" x14ac:dyDescent="0.2">
      <c r="D5" s="3"/>
      <c r="E5" s="4" t="s">
        <v>1</v>
      </c>
      <c r="F5" s="4"/>
      <c r="G5" s="4" t="s">
        <v>1</v>
      </c>
      <c r="H5" s="4" t="s">
        <v>3</v>
      </c>
      <c r="I5" s="4"/>
      <c r="J5" s="17"/>
    </row>
    <row r="6" spans="1:10" ht="20" customHeight="1" x14ac:dyDescent="0.2">
      <c r="C6" s="112" t="s">
        <v>14</v>
      </c>
      <c r="D6" s="22" t="s">
        <v>18</v>
      </c>
      <c r="E6" s="5" t="s">
        <v>3</v>
      </c>
      <c r="F6" s="5"/>
      <c r="G6" s="52"/>
      <c r="H6" s="5"/>
      <c r="I6" s="5"/>
      <c r="J6" s="6"/>
    </row>
    <row r="7" spans="1:10" s="40" customFormat="1" ht="21" x14ac:dyDescent="0.2">
      <c r="C7" s="112"/>
      <c r="D7" s="18" t="s">
        <v>37</v>
      </c>
      <c r="E7" s="53">
        <v>2</v>
      </c>
      <c r="F7" s="53"/>
      <c r="G7" s="54"/>
      <c r="H7" s="53"/>
      <c r="I7" s="53"/>
      <c r="J7" s="41"/>
    </row>
    <row r="8" spans="1:10" s="40" customFormat="1" ht="21" x14ac:dyDescent="0.2">
      <c r="C8" s="112"/>
      <c r="D8" s="21" t="s">
        <v>36</v>
      </c>
      <c r="E8" s="55">
        <v>1</v>
      </c>
      <c r="F8" s="55" t="s">
        <v>1</v>
      </c>
      <c r="G8" s="55"/>
      <c r="H8" s="55"/>
      <c r="I8" s="55"/>
      <c r="J8" s="7" t="s">
        <v>1</v>
      </c>
    </row>
    <row r="9" spans="1:10" s="40" customFormat="1" ht="21" x14ac:dyDescent="0.2">
      <c r="C9" s="112"/>
      <c r="D9" s="42" t="s">
        <v>19</v>
      </c>
      <c r="E9" s="55" t="s">
        <v>1</v>
      </c>
      <c r="F9" s="55" t="s">
        <v>1</v>
      </c>
      <c r="G9" s="55"/>
      <c r="H9" s="55"/>
      <c r="I9" s="55"/>
      <c r="J9" s="7"/>
    </row>
    <row r="10" spans="1:10" s="40" customFormat="1" ht="21" x14ac:dyDescent="0.2">
      <c r="C10" s="112"/>
      <c r="D10" s="18" t="s">
        <v>22</v>
      </c>
      <c r="E10" s="55">
        <v>2</v>
      </c>
      <c r="F10" s="55" t="s">
        <v>1</v>
      </c>
      <c r="G10" s="55" t="s">
        <v>12</v>
      </c>
      <c r="H10" s="55" t="s">
        <v>3</v>
      </c>
      <c r="I10" s="55"/>
      <c r="J10" s="8" t="s">
        <v>1</v>
      </c>
    </row>
    <row r="11" spans="1:10" s="40" customFormat="1" ht="20" customHeight="1" x14ac:dyDescent="0.2">
      <c r="C11" s="112"/>
      <c r="D11" s="12" t="s">
        <v>1</v>
      </c>
      <c r="E11" s="56">
        <f>SUM(E7:E10)</f>
        <v>5</v>
      </c>
      <c r="F11" s="56"/>
      <c r="G11" s="56">
        <v>1</v>
      </c>
      <c r="H11" s="56">
        <f>G11*E11</f>
        <v>5</v>
      </c>
      <c r="I11" s="56"/>
      <c r="J11" s="19">
        <f>(H11*G48)</f>
        <v>8750</v>
      </c>
    </row>
    <row r="12" spans="1:10" s="40" customFormat="1" ht="21" x14ac:dyDescent="0.2">
      <c r="C12" s="107" t="s">
        <v>15</v>
      </c>
      <c r="D12" s="23" t="s">
        <v>20</v>
      </c>
      <c r="E12" s="52" t="s">
        <v>1</v>
      </c>
      <c r="F12" s="52"/>
      <c r="G12" s="52"/>
      <c r="H12" s="52"/>
      <c r="I12" s="52"/>
      <c r="J12" s="9"/>
    </row>
    <row r="13" spans="1:10" s="40" customFormat="1" ht="20" x14ac:dyDescent="0.2">
      <c r="C13" s="108"/>
      <c r="D13" s="22"/>
      <c r="E13" s="54"/>
      <c r="F13" s="54"/>
      <c r="G13" s="54"/>
      <c r="H13" s="54"/>
      <c r="I13" s="54"/>
      <c r="J13" s="8"/>
    </row>
    <row r="14" spans="1:10" s="40" customFormat="1" ht="21" x14ac:dyDescent="0.2">
      <c r="C14" s="108"/>
      <c r="D14" s="18" t="s">
        <v>21</v>
      </c>
      <c r="E14" s="54"/>
      <c r="F14" s="54"/>
      <c r="G14" s="54"/>
      <c r="H14" s="54"/>
      <c r="I14" s="54"/>
      <c r="J14" s="8"/>
    </row>
    <row r="15" spans="1:10" s="40" customFormat="1" ht="21" x14ac:dyDescent="0.2">
      <c r="C15" s="108"/>
      <c r="D15" s="44" t="s">
        <v>25</v>
      </c>
      <c r="E15" s="54" t="s">
        <v>1</v>
      </c>
      <c r="F15" s="54" t="s">
        <v>1</v>
      </c>
      <c r="G15" s="54"/>
      <c r="H15" s="54"/>
      <c r="I15" s="54"/>
      <c r="J15" s="7" t="s">
        <v>1</v>
      </c>
    </row>
    <row r="16" spans="1:10" s="40" customFormat="1" ht="21" x14ac:dyDescent="0.2">
      <c r="C16" s="108"/>
      <c r="D16" s="44" t="s">
        <v>23</v>
      </c>
      <c r="E16" s="54" t="s">
        <v>1</v>
      </c>
      <c r="F16" s="54" t="s">
        <v>1</v>
      </c>
      <c r="G16" s="54"/>
      <c r="H16" s="54"/>
      <c r="I16" s="54"/>
      <c r="J16" s="8"/>
    </row>
    <row r="17" spans="3:10" s="40" customFormat="1" ht="21" x14ac:dyDescent="0.2">
      <c r="C17" s="108"/>
      <c r="D17" s="44" t="s">
        <v>24</v>
      </c>
      <c r="E17" s="54" t="s">
        <v>1</v>
      </c>
      <c r="F17" s="54" t="s">
        <v>1</v>
      </c>
      <c r="G17" s="54"/>
      <c r="H17" s="54"/>
      <c r="I17" s="54"/>
      <c r="J17" s="8"/>
    </row>
    <row r="18" spans="3:10" s="40" customFormat="1" ht="10" customHeight="1" x14ac:dyDescent="0.2">
      <c r="C18" s="108"/>
      <c r="D18" s="18" t="s">
        <v>1</v>
      </c>
      <c r="E18" s="54" t="s">
        <v>1</v>
      </c>
      <c r="F18" s="54" t="s">
        <v>1</v>
      </c>
      <c r="G18" s="54"/>
      <c r="H18" s="54"/>
      <c r="I18" s="54"/>
      <c r="J18" s="8"/>
    </row>
    <row r="19" spans="3:10" s="40" customFormat="1" ht="21" x14ac:dyDescent="0.2">
      <c r="C19" s="108"/>
      <c r="D19" s="18" t="s">
        <v>26</v>
      </c>
      <c r="E19" s="54"/>
      <c r="F19" s="54"/>
      <c r="G19" s="54"/>
      <c r="H19" s="54"/>
      <c r="I19" s="54"/>
      <c r="J19" s="8"/>
    </row>
    <row r="20" spans="3:10" s="40" customFormat="1" ht="21" x14ac:dyDescent="0.2">
      <c r="C20" s="108"/>
      <c r="D20" s="44" t="s">
        <v>32</v>
      </c>
      <c r="E20" s="54">
        <v>5</v>
      </c>
      <c r="F20" s="54"/>
      <c r="G20" s="54"/>
      <c r="H20" s="54"/>
      <c r="I20" s="54"/>
      <c r="J20" s="8"/>
    </row>
    <row r="21" spans="3:10" s="40" customFormat="1" ht="43" customHeight="1" x14ac:dyDescent="0.2">
      <c r="C21" s="108"/>
      <c r="D21" s="45" t="s">
        <v>35</v>
      </c>
      <c r="E21" s="54"/>
      <c r="F21" s="54"/>
      <c r="G21" s="54"/>
      <c r="H21" s="54"/>
      <c r="I21" s="54"/>
      <c r="J21" s="8"/>
    </row>
    <row r="22" spans="3:10" s="40" customFormat="1" ht="42" x14ac:dyDescent="0.2">
      <c r="C22" s="108"/>
      <c r="D22" s="45" t="s">
        <v>33</v>
      </c>
      <c r="E22" s="54"/>
      <c r="F22" s="54"/>
      <c r="G22" s="54"/>
      <c r="H22" s="54"/>
      <c r="I22" s="54"/>
      <c r="J22" s="8"/>
    </row>
    <row r="23" spans="3:10" s="40" customFormat="1" ht="42" x14ac:dyDescent="0.2">
      <c r="C23" s="108"/>
      <c r="D23" s="45" t="s">
        <v>34</v>
      </c>
      <c r="E23" s="54"/>
      <c r="F23" s="54"/>
      <c r="G23" s="54"/>
      <c r="H23" s="54"/>
      <c r="I23" s="54"/>
      <c r="J23" s="8" t="s">
        <v>1</v>
      </c>
    </row>
    <row r="24" spans="3:10" s="40" customFormat="1" ht="24" customHeight="1" x14ac:dyDescent="0.2">
      <c r="C24" s="108"/>
      <c r="D24" s="45"/>
      <c r="E24" s="54"/>
      <c r="F24" s="54"/>
      <c r="G24" s="54"/>
      <c r="H24" s="54"/>
      <c r="I24" s="54"/>
      <c r="J24" s="8"/>
    </row>
    <row r="25" spans="3:10" s="40" customFormat="1" ht="24" customHeight="1" thickBot="1" x14ac:dyDescent="0.25">
      <c r="C25" s="109"/>
      <c r="D25" s="25"/>
      <c r="E25" s="54">
        <f>SUM(E13:E24)</f>
        <v>5</v>
      </c>
      <c r="F25" s="54"/>
      <c r="G25" s="54">
        <v>1</v>
      </c>
      <c r="H25" s="54">
        <v>1</v>
      </c>
      <c r="I25" s="54"/>
      <c r="J25" s="20">
        <f>G47</f>
        <v>5000</v>
      </c>
    </row>
    <row r="26" spans="3:10" s="40" customFormat="1" ht="24" customHeight="1" x14ac:dyDescent="0.2">
      <c r="C26" s="107" t="s">
        <v>16</v>
      </c>
      <c r="D26" s="34" t="s">
        <v>27</v>
      </c>
      <c r="E26" s="57"/>
      <c r="F26" s="57"/>
      <c r="G26" s="57"/>
      <c r="H26" s="57"/>
      <c r="I26" s="57"/>
      <c r="J26" s="29"/>
    </row>
    <row r="27" spans="3:10" s="40" customFormat="1" ht="24" hidden="1" customHeight="1" x14ac:dyDescent="0.2">
      <c r="C27" s="108"/>
      <c r="D27" s="26"/>
      <c r="E27" s="54" t="s">
        <v>1</v>
      </c>
      <c r="F27" s="54"/>
      <c r="G27" s="54" t="s">
        <v>1</v>
      </c>
      <c r="H27" s="54"/>
      <c r="I27" s="54"/>
      <c r="J27" s="30"/>
    </row>
    <row r="28" spans="3:10" s="40" customFormat="1" ht="17" customHeight="1" x14ac:dyDescent="0.2">
      <c r="C28" s="108"/>
      <c r="D28" s="18" t="s">
        <v>28</v>
      </c>
      <c r="E28" s="54" t="s">
        <v>1</v>
      </c>
      <c r="F28" s="58" t="s">
        <v>1</v>
      </c>
      <c r="G28" s="54" t="s">
        <v>1</v>
      </c>
      <c r="H28" s="54"/>
      <c r="I28" s="54"/>
      <c r="J28" s="30"/>
    </row>
    <row r="29" spans="3:10" s="40" customFormat="1" ht="43" customHeight="1" x14ac:dyDescent="0.2">
      <c r="C29" s="108"/>
      <c r="D29" s="24" t="s">
        <v>29</v>
      </c>
      <c r="E29" s="54" t="s">
        <v>1</v>
      </c>
      <c r="F29" s="58" t="s">
        <v>1</v>
      </c>
      <c r="G29" s="54" t="s">
        <v>1</v>
      </c>
      <c r="H29" s="54"/>
      <c r="I29" s="54"/>
      <c r="J29" s="30"/>
    </row>
    <row r="30" spans="3:10" s="40" customFormat="1" ht="41" customHeight="1" x14ac:dyDescent="0.2">
      <c r="C30" s="108"/>
      <c r="D30" s="43" t="s">
        <v>30</v>
      </c>
      <c r="E30" s="59">
        <v>1.5</v>
      </c>
      <c r="F30" s="60"/>
      <c r="G30" s="60"/>
      <c r="H30" s="60"/>
      <c r="I30" s="60"/>
      <c r="J30" s="47"/>
    </row>
    <row r="31" spans="3:10" s="40" customFormat="1" ht="33" customHeight="1" x14ac:dyDescent="0.2">
      <c r="C31" s="108"/>
      <c r="D31" s="43" t="s">
        <v>31</v>
      </c>
      <c r="E31" s="59">
        <v>1.5</v>
      </c>
      <c r="F31" s="61" t="s">
        <v>1</v>
      </c>
      <c r="G31" s="59" t="s">
        <v>1</v>
      </c>
      <c r="H31" s="59"/>
      <c r="I31" s="59"/>
      <c r="J31" s="48" t="s">
        <v>1</v>
      </c>
    </row>
    <row r="32" spans="3:10" s="40" customFormat="1" ht="26" customHeight="1" x14ac:dyDescent="0.2">
      <c r="C32" s="108"/>
      <c r="D32" s="43"/>
      <c r="E32" s="59"/>
      <c r="F32" s="61"/>
      <c r="G32" s="59"/>
      <c r="H32" s="59"/>
      <c r="I32" s="59"/>
      <c r="J32" s="48"/>
    </row>
    <row r="33" spans="3:10" s="40" customFormat="1" ht="19" customHeight="1" x14ac:dyDescent="0.2">
      <c r="C33" s="108"/>
      <c r="D33" s="18" t="s">
        <v>16</v>
      </c>
      <c r="E33" s="59" t="s">
        <v>1</v>
      </c>
      <c r="F33" s="61" t="s">
        <v>1</v>
      </c>
      <c r="G33" s="59">
        <v>1</v>
      </c>
      <c r="H33" s="59">
        <f>SUM(E30:E32)</f>
        <v>3</v>
      </c>
      <c r="I33" s="59" t="s">
        <v>1</v>
      </c>
      <c r="J33" s="66">
        <f>G48*H33</f>
        <v>5250</v>
      </c>
    </row>
    <row r="34" spans="3:10" s="40" customFormat="1" ht="29" customHeight="1" x14ac:dyDescent="0.2">
      <c r="C34" s="108"/>
      <c r="D34" s="46" t="s">
        <v>39</v>
      </c>
      <c r="E34" s="59">
        <v>2</v>
      </c>
      <c r="F34" s="61" t="s">
        <v>5</v>
      </c>
      <c r="G34" s="59"/>
      <c r="H34" s="59"/>
      <c r="I34" s="59"/>
      <c r="J34" s="66"/>
    </row>
    <row r="35" spans="3:10" s="40" customFormat="1" ht="21" x14ac:dyDescent="0.2">
      <c r="C35" s="108"/>
      <c r="D35" s="44" t="s">
        <v>38</v>
      </c>
      <c r="E35" s="59">
        <v>8</v>
      </c>
      <c r="F35" s="61" t="s">
        <v>7</v>
      </c>
      <c r="G35" s="59" t="s">
        <v>1</v>
      </c>
      <c r="H35" s="59"/>
      <c r="I35" s="59"/>
      <c r="J35" s="66"/>
    </row>
    <row r="36" spans="3:10" s="40" customFormat="1" ht="42" x14ac:dyDescent="0.2">
      <c r="C36" s="108"/>
      <c r="D36" s="18" t="s">
        <v>1</v>
      </c>
      <c r="E36" s="59">
        <f>E34*E35</f>
        <v>16</v>
      </c>
      <c r="F36" s="61" t="s">
        <v>13</v>
      </c>
      <c r="G36" s="59" t="s">
        <v>12</v>
      </c>
      <c r="H36" s="59" t="s">
        <v>11</v>
      </c>
      <c r="I36" s="59" t="s">
        <v>10</v>
      </c>
      <c r="J36" s="66"/>
    </row>
    <row r="37" spans="3:10" s="40" customFormat="1" ht="21" x14ac:dyDescent="0.2">
      <c r="C37" s="108"/>
      <c r="D37" s="18" t="s">
        <v>1</v>
      </c>
      <c r="E37" s="59">
        <f>E36/8</f>
        <v>2</v>
      </c>
      <c r="F37" s="61" t="s">
        <v>6</v>
      </c>
      <c r="G37" s="59">
        <v>1</v>
      </c>
      <c r="H37" s="59">
        <v>1750</v>
      </c>
      <c r="I37" s="59">
        <v>1</v>
      </c>
      <c r="J37" s="66">
        <f>E37*H37</f>
        <v>3500</v>
      </c>
    </row>
    <row r="38" spans="3:10" s="40" customFormat="1" ht="22" thickBot="1" x14ac:dyDescent="0.25">
      <c r="C38" s="109"/>
      <c r="D38" s="35" t="s">
        <v>1</v>
      </c>
      <c r="E38" s="62" t="s">
        <v>1</v>
      </c>
      <c r="F38" s="62"/>
      <c r="G38" s="62" t="s">
        <v>1</v>
      </c>
      <c r="H38" s="62" t="s">
        <v>1</v>
      </c>
      <c r="I38" s="62"/>
      <c r="J38" s="50">
        <f>J37+J33</f>
        <v>8750</v>
      </c>
    </row>
    <row r="39" spans="3:10" s="40" customFormat="1" ht="21" x14ac:dyDescent="0.2">
      <c r="C39" s="107" t="s">
        <v>17</v>
      </c>
      <c r="D39" s="36" t="s">
        <v>4</v>
      </c>
      <c r="E39" s="57" t="s">
        <v>1</v>
      </c>
      <c r="F39" s="57"/>
      <c r="G39" s="57"/>
      <c r="H39" s="57"/>
      <c r="I39" s="57"/>
      <c r="J39" s="32"/>
    </row>
    <row r="40" spans="3:10" s="40" customFormat="1" ht="20" customHeight="1" x14ac:dyDescent="0.2">
      <c r="C40" s="108"/>
      <c r="D40" s="37" t="s">
        <v>8</v>
      </c>
      <c r="E40" s="59">
        <v>3</v>
      </c>
      <c r="F40" s="60"/>
      <c r="G40" s="60"/>
      <c r="H40" s="60"/>
      <c r="I40" s="60"/>
      <c r="J40" s="47"/>
    </row>
    <row r="41" spans="3:10" s="40" customFormat="1" ht="21" x14ac:dyDescent="0.2">
      <c r="C41" s="108"/>
      <c r="D41" s="37"/>
      <c r="E41" s="59" t="s">
        <v>1</v>
      </c>
      <c r="F41" s="61" t="s">
        <v>1</v>
      </c>
      <c r="G41" s="59">
        <v>1</v>
      </c>
      <c r="H41" s="59">
        <f>E40*G41</f>
        <v>3</v>
      </c>
      <c r="I41" s="59" t="s">
        <v>1</v>
      </c>
      <c r="J41" s="49">
        <f>H41*G48</f>
        <v>5250</v>
      </c>
    </row>
    <row r="42" spans="3:10" s="40" customFormat="1" ht="21" x14ac:dyDescent="0.2">
      <c r="C42" s="108"/>
      <c r="D42" s="51" t="s">
        <v>40</v>
      </c>
      <c r="E42" s="59">
        <v>2</v>
      </c>
      <c r="F42" s="61" t="s">
        <v>5</v>
      </c>
      <c r="G42" s="59"/>
      <c r="H42" s="59"/>
      <c r="I42" s="59"/>
      <c r="J42" s="49"/>
    </row>
    <row r="43" spans="3:10" s="40" customFormat="1" ht="21" x14ac:dyDescent="0.2">
      <c r="C43" s="108"/>
      <c r="D43" s="51"/>
      <c r="E43" s="59">
        <v>2</v>
      </c>
      <c r="F43" s="61" t="s">
        <v>7</v>
      </c>
      <c r="G43" s="59" t="s">
        <v>1</v>
      </c>
      <c r="H43" s="59"/>
      <c r="I43" s="59"/>
      <c r="J43" s="49"/>
    </row>
    <row r="44" spans="3:10" s="40" customFormat="1" ht="42" x14ac:dyDescent="0.2">
      <c r="C44" s="108"/>
      <c r="D44" s="51"/>
      <c r="E44" s="59">
        <f>E42+E43</f>
        <v>4</v>
      </c>
      <c r="F44" s="61" t="s">
        <v>13</v>
      </c>
      <c r="G44" s="59" t="s">
        <v>12</v>
      </c>
      <c r="H44" s="59" t="s">
        <v>11</v>
      </c>
      <c r="I44" s="59" t="s">
        <v>10</v>
      </c>
      <c r="J44" s="49"/>
    </row>
    <row r="45" spans="3:10" ht="30" customHeight="1" x14ac:dyDescent="0.2">
      <c r="C45" s="108"/>
      <c r="D45" s="51"/>
      <c r="E45" s="59">
        <f>E44/8</f>
        <v>0.5</v>
      </c>
      <c r="F45" s="61" t="s">
        <v>6</v>
      </c>
      <c r="G45" s="59">
        <v>1</v>
      </c>
      <c r="H45" s="59">
        <v>1750</v>
      </c>
      <c r="I45" s="59">
        <v>1</v>
      </c>
      <c r="J45" s="49">
        <f>H45*E45</f>
        <v>875</v>
      </c>
    </row>
    <row r="46" spans="3:10" ht="30" customHeight="1" thickBot="1" x14ac:dyDescent="0.25">
      <c r="C46" s="109"/>
      <c r="D46" s="38" t="s">
        <v>1</v>
      </c>
      <c r="E46" s="63" t="s">
        <v>1</v>
      </c>
      <c r="F46" s="63"/>
      <c r="G46" s="63"/>
      <c r="H46" s="63"/>
      <c r="I46" s="63"/>
      <c r="J46" s="33">
        <f>G48*E40</f>
        <v>5250</v>
      </c>
    </row>
    <row r="47" spans="3:10" ht="20" x14ac:dyDescent="0.2">
      <c r="D47" s="31"/>
      <c r="E47" s="53"/>
      <c r="F47" s="53"/>
      <c r="G47" s="64">
        <v>5000</v>
      </c>
      <c r="H47" s="64"/>
      <c r="I47" s="64"/>
      <c r="J47" s="10"/>
    </row>
    <row r="48" spans="3:10" ht="21" x14ac:dyDescent="0.2">
      <c r="D48" s="1"/>
      <c r="E48" s="65" t="s">
        <v>1</v>
      </c>
      <c r="F48" s="65"/>
      <c r="G48" s="13">
        <v>1750</v>
      </c>
      <c r="H48" s="13"/>
      <c r="I48" s="13"/>
      <c r="J48" s="11"/>
    </row>
    <row r="49" spans="4:10" ht="21" x14ac:dyDescent="0.2">
      <c r="D49" s="14" t="s">
        <v>9</v>
      </c>
      <c r="E49" s="15" t="s">
        <v>1</v>
      </c>
      <c r="F49" s="15"/>
      <c r="G49" s="15"/>
      <c r="H49" s="15"/>
      <c r="I49" s="15"/>
      <c r="J49" s="16">
        <f>SUM(J11+J25+J38+J46)</f>
        <v>27750</v>
      </c>
    </row>
    <row r="50" spans="4:10" x14ac:dyDescent="0.2">
      <c r="E50" s="2"/>
      <c r="F50" s="2"/>
      <c r="G50" s="2"/>
      <c r="H50" s="2"/>
      <c r="I50" s="2"/>
    </row>
    <row r="51" spans="4:10" x14ac:dyDescent="0.2">
      <c r="E51" s="2"/>
      <c r="F51" s="2"/>
      <c r="G51" s="2"/>
      <c r="H51" s="2"/>
      <c r="I51" s="2"/>
    </row>
    <row r="52" spans="4:10" x14ac:dyDescent="0.2">
      <c r="E52" s="2"/>
      <c r="F52" s="2"/>
      <c r="G52" s="2"/>
      <c r="H52" s="2"/>
      <c r="I52" s="2"/>
    </row>
    <row r="53" spans="4:10" x14ac:dyDescent="0.2">
      <c r="E53" s="2"/>
      <c r="F53" s="2"/>
      <c r="G53" s="2"/>
      <c r="H53" s="2"/>
      <c r="I53" s="2"/>
    </row>
    <row r="54" spans="4:10" x14ac:dyDescent="0.2">
      <c r="E54" s="2"/>
      <c r="F54" s="2"/>
      <c r="G54" s="2"/>
      <c r="H54" s="2"/>
      <c r="I54" s="2"/>
    </row>
    <row r="55" spans="4:10" x14ac:dyDescent="0.2">
      <c r="E55" s="2"/>
      <c r="F55" s="2"/>
      <c r="G55" s="2"/>
      <c r="H55" s="2"/>
      <c r="I55" s="2"/>
    </row>
    <row r="56" spans="4:10" x14ac:dyDescent="0.2">
      <c r="E56" s="2"/>
      <c r="F56" s="2"/>
      <c r="G56" s="2"/>
      <c r="H56" s="2"/>
      <c r="I56" s="2"/>
    </row>
    <row r="57" spans="4:10" x14ac:dyDescent="0.2">
      <c r="E57" s="2"/>
      <c r="F57" s="2"/>
      <c r="G57" s="2"/>
      <c r="H57" s="2"/>
      <c r="I57" s="2"/>
    </row>
    <row r="58" spans="4:10" x14ac:dyDescent="0.2">
      <c r="E58" s="2"/>
      <c r="F58" s="2"/>
      <c r="G58" s="2"/>
      <c r="H58" s="2"/>
      <c r="I58" s="2"/>
    </row>
    <row r="59" spans="4:10" x14ac:dyDescent="0.2">
      <c r="E59" s="2"/>
      <c r="F59" s="2"/>
      <c r="G59" s="2"/>
      <c r="H59" s="2"/>
      <c r="I59" s="2"/>
    </row>
    <row r="60" spans="4:10" x14ac:dyDescent="0.2">
      <c r="E60" s="2"/>
      <c r="F60" s="2"/>
      <c r="G60" s="2"/>
      <c r="H60" s="2"/>
      <c r="I60" s="2"/>
    </row>
    <row r="61" spans="4:10" x14ac:dyDescent="0.2">
      <c r="E61" s="2"/>
      <c r="F61" s="2"/>
      <c r="G61" s="2"/>
      <c r="H61" s="2"/>
      <c r="I61" s="2"/>
    </row>
    <row r="62" spans="4:10" x14ac:dyDescent="0.2">
      <c r="E62" s="2"/>
      <c r="F62" s="2"/>
      <c r="G62" s="2"/>
      <c r="H62" s="2"/>
      <c r="I62" s="2"/>
    </row>
    <row r="63" spans="4:10" x14ac:dyDescent="0.2">
      <c r="E63" s="2"/>
      <c r="F63" s="2"/>
      <c r="G63" s="2"/>
      <c r="H63" s="2"/>
      <c r="I63" s="2"/>
    </row>
    <row r="64" spans="4:10" x14ac:dyDescent="0.2">
      <c r="E64" s="2"/>
      <c r="F64" s="2"/>
      <c r="G64" s="2"/>
      <c r="H64" s="2"/>
      <c r="I64" s="2"/>
    </row>
    <row r="65" spans="5:9" x14ac:dyDescent="0.2">
      <c r="E65" s="2"/>
      <c r="F65" s="2"/>
      <c r="G65" s="2"/>
      <c r="H65" s="2"/>
      <c r="I65" s="2"/>
    </row>
    <row r="66" spans="5:9" x14ac:dyDescent="0.2">
      <c r="E66" s="2"/>
      <c r="F66" s="2"/>
      <c r="G66" s="2"/>
      <c r="H66" s="2"/>
      <c r="I66" s="2"/>
    </row>
    <row r="67" spans="5:9" x14ac:dyDescent="0.2">
      <c r="E67" s="2"/>
      <c r="F67" s="2"/>
      <c r="G67" s="2"/>
      <c r="H67" s="2"/>
      <c r="I67" s="2"/>
    </row>
    <row r="68" spans="5:9" x14ac:dyDescent="0.2">
      <c r="E68" s="2"/>
      <c r="F68" s="2"/>
      <c r="G68" s="2"/>
      <c r="H68" s="2"/>
      <c r="I68" s="2"/>
    </row>
    <row r="69" spans="5:9" x14ac:dyDescent="0.2">
      <c r="E69" s="2"/>
      <c r="F69" s="2"/>
      <c r="G69" s="2"/>
      <c r="H69" s="2"/>
      <c r="I69" s="2"/>
    </row>
    <row r="70" spans="5:9" x14ac:dyDescent="0.2">
      <c r="E70" s="2"/>
      <c r="F70" s="2"/>
      <c r="G70" s="2"/>
      <c r="H70" s="2"/>
      <c r="I70" s="2"/>
    </row>
    <row r="71" spans="5:9" x14ac:dyDescent="0.2">
      <c r="E71" s="2"/>
      <c r="F71" s="2"/>
      <c r="G71" s="2"/>
      <c r="H71" s="2"/>
      <c r="I71" s="2"/>
    </row>
    <row r="72" spans="5:9" x14ac:dyDescent="0.2">
      <c r="E72" s="2"/>
      <c r="F72" s="2"/>
      <c r="G72" s="2"/>
      <c r="H72" s="2"/>
      <c r="I72" s="2"/>
    </row>
    <row r="73" spans="5:9" x14ac:dyDescent="0.2">
      <c r="E73" s="2"/>
      <c r="F73" s="2"/>
      <c r="G73" s="2"/>
      <c r="H73" s="2"/>
      <c r="I73" s="2"/>
    </row>
    <row r="74" spans="5:9" x14ac:dyDescent="0.2">
      <c r="E74" s="2"/>
      <c r="F74" s="2"/>
      <c r="G74" s="2"/>
      <c r="H74" s="2"/>
      <c r="I74" s="2"/>
    </row>
    <row r="75" spans="5:9" x14ac:dyDescent="0.2">
      <c r="E75" s="2"/>
      <c r="F75" s="2"/>
      <c r="G75" s="2"/>
      <c r="H75" s="2"/>
      <c r="I75" s="2"/>
    </row>
    <row r="76" spans="5:9" x14ac:dyDescent="0.2">
      <c r="E76" s="2"/>
      <c r="F76" s="2"/>
      <c r="G76" s="2"/>
      <c r="H76" s="2"/>
      <c r="I76" s="2"/>
    </row>
    <row r="77" spans="5:9" x14ac:dyDescent="0.2">
      <c r="E77" s="2"/>
      <c r="F77" s="2"/>
      <c r="G77" s="2"/>
      <c r="H77" s="2"/>
      <c r="I77" s="2"/>
    </row>
    <row r="78" spans="5:9" x14ac:dyDescent="0.2">
      <c r="E78" s="2"/>
      <c r="F78" s="2"/>
      <c r="G78" s="2"/>
      <c r="H78" s="2"/>
      <c r="I78" s="2"/>
    </row>
    <row r="79" spans="5:9" x14ac:dyDescent="0.2">
      <c r="E79" s="2"/>
      <c r="F79" s="2"/>
      <c r="G79" s="2"/>
      <c r="H79" s="2"/>
      <c r="I79" s="2"/>
    </row>
    <row r="80" spans="5:9" x14ac:dyDescent="0.2">
      <c r="E80" s="2"/>
      <c r="F80" s="2"/>
      <c r="G80" s="2"/>
      <c r="H80" s="2"/>
      <c r="I80" s="2"/>
    </row>
    <row r="81" spans="5:9" x14ac:dyDescent="0.2">
      <c r="E81" s="2"/>
      <c r="F81" s="2"/>
      <c r="G81" s="2"/>
      <c r="H81" s="2"/>
      <c r="I81" s="2"/>
    </row>
    <row r="82" spans="5:9" x14ac:dyDescent="0.2">
      <c r="E82" s="2"/>
      <c r="F82" s="2"/>
      <c r="G82" s="2"/>
      <c r="H82" s="2"/>
      <c r="I82" s="2"/>
    </row>
    <row r="83" spans="5:9" x14ac:dyDescent="0.2">
      <c r="E83" s="2"/>
      <c r="F83" s="2"/>
      <c r="G83" s="2"/>
      <c r="H83" s="2"/>
      <c r="I83" s="2"/>
    </row>
    <row r="84" spans="5:9" x14ac:dyDescent="0.2">
      <c r="E84" s="2"/>
      <c r="F84" s="2"/>
      <c r="G84" s="2"/>
      <c r="H84" s="2"/>
      <c r="I84" s="2"/>
    </row>
    <row r="85" spans="5:9" x14ac:dyDescent="0.2">
      <c r="E85" s="2"/>
      <c r="F85" s="2"/>
      <c r="G85" s="2"/>
      <c r="H85" s="2"/>
      <c r="I85" s="2"/>
    </row>
    <row r="86" spans="5:9" x14ac:dyDescent="0.2">
      <c r="E86" s="2"/>
      <c r="F86" s="2"/>
      <c r="G86" s="2"/>
      <c r="H86" s="2"/>
      <c r="I86" s="2"/>
    </row>
    <row r="87" spans="5:9" x14ac:dyDescent="0.2">
      <c r="E87" s="2"/>
      <c r="F87" s="2"/>
      <c r="G87" s="2"/>
      <c r="H87" s="2"/>
      <c r="I87" s="2"/>
    </row>
    <row r="88" spans="5:9" x14ac:dyDescent="0.2">
      <c r="E88" s="2"/>
      <c r="F88" s="2"/>
      <c r="G88" s="2"/>
      <c r="H88" s="2"/>
      <c r="I88" s="2"/>
    </row>
    <row r="89" spans="5:9" x14ac:dyDescent="0.2">
      <c r="E89" s="2"/>
      <c r="F89" s="2"/>
      <c r="G89" s="2"/>
      <c r="H89" s="2"/>
      <c r="I89" s="2"/>
    </row>
    <row r="90" spans="5:9" x14ac:dyDescent="0.2">
      <c r="E90" s="2"/>
      <c r="F90" s="2"/>
      <c r="G90" s="2"/>
      <c r="H90" s="2"/>
      <c r="I90" s="2"/>
    </row>
    <row r="91" spans="5:9" x14ac:dyDescent="0.2">
      <c r="E91" s="2"/>
      <c r="F91" s="2"/>
      <c r="G91" s="2"/>
      <c r="H91" s="2"/>
      <c r="I91" s="2"/>
    </row>
    <row r="92" spans="5:9" x14ac:dyDescent="0.2">
      <c r="E92" s="2"/>
      <c r="F92" s="2"/>
      <c r="G92" s="2"/>
      <c r="H92" s="2"/>
      <c r="I92" s="2"/>
    </row>
    <row r="93" spans="5:9" x14ac:dyDescent="0.2">
      <c r="E93" s="2"/>
      <c r="F93" s="2"/>
      <c r="G93" s="2"/>
      <c r="H93" s="2"/>
      <c r="I93" s="2"/>
    </row>
  </sheetData>
  <mergeCells count="6">
    <mergeCell ref="C6:C11"/>
    <mergeCell ref="C12:C25"/>
    <mergeCell ref="C26:C38"/>
    <mergeCell ref="C39:C46"/>
    <mergeCell ref="D3:J3"/>
    <mergeCell ref="E4:G4"/>
  </mergeCells>
  <phoneticPr fontId="12" type="noConversion"/>
  <pageMargins left="0.7" right="0.7" top="0.75" bottom="0.75" header="0.3" footer="0.3"/>
  <pageSetup scale="34" orientation="portrait" horizontalDpi="0" verticalDpi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!st</vt:lpstr>
      <vt:lpstr>2nd</vt:lpstr>
      <vt:lpstr>'!st'!Print_Area</vt:lpstr>
      <vt:lpstr>'2nd'!Print_Area</vt:lpstr>
    </vt:vector>
  </TitlesOfParts>
  <Company>Kate Burda &amp;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Burda</dc:creator>
  <cp:lastModifiedBy>Kate Burda</cp:lastModifiedBy>
  <cp:lastPrinted>2017-10-03T23:15:04Z</cp:lastPrinted>
  <dcterms:created xsi:type="dcterms:W3CDTF">2017-06-18T17:46:44Z</dcterms:created>
  <dcterms:modified xsi:type="dcterms:W3CDTF">2022-09-07T20:37:15Z</dcterms:modified>
</cp:coreProperties>
</file>