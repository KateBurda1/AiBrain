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netorg703210-my.sharepoint.com/personal/kate_kateburda_com/Documents/"/>
    </mc:Choice>
  </mc:AlternateContent>
  <xr:revisionPtr revIDLastSave="0" documentId="8_{CE305A7E-2C90-584A-8ED1-59B52EBE7631}" xr6:coauthVersionLast="47" xr6:coauthVersionMax="47" xr10:uidLastSave="{00000000-0000-0000-0000-000000000000}"/>
  <bookViews>
    <workbookView xWindow="-2160" yWindow="8480" windowWidth="50880" windowHeight="26780" tabRatio="500" xr2:uid="{00000000-000D-0000-FFFF-FFFF00000000}"/>
  </bookViews>
  <sheets>
    <sheet name="Investment " sheetId="3" r:id="rId1"/>
    <sheet name="Time and Materials" sheetId="4" r:id="rId2"/>
  </sheets>
  <definedNames>
    <definedName name="_xlnm.Print_Area" localSheetId="0">'Investment '!$B$2:$I$39</definedName>
    <definedName name="_xlnm.Print_Area" localSheetId="1">'Time and Materials'!$A$1:$H$39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7" i="3" l="1"/>
  <c r="E9" i="3"/>
  <c r="G45" i="4"/>
  <c r="F15" i="4"/>
  <c r="E30" i="4"/>
  <c r="F21" i="4"/>
  <c r="E15" i="4"/>
  <c r="E21" i="4"/>
  <c r="H21" i="4" s="1"/>
  <c r="H15" i="4" l="1"/>
  <c r="E41" i="4"/>
  <c r="E43" i="4" s="1"/>
  <c r="F30" i="4"/>
  <c r="F41" i="4" s="1"/>
  <c r="F43" i="4" s="1"/>
  <c r="E37" i="3"/>
  <c r="I37" i="3" s="1"/>
  <c r="F23" i="3"/>
  <c r="L23" i="3" s="1"/>
  <c r="E23" i="3"/>
  <c r="F9" i="3"/>
  <c r="I9" i="3" l="1"/>
  <c r="F41" i="3"/>
  <c r="F43" i="3" s="1"/>
  <c r="E41" i="3"/>
  <c r="I23" i="3"/>
  <c r="H30" i="4"/>
  <c r="H37" i="4" s="1"/>
  <c r="F45" i="4"/>
  <c r="G30" i="4"/>
  <c r="I25" i="3" l="1"/>
  <c r="L24" i="3" s="1"/>
  <c r="L25" i="3" s="1"/>
  <c r="I38" i="3"/>
  <c r="G41" i="3"/>
  <c r="E43" i="3"/>
  <c r="F45" i="3" s="1"/>
  <c r="I24" i="3"/>
  <c r="H39" i="4"/>
  <c r="G41" i="4"/>
  <c r="G47" i="4" s="1"/>
  <c r="G45" i="3" l="1"/>
  <c r="G47" i="3" s="1"/>
</calcChain>
</file>

<file path=xl/sharedStrings.xml><?xml version="1.0" encoding="utf-8"?>
<sst xmlns="http://schemas.openxmlformats.org/spreadsheetml/2006/main" count="209" uniqueCount="106">
  <si>
    <t xml:space="preserve"> </t>
  </si>
  <si>
    <t xml:space="preserve"> Investment </t>
  </si>
  <si>
    <t>Process &amp; Customer Engagement</t>
  </si>
  <si>
    <t>Days</t>
  </si>
  <si>
    <t>Strategy Coaching</t>
  </si>
  <si>
    <t>Measure &amp; Equip</t>
  </si>
  <si>
    <t>Development  &amp; Design of Measurement and Metrics</t>
  </si>
  <si>
    <t>Description &amp; Deliverables</t>
  </si>
  <si>
    <t xml:space="preserve">Deliverables: </t>
  </si>
  <si>
    <t>Sustain &amp; Coach</t>
  </si>
  <si>
    <t>Science &amp; Strategy</t>
  </si>
  <si>
    <t>Building the Future State</t>
  </si>
  <si>
    <t xml:space="preserve">Foundation </t>
  </si>
  <si>
    <t>Sales</t>
  </si>
  <si>
    <t>Marketing (Digital &amp; Traditional)</t>
  </si>
  <si>
    <t xml:space="preserve">Sales </t>
  </si>
  <si>
    <t xml:space="preserve">Marketing  </t>
  </si>
  <si>
    <t>Hrs per month</t>
  </si>
  <si>
    <t xml:space="preserve">Total Cost of Engagement w/ Measure &amp; Equip  </t>
  </si>
  <si>
    <t xml:space="preserve">20% of Discovery cost applied to Engagement </t>
  </si>
  <si>
    <t>Outline of Investment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</si>
  <si>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Installing Framework that organizes teams thinking and approach</t>
    </r>
  </si>
  <si>
    <r>
      <rPr>
        <sz val="24"/>
        <color theme="1"/>
        <rFont val="Wingdings 3"/>
        <charset val="2"/>
      </rPr>
      <t xml:space="preserve">a </t>
    </r>
    <r>
      <rPr>
        <sz val="24"/>
        <color theme="1"/>
        <rFont val="Franklin Gothic Book"/>
        <family val="2"/>
      </rPr>
      <t>One-on-One calls bi-weekly with sales leadership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</si>
  <si>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One-on-One calls bi-weekly with digital marketing lead</t>
    </r>
  </si>
  <si>
    <r>
      <t xml:space="preserve">a </t>
    </r>
    <r>
      <rPr>
        <sz val="24"/>
        <color rgb="FF000000"/>
        <rFont val="Franklin Gothic Book"/>
        <family val="2"/>
      </rPr>
      <t>In-market visit for deeper need hotels where they are having difficulty and need a deeper level of instruction</t>
    </r>
  </si>
  <si>
    <r>
      <t xml:space="preserve">a </t>
    </r>
    <r>
      <rPr>
        <sz val="24"/>
        <color rgb="FF000000"/>
        <rFont val="Franklin Gothic Book"/>
        <family val="2"/>
      </rPr>
      <t>Market Review Report</t>
    </r>
  </si>
  <si>
    <t>Approximate Timing</t>
  </si>
  <si>
    <t>On-Going</t>
  </si>
  <si>
    <t>Quarterly hotel visit</t>
  </si>
  <si>
    <t>Included in Project</t>
  </si>
  <si>
    <t>Phases</t>
  </si>
  <si>
    <t>What happens in Process &amp; Customer Engagement</t>
  </si>
  <si>
    <t xml:space="preserve">What happens in Science &amp; Strategy: </t>
  </si>
  <si>
    <r>
      <t xml:space="preserve">t </t>
    </r>
    <r>
      <rPr>
        <sz val="24"/>
        <color theme="1"/>
        <rFont val="Franklin Gothic Book"/>
        <family val="2"/>
      </rPr>
      <t xml:space="preserve">Work session - 1 day in market with critical crowd </t>
    </r>
  </si>
  <si>
    <t>Buildinging in the needed foundation for the components.</t>
  </si>
  <si>
    <t>Cementing the team in the think, so it is habitual and creates repeatable results.</t>
  </si>
  <si>
    <t>Coaching the leaders in how to coach the new processes.   You can't coach what you don't know yourself.</t>
  </si>
  <si>
    <r>
      <t xml:space="preserve">a </t>
    </r>
    <r>
      <rPr>
        <sz val="24"/>
        <color rgb="FF000000"/>
        <rFont val="Franklin Gothic Book"/>
        <family val="2"/>
      </rPr>
      <t>Benchmark / Scoreboard of progress</t>
    </r>
  </si>
  <si>
    <t>What happens in sustain and coach:</t>
  </si>
  <si>
    <t>Framework</t>
  </si>
  <si>
    <t>Investment for Performance</t>
  </si>
  <si>
    <r>
      <rPr>
        <sz val="24"/>
        <color theme="1"/>
        <rFont val="Wingdings 3"/>
        <charset val="2"/>
      </rPr>
      <t>a</t>
    </r>
    <r>
      <rPr>
        <sz val="24"/>
        <color theme="1"/>
        <rFont val="Franklin Gothic Book"/>
        <family val="2"/>
      </rPr>
      <t xml:space="preserve"> 20/20 Vision Roadmap</t>
    </r>
  </si>
  <si>
    <t>3 weeks</t>
  </si>
  <si>
    <t>2-day session</t>
  </si>
  <si>
    <t>1- day session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</si>
  <si>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Installing the thinking and the knowledge.        Bringing new and relevant process to each discipline.  Elevate and Install the thinking of new needed process</t>
    </r>
    <r>
      <rPr>
        <sz val="24"/>
        <color theme="1"/>
        <rFont val="Franklin Gothic Book"/>
        <family val="2"/>
        <charset val="2"/>
      </rPr>
      <t xml:space="preserve"> </t>
    </r>
  </si>
  <si>
    <t>Account Development Plan-  "Business Accelerator"</t>
  </si>
  <si>
    <t xml:space="preserve">  </t>
  </si>
  <si>
    <t>2- 3 weeks</t>
  </si>
  <si>
    <t>Investment for engagement</t>
  </si>
  <si>
    <t>Drive, Coach &amp; Sustain (Optional)</t>
  </si>
  <si>
    <t>Value Proposition Framework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</si>
  <si>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 </t>
    </r>
    <r>
      <rPr>
        <sz val="24"/>
        <color theme="1"/>
        <rFont val="Franklin Gothic Book"/>
        <family val="2"/>
        <charset val="2"/>
      </rPr>
      <t>The tools and framework 'thought-organizers' to create repeatable results</t>
    </r>
  </si>
  <si>
    <t>Customer Buying Journey</t>
  </si>
  <si>
    <r>
      <rPr>
        <i/>
        <sz val="24"/>
        <color theme="1"/>
        <rFont val="Wingdings 3"/>
        <charset val="2"/>
      </rPr>
      <t>a</t>
    </r>
    <r>
      <rPr>
        <i/>
        <sz val="24"/>
        <color theme="1"/>
        <rFont val="Franklin Gothic Book"/>
        <family val="2"/>
      </rPr>
      <t xml:space="preserve"> Work sessions</t>
    </r>
  </si>
  <si>
    <t>Done throughout the project</t>
  </si>
  <si>
    <t>Total engagement cost</t>
  </si>
  <si>
    <t>Business Coordination</t>
  </si>
  <si>
    <t>Work Streams</t>
  </si>
  <si>
    <t>Team</t>
  </si>
  <si>
    <t>What is happening:</t>
  </si>
  <si>
    <r>
      <t xml:space="preserve">t </t>
    </r>
    <r>
      <rPr>
        <sz val="24"/>
        <color theme="1" tint="0.249977111117893"/>
        <rFont val="Franklin Gothic Book"/>
        <family val="2"/>
      </rPr>
      <t>Go-To-Market Strategy</t>
    </r>
  </si>
  <si>
    <t xml:space="preserve">*fees exclude travel costs if necessary, printing, and materials </t>
  </si>
  <si>
    <t>Creating the "Big Idea"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</si>
  <si>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Naming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</si>
  <si>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Competitor Analysis</t>
    </r>
    <r>
      <rPr>
        <sz val="24"/>
        <color theme="1"/>
        <rFont val="Franklin Gothic Book"/>
        <family val="2"/>
        <charset val="2"/>
      </rPr>
      <t>- White Space, Innovation</t>
    </r>
  </si>
  <si>
    <t>Building the Future- Brand Strategy Plan</t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</si>
  <si>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Vision to Value Roadmap</t>
    </r>
  </si>
  <si>
    <r>
      <t xml:space="preserve">t </t>
    </r>
    <r>
      <rPr>
        <sz val="24"/>
        <color theme="1" tint="0.14999847407452621"/>
        <rFont val="Franklin Gothic Book"/>
        <family val="2"/>
      </rPr>
      <t>Brand Strategy Plan</t>
    </r>
  </si>
  <si>
    <r>
      <t xml:space="preserve">o </t>
    </r>
    <r>
      <rPr>
        <sz val="24"/>
        <color theme="1" tint="0.249977111117893"/>
        <rFont val="Franklin Gothic Book"/>
        <family val="2"/>
      </rPr>
      <t>Site Map,  Design, photography, video</t>
    </r>
  </si>
  <si>
    <r>
      <t xml:space="preserve">t </t>
    </r>
    <r>
      <rPr>
        <sz val="24"/>
        <color theme="1" tint="0.249977111117893"/>
        <rFont val="Franklin Gothic Book"/>
        <family val="2"/>
      </rPr>
      <t>Website</t>
    </r>
  </si>
  <si>
    <t>Description</t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</si>
  <si>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 xml:space="preserve">Brand Positioning- Why,(Vision) Brand Personality 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</si>
  <si>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Positioning</t>
    </r>
  </si>
  <si>
    <r>
      <rPr>
        <sz val="24"/>
        <color rgb="FF000000"/>
        <rFont val="Wingdings 3"/>
        <charset val="2"/>
      </rPr>
      <t xml:space="preserve">a </t>
    </r>
    <r>
      <rPr>
        <sz val="24"/>
        <color rgb="FF000000"/>
        <rFont val="Franklin Gothic Book"/>
        <family val="2"/>
      </rPr>
      <t>Brand book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</si>
  <si>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Brand Book-  Logo Package, graphic design, fonts,  color palette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</si>
  <si>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Customer Interviews and Aspirational Positioning</t>
    </r>
  </si>
  <si>
    <r>
      <rPr>
        <sz val="24"/>
        <color theme="1" tint="0.249977111117893"/>
        <rFont val="Wingdings 3"/>
        <charset val="2"/>
      </rPr>
      <t xml:space="preserve">a </t>
    </r>
    <r>
      <rPr>
        <sz val="24"/>
        <color theme="1" tint="0.249977111117893"/>
        <rFont val="Franklin Gothic Book"/>
        <family val="2"/>
      </rPr>
      <t xml:space="preserve">Website </t>
    </r>
  </si>
  <si>
    <r>
      <t xml:space="preserve">Install, Elevate &amp;Enhance </t>
    </r>
    <r>
      <rPr>
        <i/>
        <sz val="28"/>
        <color theme="0"/>
        <rFont val="Franklin Gothic Book"/>
        <family val="2"/>
      </rPr>
      <t>(Continued Marketing Support)</t>
    </r>
  </si>
  <si>
    <r>
      <t xml:space="preserve">Install, Elevate, &amp; Enhance </t>
    </r>
    <r>
      <rPr>
        <i/>
        <sz val="28"/>
        <color theme="0"/>
        <rFont val="Franklin Gothic Book"/>
        <family val="2"/>
      </rPr>
      <t>(Website)</t>
    </r>
  </si>
  <si>
    <t>*price excludes video cost</t>
  </si>
  <si>
    <r>
      <t xml:space="preserve">o </t>
    </r>
    <r>
      <rPr>
        <sz val="24"/>
        <color theme="1" tint="0.249977111117893"/>
        <rFont val="Franklin Gothic Book"/>
        <family val="2"/>
      </rPr>
      <t>SEO and Optimization, Google Console, backlinking, etc</t>
    </r>
  </si>
  <si>
    <r>
      <t xml:space="preserve">o </t>
    </r>
    <r>
      <rPr>
        <sz val="24"/>
        <color theme="1" tint="0.249977111117893"/>
        <rFont val="Franklin Gothic Book"/>
        <family val="2"/>
      </rPr>
      <t>Content (Copywritting, Keywords,)</t>
    </r>
  </si>
  <si>
    <r>
      <t xml:space="preserve">o </t>
    </r>
    <r>
      <rPr>
        <sz val="24"/>
        <color theme="1" tint="0.249977111117893"/>
        <rFont val="Franklin Gothic Book"/>
        <family val="2"/>
      </rPr>
      <t>Metatags, titles, descriptors, Google optimization</t>
    </r>
  </si>
  <si>
    <r>
      <t xml:space="preserve">t </t>
    </r>
    <r>
      <rPr>
        <sz val="24"/>
        <color theme="1" tint="0.249977111117893"/>
        <rFont val="Franklin Gothic Book"/>
        <family val="2"/>
      </rPr>
      <t>Campaign outreach</t>
    </r>
  </si>
  <si>
    <r>
      <t xml:space="preserve">t </t>
    </r>
    <r>
      <rPr>
        <sz val="24"/>
        <color theme="1" tint="0.249977111117893"/>
        <rFont val="Franklin Gothic Book"/>
        <family val="2"/>
      </rPr>
      <t>Targeted customer marketing</t>
    </r>
  </si>
  <si>
    <r>
      <t xml:space="preserve">t </t>
    </r>
    <r>
      <rPr>
        <sz val="24"/>
        <color theme="1" tint="0.249977111117893"/>
        <rFont val="Franklin Gothic Book"/>
        <family val="2"/>
      </rPr>
      <t>Thought leadership outreach</t>
    </r>
  </si>
  <si>
    <r>
      <rPr>
        <sz val="24"/>
        <color theme="1" tint="0.249977111117893"/>
        <rFont val="Wingdings 3"/>
        <charset val="2"/>
      </rPr>
      <t>a</t>
    </r>
    <r>
      <rPr>
        <sz val="24"/>
        <color theme="1" tint="0.249977111117893"/>
        <rFont val="Franklin Gothic Book"/>
        <family val="2"/>
      </rPr>
      <t xml:space="preserve"> Outsourced CMO</t>
    </r>
  </si>
  <si>
    <t>Me</t>
  </si>
  <si>
    <t xml:space="preserve">Sr. </t>
  </si>
  <si>
    <t>10% of project cost</t>
  </si>
  <si>
    <t>Hourly Cost</t>
  </si>
  <si>
    <t>Project time</t>
  </si>
  <si>
    <t>Total Cost of Time</t>
  </si>
  <si>
    <t>50- hour block</t>
  </si>
  <si>
    <t xml:space="preserve">Cost of Block </t>
  </si>
  <si>
    <r>
      <t xml:space="preserve">t </t>
    </r>
    <r>
      <rPr>
        <sz val="24"/>
        <color theme="1" tint="0.14999847407452621"/>
        <rFont val="Franklin Gothic Book"/>
        <family val="2"/>
      </rPr>
      <t>Revenue Segmentation- Ignite</t>
    </r>
  </si>
  <si>
    <r>
      <rPr>
        <sz val="24"/>
        <color theme="1" tint="0.14999847407452621"/>
        <rFont val="Wingdings 3"/>
        <charset val="2"/>
      </rPr>
      <t>a</t>
    </r>
    <r>
      <rPr>
        <sz val="24"/>
        <color theme="1" tint="0.14999847407452621"/>
        <rFont val="Franklin Gothic Book"/>
        <family val="2"/>
      </rPr>
      <t xml:space="preserve">    Ignite  Program</t>
    </r>
  </si>
  <si>
    <t>Team Sessions:</t>
  </si>
  <si>
    <r>
      <rPr>
        <sz val="24"/>
        <color rgb="FFD51067"/>
        <rFont val="Wingdings 2"/>
        <charset val="2"/>
      </rPr>
      <t>E</t>
    </r>
    <r>
      <rPr>
        <sz val="24"/>
        <color rgb="FF000000"/>
        <rFont val="Wingdings 3"/>
        <charset val="2"/>
      </rPr>
      <t xml:space="preserve"> </t>
    </r>
    <r>
      <rPr>
        <sz val="24"/>
        <color rgb="FF000000"/>
        <rFont val="Franklin Gothic Book"/>
        <family val="2"/>
      </rPr>
      <t>Team Meeting- Final Vetting</t>
    </r>
  </si>
  <si>
    <r>
      <rPr>
        <sz val="24"/>
        <color theme="1"/>
        <rFont val="Wingdings"/>
        <charset val="2"/>
      </rPr>
      <t xml:space="preserve">t </t>
    </r>
    <r>
      <rPr>
        <sz val="24"/>
        <color theme="1"/>
        <rFont val="Franklin Gothic Book"/>
        <family val="2"/>
      </rPr>
      <t>Heartbeat Process Benchmarking</t>
    </r>
  </si>
  <si>
    <t>*Cost would be a retainer model post intial engagement</t>
  </si>
  <si>
    <t>Revenue Plan</t>
  </si>
  <si>
    <t>Tristan</t>
  </si>
  <si>
    <t>Monthly Discounted Retainer</t>
  </si>
  <si>
    <t>Ignite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</si>
</sst>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</numFmts>
  <fonts count="7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Franklin Gothic Book"/>
      <family val="2"/>
    </font>
    <font>
      <sz val="12"/>
      <color theme="0"/>
      <name val="Calibri"/>
      <family val="2"/>
      <scheme val="minor"/>
    </font>
    <font>
      <sz val="24"/>
      <color theme="0"/>
      <name val="Franklin Gothic Book"/>
      <family val="2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 tint="-0.14999847407452621"/>
      <name val="Franklin Gothic Book"/>
      <family val="2"/>
    </font>
    <font>
      <b/>
      <i/>
      <u/>
      <sz val="24"/>
      <color rgb="FF000000"/>
      <name val="Franklin Gothic Book"/>
      <family val="2"/>
    </font>
    <font>
      <sz val="24"/>
      <color theme="1"/>
      <name val="Franklin Gothic Book"/>
      <family val="2"/>
      <charset val="2"/>
    </font>
    <font>
      <sz val="24"/>
      <color theme="1"/>
      <name val="Wingdings"/>
      <charset val="2"/>
    </font>
    <font>
      <sz val="24"/>
      <color rgb="FF000000"/>
      <name val="Franklin Gothic Book"/>
      <family val="2"/>
    </font>
    <font>
      <sz val="24"/>
      <color rgb="FF000000"/>
      <name val="Wingdings"/>
      <charset val="2"/>
    </font>
    <font>
      <b/>
      <i/>
      <sz val="24"/>
      <color rgb="FF000000"/>
      <name val="Franklin Gothic Book"/>
      <family val="2"/>
    </font>
    <font>
      <i/>
      <sz val="24"/>
      <color rgb="FF000000"/>
      <name val="Wingdings 3"/>
      <charset val="2"/>
    </font>
    <font>
      <sz val="24"/>
      <color theme="0" tint="-0.14999847407452621"/>
      <name val="Calibri"/>
      <family val="2"/>
      <scheme val="minor"/>
    </font>
    <font>
      <u/>
      <sz val="24"/>
      <color theme="1"/>
      <name val="Franklin Gothic Book"/>
      <family val="2"/>
    </font>
    <font>
      <b/>
      <i/>
      <u/>
      <sz val="24"/>
      <color theme="1"/>
      <name val="Franklin Gothic Book"/>
      <family val="2"/>
    </font>
    <font>
      <sz val="24"/>
      <color theme="1"/>
      <name val="Wingdings 2"/>
      <charset val="2"/>
    </font>
    <font>
      <b/>
      <i/>
      <sz val="24"/>
      <color theme="1"/>
      <name val="Franklin Gothic Book"/>
      <family val="2"/>
    </font>
    <font>
      <sz val="24"/>
      <color theme="1"/>
      <name val="Wingdings 3"/>
      <charset val="2"/>
    </font>
    <font>
      <i/>
      <sz val="24"/>
      <color theme="1"/>
      <name val="Wingdings 2"/>
      <charset val="2"/>
    </font>
    <font>
      <i/>
      <sz val="24"/>
      <color theme="1"/>
      <name val="Wingdings 3"/>
      <charset val="2"/>
    </font>
    <font>
      <i/>
      <sz val="24"/>
      <color theme="1"/>
      <name val="Franklin Gothic Book"/>
      <family val="2"/>
    </font>
    <font>
      <sz val="24"/>
      <color rgb="FF000000"/>
      <name val="Wingdings 3"/>
      <charset val="2"/>
    </font>
    <font>
      <sz val="24"/>
      <color theme="2" tint="-0.499984740745262"/>
      <name val="Franklin Gothic Book"/>
      <family val="2"/>
    </font>
    <font>
      <b/>
      <i/>
      <sz val="24"/>
      <color rgb="FF0070C0"/>
      <name val="Franklin Gothic Book"/>
      <family val="2"/>
    </font>
    <font>
      <b/>
      <sz val="24"/>
      <color theme="1"/>
      <name val="Franklin Gothic Book"/>
      <family val="2"/>
    </font>
    <font>
      <b/>
      <u/>
      <sz val="24"/>
      <color theme="1"/>
      <name val="Franklin Gothic Book"/>
      <family val="2"/>
    </font>
    <font>
      <sz val="26"/>
      <color theme="1"/>
      <name val="Franklin Gothic Book"/>
      <family val="2"/>
    </font>
    <font>
      <sz val="26"/>
      <color theme="0"/>
      <name val="Franklin Gothic Book"/>
      <family val="2"/>
    </font>
    <font>
      <sz val="28"/>
      <color theme="0"/>
      <name val="Franklin Gothic Book"/>
      <family val="2"/>
    </font>
    <font>
      <b/>
      <sz val="26"/>
      <color theme="0"/>
      <name val="Franklin Gothic Book"/>
      <family val="2"/>
    </font>
    <font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u/>
      <sz val="24"/>
      <color theme="0" tint="-0.249977111117893"/>
      <name val="Franklin Gothic Book"/>
      <family val="2"/>
    </font>
    <font>
      <sz val="24"/>
      <color theme="0"/>
      <name val="Calibri"/>
      <family val="2"/>
      <scheme val="minor"/>
    </font>
    <font>
      <i/>
      <sz val="24"/>
      <color rgb="FF000000"/>
      <name val="Franklin Gothic Book"/>
      <family val="2"/>
      <charset val="2"/>
    </font>
    <font>
      <sz val="22"/>
      <color theme="0"/>
      <name val="Franklin Gothic Book"/>
      <family val="2"/>
    </font>
    <font>
      <b/>
      <sz val="24"/>
      <color theme="1" tint="0.249977111117893"/>
      <name val="Franklin Gothic Book"/>
      <family val="2"/>
    </font>
    <font>
      <sz val="24"/>
      <color theme="1" tint="0.14999847407452621"/>
      <name val="Wingdings"/>
      <charset val="2"/>
    </font>
    <font>
      <sz val="24"/>
      <color theme="1" tint="0.14999847407452621"/>
      <name val="Franklin Gothic Book"/>
      <family val="2"/>
    </font>
    <font>
      <i/>
      <sz val="22"/>
      <color theme="1" tint="0.14999847407452621"/>
      <name val="Franklin Gothic Book"/>
      <family val="2"/>
    </font>
    <font>
      <b/>
      <sz val="24"/>
      <color theme="1" tint="0.14999847407452621"/>
      <name val="Franklin Gothic Book"/>
      <family val="2"/>
    </font>
    <font>
      <sz val="24"/>
      <color rgb="FF000000"/>
      <name val="Wingdings 2"/>
      <charset val="2"/>
    </font>
    <font>
      <i/>
      <sz val="12"/>
      <color theme="1"/>
      <name val="Calibri"/>
      <family val="2"/>
      <scheme val="minor"/>
    </font>
    <font>
      <sz val="24"/>
      <color theme="1" tint="0.14999847407452621"/>
      <name val="Wingdings 2"/>
      <charset val="2"/>
    </font>
    <font>
      <sz val="24"/>
      <color theme="1" tint="0.14999847407452621"/>
      <name val="Wingdings 3"/>
      <charset val="2"/>
    </font>
    <font>
      <sz val="24"/>
      <color theme="1" tint="0.249977111117893"/>
      <name val="Wingdings"/>
      <charset val="2"/>
    </font>
    <font>
      <sz val="24"/>
      <color theme="1" tint="0.249977111117893"/>
      <name val="Franklin Gothic Book"/>
      <family val="2"/>
    </font>
    <font>
      <sz val="24"/>
      <color theme="1" tint="0.249977111117893"/>
      <name val="Wingdings 2"/>
      <charset val="2"/>
    </font>
    <font>
      <sz val="24"/>
      <color theme="1" tint="0.249977111117893"/>
      <name val="Wingdings 3"/>
      <charset val="2"/>
    </font>
    <font>
      <b/>
      <sz val="24"/>
      <color theme="0"/>
      <name val="Franklin Gothic Book"/>
      <family val="2"/>
    </font>
    <font>
      <i/>
      <sz val="36"/>
      <color theme="0"/>
      <name val="Franklin Gothic Book"/>
      <family val="2"/>
    </font>
    <font>
      <sz val="36"/>
      <color theme="0"/>
      <name val="Franklin Gothic Book"/>
      <family val="2"/>
    </font>
    <font>
      <i/>
      <sz val="28"/>
      <color theme="0"/>
      <name val="Franklin Gothic Book"/>
      <family val="2"/>
    </font>
    <font>
      <i/>
      <sz val="24"/>
      <color theme="0" tint="-0.14999847407452621"/>
      <name val="Franklin Gothic Book"/>
      <family val="2"/>
    </font>
    <font>
      <i/>
      <sz val="24"/>
      <color theme="1" tint="0.34998626667073579"/>
      <name val="Franklin Gothic Book"/>
      <family val="2"/>
    </font>
    <font>
      <sz val="16"/>
      <color theme="1"/>
      <name val="Franklin Gothic Book"/>
      <family val="2"/>
    </font>
    <font>
      <b/>
      <sz val="24"/>
      <color theme="2" tint="-0.749992370372631"/>
      <name val="Franklin Gothic Book"/>
      <family val="2"/>
    </font>
    <font>
      <sz val="24"/>
      <color rgb="FFD51067"/>
      <name val="Wingdings 2"/>
      <charset val="2"/>
    </font>
    <font>
      <sz val="12"/>
      <color theme="0" tint="-0.14999847407452621"/>
      <name val="Calibri"/>
      <family val="2"/>
      <scheme val="minor"/>
    </font>
    <font>
      <i/>
      <sz val="26"/>
      <color theme="0" tint="-0.14999847407452621"/>
      <name val="Franklin Gothic Book"/>
      <family val="2"/>
    </font>
    <font>
      <sz val="26"/>
      <color rgb="FF942460"/>
      <name val="Franklin Gothic Book"/>
      <family val="2"/>
    </font>
    <font>
      <sz val="24"/>
      <color rgb="FF942460"/>
      <name val="Franklin Gothic Book"/>
      <family val="2"/>
    </font>
    <font>
      <u/>
      <sz val="24"/>
      <color rgb="FF94246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424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thick">
        <color rgb="FF942460"/>
      </bottom>
      <diagonal/>
    </border>
    <border>
      <left/>
      <right style="thick">
        <color rgb="FF94246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thin">
        <color rgb="FFB52372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6" fillId="0" borderId="0" xfId="0" applyFont="1" applyAlignment="1">
      <alignment wrapText="1"/>
    </xf>
    <xf numFmtId="165" fontId="6" fillId="0" borderId="0" xfId="0" applyNumberFormat="1" applyFont="1" applyAlignment="1">
      <alignment wrapText="1"/>
    </xf>
    <xf numFmtId="0" fontId="8" fillId="0" borderId="0" xfId="0" applyFont="1"/>
    <xf numFmtId="0" fontId="7" fillId="4" borderId="1" xfId="0" applyFont="1" applyFill="1" applyBorder="1" applyAlignment="1">
      <alignment horizontal="center" wrapText="1" readingOrder="1"/>
    </xf>
    <xf numFmtId="0" fontId="12" fillId="3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center" vertical="center" wrapText="1" readingOrder="1"/>
    </xf>
    <xf numFmtId="0" fontId="13" fillId="7" borderId="0" xfId="0" applyFont="1" applyFill="1" applyAlignment="1">
      <alignment horizontal="left" vertical="center" wrapText="1" readingOrder="1"/>
    </xf>
    <xf numFmtId="0" fontId="21" fillId="7" borderId="4" xfId="0" applyFont="1" applyFill="1" applyBorder="1" applyAlignment="1">
      <alignment horizontal="left" vertical="center" wrapText="1" readingOrder="1"/>
    </xf>
    <xf numFmtId="0" fontId="5" fillId="7" borderId="4" xfId="0" applyFont="1" applyFill="1" applyBorder="1" applyAlignment="1">
      <alignment horizontal="center" vertical="center" wrapText="1" readingOrder="1"/>
    </xf>
    <xf numFmtId="0" fontId="5" fillId="7" borderId="0" xfId="0" applyFont="1" applyFill="1" applyAlignment="1">
      <alignment horizontal="left" vertical="center" wrapText="1" indent="3" readingOrder="1"/>
    </xf>
    <xf numFmtId="0" fontId="12" fillId="7" borderId="0" xfId="0" applyFont="1" applyFill="1" applyAlignment="1">
      <alignment horizontal="left" vertical="center" wrapText="1" readingOrder="1"/>
    </xf>
    <xf numFmtId="0" fontId="24" fillId="7" borderId="0" xfId="0" applyFont="1" applyFill="1" applyAlignment="1">
      <alignment horizontal="left" vertical="center" wrapText="1" readingOrder="1"/>
    </xf>
    <xf numFmtId="0" fontId="22" fillId="0" borderId="0" xfId="0" applyFont="1" applyAlignment="1">
      <alignment vertical="center" wrapText="1" readingOrder="1"/>
    </xf>
    <xf numFmtId="0" fontId="26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14" fillId="9" borderId="0" xfId="0" applyFont="1" applyFill="1" applyAlignment="1">
      <alignment horizontal="left" vertical="center" wrapText="1" indent="5" readingOrder="1"/>
    </xf>
    <xf numFmtId="0" fontId="27" fillId="9" borderId="0" xfId="0" applyFont="1" applyFill="1" applyAlignment="1">
      <alignment horizontal="left" vertical="center" wrapText="1" indent="1" readingOrder="1"/>
    </xf>
    <xf numFmtId="0" fontId="14" fillId="9" borderId="0" xfId="0" applyFont="1" applyFill="1" applyAlignment="1">
      <alignment horizontal="left" wrapText="1" indent="2" readingOrder="1"/>
    </xf>
    <xf numFmtId="0" fontId="27" fillId="9" borderId="0" xfId="0" applyFont="1" applyFill="1" applyAlignment="1">
      <alignment horizontal="left" wrapText="1" indent="2" readingOrder="1"/>
    </xf>
    <xf numFmtId="0" fontId="11" fillId="9" borderId="0" xfId="0" applyFont="1" applyFill="1" applyAlignment="1">
      <alignment horizontal="left" wrapText="1" readingOrder="1"/>
    </xf>
    <xf numFmtId="0" fontId="11" fillId="9" borderId="0" xfId="0" applyFont="1" applyFill="1" applyAlignment="1">
      <alignment horizontal="left" wrapText="1" indent="1" readingOrder="1"/>
    </xf>
    <xf numFmtId="0" fontId="5" fillId="9" borderId="0" xfId="0" applyFont="1" applyFill="1" applyAlignment="1">
      <alignment horizontal="center" vertical="center" wrapText="1" readingOrder="1"/>
    </xf>
    <xf numFmtId="0" fontId="5" fillId="9" borderId="3" xfId="0" applyFont="1" applyFill="1" applyBorder="1" applyAlignment="1">
      <alignment horizontal="right" vertical="center" wrapText="1" readingOrder="1"/>
    </xf>
    <xf numFmtId="0" fontId="5" fillId="9" borderId="3" xfId="0" applyFont="1" applyFill="1" applyBorder="1" applyAlignment="1">
      <alignment horizontal="right" wrapText="1" readingOrder="1"/>
    </xf>
    <xf numFmtId="0" fontId="14" fillId="9" borderId="0" xfId="0" applyFont="1" applyFill="1" applyAlignment="1">
      <alignment horizontal="left" vertical="center" wrapText="1" indent="1" readingOrder="1"/>
    </xf>
    <xf numFmtId="0" fontId="13" fillId="9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5" fillId="9" borderId="0" xfId="0" applyFont="1" applyFill="1" applyAlignment="1">
      <alignment horizontal="left" vertical="center" wrapText="1" readingOrder="1"/>
    </xf>
    <xf numFmtId="0" fontId="14" fillId="9" borderId="0" xfId="0" applyFont="1" applyFill="1" applyAlignment="1">
      <alignment horizontal="right" vertical="center" wrapText="1" readingOrder="1"/>
    </xf>
    <xf numFmtId="164" fontId="19" fillId="9" borderId="0" xfId="0" applyNumberFormat="1" applyFont="1" applyFill="1" applyAlignment="1">
      <alignment horizontal="right" wrapText="1" readingOrder="1"/>
    </xf>
    <xf numFmtId="164" fontId="19" fillId="0" borderId="6" xfId="0" applyNumberFormat="1" applyFont="1" applyBorder="1" applyAlignment="1">
      <alignment horizontal="right" vertical="center" wrapText="1" readingOrder="1"/>
    </xf>
    <xf numFmtId="0" fontId="20" fillId="7" borderId="16" xfId="0" applyFont="1" applyFill="1" applyBorder="1" applyAlignment="1">
      <alignment horizontal="left" vertical="center" wrapText="1" readingOrder="1"/>
    </xf>
    <xf numFmtId="0" fontId="21" fillId="7" borderId="16" xfId="0" applyFont="1" applyFill="1" applyBorder="1" applyAlignment="1">
      <alignment horizontal="left" vertical="center" wrapText="1" readingOrder="1"/>
    </xf>
    <xf numFmtId="0" fontId="5" fillId="7" borderId="16" xfId="0" applyFont="1" applyFill="1" applyBorder="1" applyAlignment="1">
      <alignment horizontal="center" vertical="center" wrapText="1" readingOrder="1"/>
    </xf>
    <xf numFmtId="164" fontId="19" fillId="7" borderId="17" xfId="1" applyNumberFormat="1" applyFont="1" applyFill="1" applyBorder="1" applyAlignment="1">
      <alignment horizontal="right" vertical="center" wrapText="1" readingOrder="1"/>
    </xf>
    <xf numFmtId="164" fontId="19" fillId="7" borderId="3" xfId="1" applyNumberFormat="1" applyFont="1" applyFill="1" applyBorder="1" applyAlignment="1">
      <alignment horizontal="right" vertical="center" wrapText="1" readingOrder="1"/>
    </xf>
    <xf numFmtId="0" fontId="5" fillId="7" borderId="3" xfId="0" applyFont="1" applyFill="1" applyBorder="1" applyAlignment="1">
      <alignment horizontal="right" vertical="center" wrapText="1" readingOrder="1"/>
    </xf>
    <xf numFmtId="6" fontId="5" fillId="7" borderId="3" xfId="0" applyNumberFormat="1" applyFont="1" applyFill="1" applyBorder="1" applyAlignment="1">
      <alignment horizontal="right" vertical="center" wrapText="1" readingOrder="1"/>
    </xf>
    <xf numFmtId="0" fontId="20" fillId="7" borderId="19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vertical="center" wrapText="1" readingOrder="1"/>
    </xf>
    <xf numFmtId="0" fontId="22" fillId="7" borderId="20" xfId="0" applyFont="1" applyFill="1" applyBorder="1" applyAlignment="1">
      <alignment horizontal="left" vertical="center" wrapText="1" indent="3" readingOrder="1"/>
    </xf>
    <xf numFmtId="0" fontId="7" fillId="4" borderId="22" xfId="0" applyFont="1" applyFill="1" applyBorder="1" applyAlignment="1">
      <alignment horizontal="center" wrapText="1" readingOrder="1"/>
    </xf>
    <xf numFmtId="0" fontId="21" fillId="7" borderId="0" xfId="0" applyFont="1" applyFill="1" applyAlignment="1">
      <alignment horizontal="left" vertical="center" wrapText="1" readingOrder="1"/>
    </xf>
    <xf numFmtId="0" fontId="28" fillId="7" borderId="0" xfId="0" applyFont="1" applyFill="1" applyAlignment="1">
      <alignment horizontal="center" vertical="center" wrapText="1" readingOrder="1"/>
    </xf>
    <xf numFmtId="0" fontId="29" fillId="7" borderId="0" xfId="0" applyFont="1" applyFill="1" applyAlignment="1">
      <alignment horizontal="left" vertical="center" wrapText="1" indent="2" readingOrder="1"/>
    </xf>
    <xf numFmtId="0" fontId="29" fillId="7" borderId="4" xfId="0" applyFont="1" applyFill="1" applyBorder="1" applyAlignment="1">
      <alignment horizontal="left" vertical="center" wrapText="1" indent="3" readingOrder="1"/>
    </xf>
    <xf numFmtId="0" fontId="5" fillId="7" borderId="0" xfId="0" applyFont="1" applyFill="1" applyAlignment="1">
      <alignment horizontal="left" vertical="center" wrapText="1" indent="4" readingOrder="1"/>
    </xf>
    <xf numFmtId="0" fontId="29" fillId="7" borderId="20" xfId="0" applyFont="1" applyFill="1" applyBorder="1" applyAlignment="1">
      <alignment horizontal="left" vertical="center" wrapText="1" indent="3" readingOrder="1"/>
    </xf>
    <xf numFmtId="0" fontId="5" fillId="7" borderId="20" xfId="0" applyFont="1" applyFill="1" applyBorder="1" applyAlignment="1">
      <alignment horizontal="left" vertical="center" wrapText="1" indent="6" readingOrder="1"/>
    </xf>
    <xf numFmtId="0" fontId="5" fillId="7" borderId="20" xfId="0" applyFont="1" applyFill="1" applyBorder="1" applyAlignment="1">
      <alignment horizontal="left" vertical="center" wrapText="1" indent="7" readingOrder="1"/>
    </xf>
    <xf numFmtId="0" fontId="5" fillId="7" borderId="20" xfId="0" applyFont="1" applyFill="1" applyBorder="1" applyAlignment="1">
      <alignment horizontal="left" vertical="center" wrapText="1" indent="15" readingOrder="1"/>
    </xf>
    <xf numFmtId="0" fontId="29" fillId="9" borderId="0" xfId="0" applyFont="1" applyFill="1" applyAlignment="1">
      <alignment horizontal="left" vertical="center" wrapText="1" indent="3" readingOrder="1"/>
    </xf>
    <xf numFmtId="0" fontId="29" fillId="9" borderId="0" xfId="0" applyFont="1" applyFill="1" applyAlignment="1">
      <alignment horizontal="left" vertical="center" wrapText="1" indent="2" readingOrder="1"/>
    </xf>
    <xf numFmtId="0" fontId="5" fillId="7" borderId="0" xfId="0" applyFont="1" applyFill="1" applyAlignment="1">
      <alignment horizontal="left" vertical="center" wrapText="1" readingOrder="1"/>
    </xf>
    <xf numFmtId="0" fontId="12" fillId="7" borderId="0" xfId="0" applyFont="1" applyFill="1" applyAlignment="1">
      <alignment vertical="center" wrapText="1"/>
    </xf>
    <xf numFmtId="0" fontId="5" fillId="9" borderId="0" xfId="0" applyFont="1" applyFill="1" applyAlignment="1">
      <alignment horizontal="left" vertical="center" wrapText="1" indent="1" readingOrder="1"/>
    </xf>
    <xf numFmtId="0" fontId="5" fillId="9" borderId="0" xfId="0" applyFont="1" applyFill="1" applyAlignment="1">
      <alignment vertical="center" wrapText="1"/>
    </xf>
    <xf numFmtId="0" fontId="32" fillId="0" borderId="0" xfId="0" applyFont="1" applyAlignment="1">
      <alignment horizontal="center" vertical="center" textRotation="90"/>
    </xf>
    <xf numFmtId="0" fontId="32" fillId="0" borderId="5" xfId="0" applyFont="1" applyBorder="1" applyAlignment="1">
      <alignment horizontal="center" vertical="center" textRotation="90"/>
    </xf>
    <xf numFmtId="164" fontId="31" fillId="0" borderId="0" xfId="0" applyNumberFormat="1" applyFont="1" applyAlignment="1">
      <alignment horizontal="right" vertical="center" wrapText="1" readingOrder="1"/>
    </xf>
    <xf numFmtId="164" fontId="31" fillId="7" borderId="4" xfId="0" applyNumberFormat="1" applyFont="1" applyFill="1" applyBorder="1" applyAlignment="1">
      <alignment horizontal="right" vertical="center" wrapText="1" readingOrder="1"/>
    </xf>
    <xf numFmtId="0" fontId="12" fillId="7" borderId="0" xfId="0" applyFont="1" applyFill="1" applyAlignment="1">
      <alignment horizontal="left" vertical="center" wrapText="1" indent="2"/>
    </xf>
    <xf numFmtId="164" fontId="30" fillId="7" borderId="0" xfId="0" applyNumberFormat="1" applyFont="1" applyFill="1" applyAlignment="1">
      <alignment horizontal="right" vertical="center" wrapText="1" readingOrder="1"/>
    </xf>
    <xf numFmtId="0" fontId="5" fillId="9" borderId="0" xfId="0" applyFont="1" applyFill="1" applyAlignment="1">
      <alignment horizontal="left" vertical="center" wrapText="1" readingOrder="1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  <xf numFmtId="164" fontId="19" fillId="3" borderId="17" xfId="1" applyNumberFormat="1" applyFont="1" applyFill="1" applyBorder="1" applyAlignment="1">
      <alignment horizontal="right" vertical="center" wrapText="1" readingOrder="1"/>
    </xf>
    <xf numFmtId="164" fontId="19" fillId="3" borderId="3" xfId="1" applyNumberFormat="1" applyFont="1" applyFill="1" applyBorder="1" applyAlignment="1">
      <alignment horizontal="right" vertical="center" wrapText="1" readingOrder="1"/>
    </xf>
    <xf numFmtId="0" fontId="5" fillId="3" borderId="17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11" fillId="7" borderId="19" xfId="0" applyFont="1" applyFill="1" applyBorder="1" applyAlignment="1">
      <alignment horizontal="left" vertical="center" wrapText="1" readingOrder="1"/>
    </xf>
    <xf numFmtId="0" fontId="11" fillId="7" borderId="16" xfId="0" applyFont="1" applyFill="1" applyBorder="1" applyAlignment="1">
      <alignment horizontal="left" vertical="center" wrapText="1" readingOrder="1"/>
    </xf>
    <xf numFmtId="0" fontId="5" fillId="7" borderId="17" xfId="0" applyFont="1" applyFill="1" applyBorder="1" applyAlignment="1">
      <alignment horizontal="right" wrapText="1" readingOrder="1"/>
    </xf>
    <xf numFmtId="0" fontId="14" fillId="7" borderId="21" xfId="0" applyFont="1" applyFill="1" applyBorder="1" applyAlignment="1">
      <alignment horizontal="left" vertical="center" wrapText="1" readingOrder="1"/>
    </xf>
    <xf numFmtId="0" fontId="27" fillId="7" borderId="4" xfId="0" applyFont="1" applyFill="1" applyBorder="1" applyAlignment="1">
      <alignment horizontal="left" vertical="center" wrapText="1" indent="2" readingOrder="1"/>
    </xf>
    <xf numFmtId="6" fontId="5" fillId="7" borderId="18" xfId="0" applyNumberFormat="1" applyFont="1" applyFill="1" applyBorder="1" applyAlignment="1">
      <alignment horizontal="right" wrapText="1" readingOrder="1"/>
    </xf>
    <xf numFmtId="0" fontId="10" fillId="2" borderId="0" xfId="0" applyFont="1" applyFill="1" applyAlignment="1">
      <alignment horizontal="center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0" fontId="5" fillId="7" borderId="20" xfId="0" applyFont="1" applyFill="1" applyBorder="1" applyAlignment="1">
      <alignment horizontal="left" vertical="center" wrapText="1" indent="13" readingOrder="1"/>
    </xf>
    <xf numFmtId="0" fontId="25" fillId="7" borderId="0" xfId="0" applyFont="1" applyFill="1" applyAlignment="1">
      <alignment horizontal="left" vertical="center" wrapText="1" readingOrder="1"/>
    </xf>
    <xf numFmtId="164" fontId="5" fillId="0" borderId="0" xfId="0" applyNumberFormat="1" applyFont="1" applyAlignment="1">
      <alignment horizontal="right" vertical="center" wrapText="1" indent="1" readingOrder="1"/>
    </xf>
    <xf numFmtId="0" fontId="38" fillId="0" borderId="0" xfId="0" applyFont="1" applyAlignment="1">
      <alignment wrapText="1"/>
    </xf>
    <xf numFmtId="0" fontId="39" fillId="7" borderId="4" xfId="0" applyFont="1" applyFill="1" applyBorder="1" applyAlignment="1">
      <alignment horizontal="center" vertical="center" wrapText="1" readingOrder="1"/>
    </xf>
    <xf numFmtId="0" fontId="33" fillId="5" borderId="13" xfId="0" applyFont="1" applyFill="1" applyBorder="1" applyAlignment="1">
      <alignment vertical="center" textRotation="90"/>
    </xf>
    <xf numFmtId="0" fontId="33" fillId="5" borderId="14" xfId="0" applyFont="1" applyFill="1" applyBorder="1" applyAlignment="1">
      <alignment vertical="center" textRotation="90"/>
    </xf>
    <xf numFmtId="0" fontId="33" fillId="5" borderId="15" xfId="0" applyFont="1" applyFill="1" applyBorder="1" applyAlignment="1">
      <alignment vertical="center" textRotation="90"/>
    </xf>
    <xf numFmtId="164" fontId="19" fillId="9" borderId="3" xfId="0" applyNumberFormat="1" applyFont="1" applyFill="1" applyBorder="1" applyAlignment="1">
      <alignment horizontal="right" wrapText="1" readingOrder="1"/>
    </xf>
    <xf numFmtId="0" fontId="5" fillId="3" borderId="26" xfId="0" applyFont="1" applyFill="1" applyBorder="1" applyAlignment="1">
      <alignment horizontal="center" vertical="center" wrapText="1" readingOrder="1"/>
    </xf>
    <xf numFmtId="0" fontId="5" fillId="2" borderId="0" xfId="1" applyNumberFormat="1" applyFont="1" applyFill="1" applyBorder="1" applyAlignment="1">
      <alignment horizontal="right" vertical="center" wrapText="1" readingOrder="1"/>
    </xf>
    <xf numFmtId="0" fontId="14" fillId="3" borderId="26" xfId="0" applyFont="1" applyFill="1" applyBorder="1" applyAlignment="1">
      <alignment horizontal="left" vertical="center" wrapText="1" readingOrder="1"/>
    </xf>
    <xf numFmtId="0" fontId="46" fillId="2" borderId="4" xfId="0" applyFont="1" applyFill="1" applyBorder="1" applyAlignment="1">
      <alignment horizontal="left" vertical="center" wrapText="1" readingOrder="1"/>
    </xf>
    <xf numFmtId="0" fontId="44" fillId="3" borderId="16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3" fillId="3" borderId="0" xfId="0" applyFont="1" applyFill="1" applyAlignment="1">
      <alignment horizontal="left" vertical="center" wrapText="1"/>
    </xf>
    <xf numFmtId="0" fontId="30" fillId="3" borderId="0" xfId="0" applyFont="1" applyFill="1" applyAlignment="1">
      <alignment horizontal="left" vertical="center" wrapText="1"/>
    </xf>
    <xf numFmtId="0" fontId="29" fillId="2" borderId="0" xfId="0" applyFont="1" applyFill="1" applyAlignment="1">
      <alignment horizontal="left" vertical="center" wrapText="1" readingOrder="1"/>
    </xf>
    <xf numFmtId="0" fontId="47" fillId="3" borderId="19" xfId="0" applyFont="1" applyFill="1" applyBorder="1" applyAlignment="1">
      <alignment horizontal="left" vertical="center" wrapText="1"/>
    </xf>
    <xf numFmtId="0" fontId="29" fillId="2" borderId="20" xfId="0" applyFont="1" applyFill="1" applyBorder="1" applyAlignment="1">
      <alignment horizontal="left" vertical="center" wrapText="1" readingOrder="1"/>
    </xf>
    <xf numFmtId="0" fontId="29" fillId="2" borderId="21" xfId="0" applyFont="1" applyFill="1" applyBorder="1" applyAlignment="1">
      <alignment horizontal="left" vertical="center" wrapText="1" readingOrder="1"/>
    </xf>
    <xf numFmtId="0" fontId="29" fillId="3" borderId="0" xfId="0" applyFont="1" applyFill="1" applyAlignment="1">
      <alignment horizontal="left" vertical="center" wrapText="1" readingOrder="1"/>
    </xf>
    <xf numFmtId="0" fontId="22" fillId="3" borderId="0" xfId="0" applyFont="1" applyFill="1" applyAlignment="1">
      <alignment horizontal="left" vertical="center" wrapText="1" readingOrder="1"/>
    </xf>
    <xf numFmtId="0" fontId="41" fillId="2" borderId="4" xfId="0" applyFont="1" applyFill="1" applyBorder="1" applyAlignment="1">
      <alignment horizontal="left" vertical="center" wrapText="1" readingOrder="1"/>
    </xf>
    <xf numFmtId="6" fontId="5" fillId="3" borderId="3" xfId="0" applyNumberFormat="1" applyFont="1" applyFill="1" applyBorder="1" applyAlignment="1">
      <alignment horizontal="right" vertical="center" wrapText="1" readingOrder="1"/>
    </xf>
    <xf numFmtId="0" fontId="29" fillId="3" borderId="26" xfId="0" applyFont="1" applyFill="1" applyBorder="1" applyAlignment="1">
      <alignment horizontal="left" vertical="center" wrapText="1" readingOrder="1"/>
    </xf>
    <xf numFmtId="0" fontId="0" fillId="4" borderId="0" xfId="0" applyFill="1" applyAlignment="1">
      <alignment vertical="center"/>
    </xf>
    <xf numFmtId="0" fontId="30" fillId="4" borderId="0" xfId="0" applyFont="1" applyFill="1" applyAlignment="1">
      <alignment vertical="center"/>
    </xf>
    <xf numFmtId="0" fontId="48" fillId="2" borderId="0" xfId="0" applyFont="1" applyFill="1" applyAlignment="1">
      <alignment horizontal="left" vertical="center" wrapText="1" readingOrder="1"/>
    </xf>
    <xf numFmtId="0" fontId="49" fillId="0" borderId="0" xfId="0" applyFont="1" applyAlignment="1">
      <alignment vertical="center"/>
    </xf>
    <xf numFmtId="0" fontId="52" fillId="2" borderId="0" xfId="0" applyFont="1" applyFill="1" applyAlignment="1">
      <alignment horizontal="left" vertical="center" wrapText="1" readingOrder="1"/>
    </xf>
    <xf numFmtId="0" fontId="54" fillId="2" borderId="0" xfId="0" applyFont="1" applyFill="1" applyAlignment="1">
      <alignment horizontal="left" vertical="center" wrapText="1" readingOrder="1"/>
    </xf>
    <xf numFmtId="0" fontId="34" fillId="5" borderId="31" xfId="0" applyFont="1" applyFill="1" applyBorder="1" applyAlignment="1">
      <alignment horizontal="center" vertical="center" textRotation="90" wrapText="1"/>
    </xf>
    <xf numFmtId="0" fontId="56" fillId="4" borderId="0" xfId="0" applyFont="1" applyFill="1" applyAlignment="1">
      <alignment horizontal="center" vertical="center"/>
    </xf>
    <xf numFmtId="6" fontId="56" fillId="4" borderId="0" xfId="1" applyNumberFormat="1" applyFont="1" applyFill="1" applyAlignment="1">
      <alignment vertical="center"/>
    </xf>
    <xf numFmtId="164" fontId="26" fillId="3" borderId="18" xfId="1" applyNumberFormat="1" applyFont="1" applyFill="1" applyBorder="1" applyAlignment="1">
      <alignment horizontal="right" vertical="center" wrapText="1" readingOrder="1"/>
    </xf>
    <xf numFmtId="164" fontId="26" fillId="3" borderId="3" xfId="1" applyNumberFormat="1" applyFont="1" applyFill="1" applyBorder="1" applyAlignment="1">
      <alignment horizontal="right" vertical="center" wrapText="1" readingOrder="1"/>
    </xf>
    <xf numFmtId="0" fontId="52" fillId="2" borderId="0" xfId="0" applyFont="1" applyFill="1" applyAlignment="1">
      <alignment horizontal="left" vertical="center" wrapText="1" indent="3" readingOrder="1"/>
    </xf>
    <xf numFmtId="0" fontId="47" fillId="3" borderId="0" xfId="0" applyFont="1" applyFill="1" applyAlignment="1">
      <alignment horizontal="left" vertical="center" wrapText="1"/>
    </xf>
    <xf numFmtId="0" fontId="52" fillId="2" borderId="0" xfId="0" applyFont="1" applyFill="1" applyAlignment="1">
      <alignment horizontal="left" vertical="center" wrapText="1" indent="7" readingOrder="1"/>
    </xf>
    <xf numFmtId="0" fontId="5" fillId="2" borderId="18" xfId="0" applyFont="1" applyFill="1" applyBorder="1" applyAlignment="1">
      <alignment horizontal="center" vertical="center" wrapText="1" readingOrder="1"/>
    </xf>
    <xf numFmtId="164" fontId="5" fillId="3" borderId="27" xfId="1" applyNumberFormat="1" applyFont="1" applyFill="1" applyBorder="1" applyAlignment="1">
      <alignment horizontal="right" vertical="center" wrapText="1" readingOrder="1"/>
    </xf>
    <xf numFmtId="0" fontId="42" fillId="4" borderId="21" xfId="0" applyFont="1" applyFill="1" applyBorder="1" applyAlignment="1">
      <alignment horizontal="center" vertical="center" wrapText="1"/>
    </xf>
    <xf numFmtId="0" fontId="33" fillId="4" borderId="18" xfId="0" applyFont="1" applyFill="1" applyBorder="1" applyAlignment="1">
      <alignment horizontal="center" vertical="center" wrapText="1" readingOrder="1"/>
    </xf>
    <xf numFmtId="0" fontId="53" fillId="2" borderId="0" xfId="0" applyFont="1" applyFill="1" applyAlignment="1">
      <alignment horizontal="left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vertical="center"/>
    </xf>
    <xf numFmtId="0" fontId="47" fillId="3" borderId="20" xfId="0" applyFont="1" applyFill="1" applyBorder="1" applyAlignment="1">
      <alignment horizontal="left" vertical="center" wrapText="1"/>
    </xf>
    <xf numFmtId="0" fontId="44" fillId="3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 readingOrder="1"/>
    </xf>
    <xf numFmtId="0" fontId="50" fillId="2" borderId="0" xfId="0" applyFont="1" applyFill="1" applyAlignment="1">
      <alignment horizontal="left" vertical="center" wrapText="1" readingOrder="1"/>
    </xf>
    <xf numFmtId="0" fontId="63" fillId="2" borderId="0" xfId="0" applyFont="1" applyFill="1" applyAlignment="1">
      <alignment horizontal="left" vertical="center" wrapText="1" readingOrder="1"/>
    </xf>
    <xf numFmtId="0" fontId="64" fillId="2" borderId="0" xfId="0" applyFont="1" applyFill="1" applyAlignment="1">
      <alignment horizontal="left" vertical="center" wrapText="1" readingOrder="1"/>
    </xf>
    <xf numFmtId="0" fontId="10" fillId="3" borderId="3" xfId="0" applyFont="1" applyFill="1" applyBorder="1" applyAlignment="1">
      <alignment horizontal="right" vertical="center" wrapText="1" readingOrder="1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/>
    </xf>
    <xf numFmtId="0" fontId="65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60" fillId="2" borderId="0" xfId="0" applyFont="1" applyFill="1" applyAlignment="1">
      <alignment horizontal="center" vertical="center" wrapText="1" readingOrder="1"/>
    </xf>
    <xf numFmtId="0" fontId="10" fillId="3" borderId="16" xfId="0" applyFont="1" applyFill="1" applyBorder="1" applyAlignment="1">
      <alignment horizontal="center" vertical="center" wrapText="1" readingOrder="1"/>
    </xf>
    <xf numFmtId="0" fontId="10" fillId="3" borderId="0" xfId="0" applyFont="1" applyFill="1" applyAlignment="1">
      <alignment horizontal="center" vertical="center" wrapText="1" readingOrder="1"/>
    </xf>
    <xf numFmtId="0" fontId="60" fillId="3" borderId="0" xfId="0" applyFont="1" applyFill="1" applyAlignment="1">
      <alignment horizontal="center" vertical="center" wrapText="1" readingOrder="1"/>
    </xf>
    <xf numFmtId="6" fontId="10" fillId="2" borderId="3" xfId="0" applyNumberFormat="1" applyFont="1" applyFill="1" applyBorder="1" applyAlignment="1">
      <alignment horizontal="right" vertical="center" wrapText="1" readingOrder="1"/>
    </xf>
    <xf numFmtId="6" fontId="5" fillId="2" borderId="3" xfId="0" applyNumberFormat="1" applyFont="1" applyFill="1" applyBorder="1" applyAlignment="1">
      <alignment horizontal="right" vertical="center" wrapText="1" readingOrder="1"/>
    </xf>
    <xf numFmtId="0" fontId="9" fillId="3" borderId="3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 readingOrder="1"/>
    </xf>
    <xf numFmtId="164" fontId="5" fillId="3" borderId="3" xfId="1" applyNumberFormat="1" applyFont="1" applyFill="1" applyBorder="1" applyAlignment="1">
      <alignment horizontal="right" vertical="center" wrapText="1" readingOrder="1"/>
    </xf>
    <xf numFmtId="164" fontId="5" fillId="3" borderId="3" xfId="0" applyNumberFormat="1" applyFont="1" applyFill="1" applyBorder="1" applyAlignment="1">
      <alignment horizontal="right" vertical="center" wrapText="1" readingOrder="1"/>
    </xf>
    <xf numFmtId="0" fontId="18" fillId="3" borderId="0" xfId="0" applyFont="1" applyFill="1" applyAlignment="1">
      <alignment vertical="center" wrapText="1"/>
    </xf>
    <xf numFmtId="0" fontId="60" fillId="2" borderId="0" xfId="1" applyNumberFormat="1" applyFont="1" applyFill="1" applyBorder="1" applyAlignment="1">
      <alignment horizontal="right" vertical="center" wrapText="1" readingOrder="1"/>
    </xf>
    <xf numFmtId="0" fontId="60" fillId="3" borderId="4" xfId="0" applyFont="1" applyFill="1" applyBorder="1" applyAlignment="1">
      <alignment horizontal="right" vertical="center" wrapText="1" readingOrder="1"/>
    </xf>
    <xf numFmtId="0" fontId="66" fillId="3" borderId="0" xfId="0" applyFont="1" applyFill="1" applyAlignment="1">
      <alignment horizontal="right" vertical="center" wrapText="1" readingOrder="1"/>
    </xf>
    <xf numFmtId="164" fontId="5" fillId="0" borderId="0" xfId="0" applyNumberFormat="1" applyFont="1" applyAlignment="1">
      <alignment horizontal="center" vertical="center" wrapText="1" readingOrder="1"/>
    </xf>
    <xf numFmtId="164" fontId="19" fillId="0" borderId="0" xfId="0" applyNumberFormat="1" applyFont="1" applyAlignment="1">
      <alignment horizontal="center" vertical="center" wrapText="1" readingOrder="1"/>
    </xf>
    <xf numFmtId="164" fontId="5" fillId="7" borderId="18" xfId="1" applyNumberFormat="1" applyFont="1" applyFill="1" applyBorder="1" applyAlignment="1">
      <alignment horizontal="right" vertical="center" wrapText="1" readingOrder="1"/>
    </xf>
    <xf numFmtId="164" fontId="5" fillId="7" borderId="3" xfId="0" applyNumberFormat="1" applyFont="1" applyFill="1" applyBorder="1" applyAlignment="1">
      <alignment horizontal="right" vertical="center" wrapText="1" readingOrder="1"/>
    </xf>
    <xf numFmtId="0" fontId="67" fillId="0" borderId="0" xfId="0" applyFont="1" applyAlignment="1">
      <alignment horizontal="center" vertical="center" textRotation="90"/>
    </xf>
    <xf numFmtId="0" fontId="68" fillId="0" borderId="0" xfId="0" applyFont="1" applyAlignment="1">
      <alignment horizontal="left" vertical="center" wrapText="1" indent="1" readingOrder="1"/>
    </xf>
    <xf numFmtId="0" fontId="68" fillId="0" borderId="0" xfId="0" applyFont="1" applyAlignment="1">
      <alignment horizontal="right" vertical="center" wrapText="1" readingOrder="1"/>
    </xf>
    <xf numFmtId="0" fontId="68" fillId="0" borderId="0" xfId="0" applyFont="1" applyAlignment="1">
      <alignment horizontal="center" vertical="center" wrapText="1" readingOrder="1"/>
    </xf>
    <xf numFmtId="0" fontId="68" fillId="0" borderId="0" xfId="0" applyFont="1" applyAlignment="1">
      <alignment horizontal="left" vertical="center" wrapText="1" readingOrder="1"/>
    </xf>
    <xf numFmtId="164" fontId="69" fillId="0" borderId="0" xfId="0" applyNumberFormat="1" applyFont="1" applyAlignment="1">
      <alignment horizontal="right" wrapText="1" readingOrder="1"/>
    </xf>
    <xf numFmtId="0" fontId="67" fillId="0" borderId="0" xfId="0" applyFont="1" applyAlignment="1">
      <alignment horizontal="center" vertical="center" textRotation="135" wrapText="1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 readingOrder="1"/>
    </xf>
    <xf numFmtId="0" fontId="32" fillId="6" borderId="13" xfId="0" applyFont="1" applyFill="1" applyBorder="1" applyAlignment="1">
      <alignment horizontal="center" vertical="center" textRotation="90"/>
    </xf>
    <xf numFmtId="0" fontId="32" fillId="6" borderId="14" xfId="0" applyFont="1" applyFill="1" applyBorder="1" applyAlignment="1">
      <alignment horizontal="center" vertical="center" textRotation="90"/>
    </xf>
    <xf numFmtId="0" fontId="32" fillId="6" borderId="15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 wrapText="1" readingOrder="1"/>
    </xf>
    <xf numFmtId="0" fontId="33" fillId="8" borderId="13" xfId="0" applyFont="1" applyFill="1" applyBorder="1" applyAlignment="1">
      <alignment horizontal="center" vertical="center" textRotation="90" wrapText="1"/>
    </xf>
    <xf numFmtId="0" fontId="33" fillId="8" borderId="15" xfId="0" applyFont="1" applyFill="1" applyBorder="1" applyAlignment="1">
      <alignment horizontal="center" vertical="center" textRotation="90" wrapText="1"/>
    </xf>
    <xf numFmtId="0" fontId="33" fillId="4" borderId="7" xfId="0" applyFont="1" applyFill="1" applyBorder="1" applyAlignment="1">
      <alignment horizontal="center" vertical="center" wrapText="1"/>
    </xf>
    <xf numFmtId="0" fontId="33" fillId="4" borderId="8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center" vertical="center" textRotation="135" wrapText="1"/>
    </xf>
    <xf numFmtId="0" fontId="7" fillId="4" borderId="2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5" fillId="8" borderId="25" xfId="0" applyFont="1" applyFill="1" applyBorder="1" applyAlignment="1">
      <alignment horizontal="center" vertical="center" textRotation="135" wrapText="1"/>
    </xf>
    <xf numFmtId="0" fontId="35" fillId="8" borderId="11" xfId="0" applyFont="1" applyFill="1" applyBorder="1" applyAlignment="1">
      <alignment horizontal="center" vertical="center" textRotation="135" wrapText="1"/>
    </xf>
    <xf numFmtId="0" fontId="35" fillId="8" borderId="20" xfId="0" applyFont="1" applyFill="1" applyBorder="1" applyAlignment="1">
      <alignment horizontal="center" vertical="center" textRotation="135" wrapText="1"/>
    </xf>
    <xf numFmtId="0" fontId="35" fillId="8" borderId="12" xfId="0" applyFont="1" applyFill="1" applyBorder="1" applyAlignment="1">
      <alignment horizontal="center" vertical="center" textRotation="135" wrapText="1"/>
    </xf>
    <xf numFmtId="0" fontId="35" fillId="8" borderId="19" xfId="0" applyFont="1" applyFill="1" applyBorder="1" applyAlignment="1">
      <alignment horizontal="center" vertical="center" textRotation="135" wrapText="1"/>
    </xf>
    <xf numFmtId="0" fontId="35" fillId="8" borderId="17" xfId="0" applyFont="1" applyFill="1" applyBorder="1" applyAlignment="1">
      <alignment horizontal="center" vertical="center" textRotation="135" wrapText="1"/>
    </xf>
    <xf numFmtId="0" fontId="35" fillId="8" borderId="3" xfId="0" applyFont="1" applyFill="1" applyBorder="1" applyAlignment="1">
      <alignment horizontal="center" vertical="center" textRotation="135" wrapText="1"/>
    </xf>
    <xf numFmtId="0" fontId="35" fillId="8" borderId="21" xfId="0" applyFont="1" applyFill="1" applyBorder="1" applyAlignment="1">
      <alignment horizontal="center" vertical="center" textRotation="135" wrapText="1"/>
    </xf>
    <xf numFmtId="0" fontId="35" fillId="8" borderId="18" xfId="0" applyFont="1" applyFill="1" applyBorder="1" applyAlignment="1">
      <alignment horizontal="center" vertical="center" textRotation="135" wrapText="1"/>
    </xf>
    <xf numFmtId="0" fontId="33" fillId="8" borderId="20" xfId="0" applyFont="1" applyFill="1" applyBorder="1" applyAlignment="1">
      <alignment horizontal="left" vertical="center" textRotation="149" wrapText="1"/>
    </xf>
    <xf numFmtId="0" fontId="33" fillId="8" borderId="0" xfId="0" applyFont="1" applyFill="1" applyAlignment="1">
      <alignment horizontal="left" vertical="center" textRotation="149" wrapText="1"/>
    </xf>
    <xf numFmtId="0" fontId="22" fillId="3" borderId="0" xfId="0" applyFont="1" applyFill="1" applyAlignment="1">
      <alignment horizontal="center" vertical="center" wrapText="1" readingOrder="1"/>
    </xf>
    <xf numFmtId="0" fontId="57" fillId="4" borderId="19" xfId="0" applyFont="1" applyFill="1" applyBorder="1" applyAlignment="1">
      <alignment horizontal="center" vertical="center"/>
    </xf>
    <xf numFmtId="0" fontId="57" fillId="4" borderId="16" xfId="0" applyFont="1" applyFill="1" applyBorder="1" applyAlignment="1">
      <alignment horizontal="center" vertical="center"/>
    </xf>
    <xf numFmtId="0" fontId="57" fillId="4" borderId="17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 textRotation="90" wrapText="1"/>
    </xf>
    <xf numFmtId="0" fontId="34" fillId="5" borderId="14" xfId="0" applyFont="1" applyFill="1" applyBorder="1" applyAlignment="1">
      <alignment horizontal="center" vertical="center" textRotation="90" wrapText="1"/>
    </xf>
    <xf numFmtId="0" fontId="34" fillId="5" borderId="15" xfId="0" applyFont="1" applyFill="1" applyBorder="1" applyAlignment="1">
      <alignment horizontal="center" vertical="center" textRotation="90" wrapText="1"/>
    </xf>
    <xf numFmtId="0" fontId="34" fillId="5" borderId="19" xfId="0" applyFont="1" applyFill="1" applyBorder="1" applyAlignment="1">
      <alignment horizontal="center" vertical="center" textRotation="90" wrapText="1"/>
    </xf>
    <xf numFmtId="0" fontId="34" fillId="5" borderId="20" xfId="0" applyFont="1" applyFill="1" applyBorder="1" applyAlignment="1">
      <alignment horizontal="center" vertical="center" textRotation="90" wrapText="1"/>
    </xf>
    <xf numFmtId="0" fontId="34" fillId="5" borderId="29" xfId="0" applyFont="1" applyFill="1" applyBorder="1" applyAlignment="1">
      <alignment horizontal="center" vertical="center" textRotation="90"/>
    </xf>
    <xf numFmtId="0" fontId="34" fillId="5" borderId="28" xfId="0" applyFont="1" applyFill="1" applyBorder="1" applyAlignment="1">
      <alignment horizontal="center" vertical="center" textRotation="90"/>
    </xf>
    <xf numFmtId="0" fontId="34" fillId="5" borderId="30" xfId="0" applyFont="1" applyFill="1" applyBorder="1" applyAlignment="1">
      <alignment horizontal="center" vertical="center" textRotation="90"/>
    </xf>
    <xf numFmtId="0" fontId="40" fillId="3" borderId="21" xfId="0" applyFont="1" applyFill="1" applyBorder="1" applyAlignment="1">
      <alignment horizontal="center" vertical="center" textRotation="90" wrapText="1"/>
    </xf>
    <xf numFmtId="0" fontId="40" fillId="3" borderId="4" xfId="0" applyFont="1" applyFill="1" applyBorder="1" applyAlignment="1">
      <alignment horizontal="center" vertical="center" textRotation="90" wrapText="1"/>
    </xf>
    <xf numFmtId="0" fontId="58" fillId="4" borderId="4" xfId="0" applyFont="1" applyFill="1" applyBorder="1" applyAlignment="1">
      <alignment horizontal="center" vertical="center" wrapText="1" readingOrder="1"/>
    </xf>
    <xf numFmtId="0" fontId="61" fillId="3" borderId="4" xfId="0" applyFont="1" applyFill="1" applyBorder="1" applyAlignment="1">
      <alignment horizontal="center" vertical="center" wrapText="1" readingOrder="1"/>
    </xf>
    <xf numFmtId="0" fontId="60" fillId="3" borderId="4" xfId="0" applyFont="1" applyFill="1" applyBorder="1" applyAlignment="1">
      <alignment horizontal="center" vertical="center" wrapText="1" readingOrder="1"/>
    </xf>
    <xf numFmtId="0" fontId="60" fillId="3" borderId="18" xfId="0" applyFont="1" applyFill="1" applyBorder="1" applyAlignment="1">
      <alignment horizontal="center" vertical="center" wrapText="1" readingOrder="1"/>
    </xf>
  </cellXfs>
  <cellStyles count="16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Medium7"/>
  <colors>
    <mruColors>
      <color rgb="FF942460"/>
      <color rgb="FFD51067"/>
      <color rgb="FFFF9300"/>
      <color rgb="FF9C194D"/>
      <color rgb="FF943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showGridLines="0" tabSelected="1" topLeftCell="B21" zoomScale="80" zoomScaleNormal="80" zoomScalePageLayoutView="90" workbookViewId="0">
      <selection activeCell="E41" sqref="E41"/>
    </sheetView>
  </sheetViews>
  <sheetFormatPr baseColWidth="10" defaultRowHeight="16" x14ac:dyDescent="0.2"/>
  <cols>
    <col min="2" max="2" width="23.83203125" customWidth="1"/>
    <col min="3" max="3" width="73.83203125" customWidth="1"/>
    <col min="4" max="4" width="119.33203125" customWidth="1"/>
    <col min="5" max="5" width="25.83203125" customWidth="1"/>
    <col min="6" max="6" width="32.6640625" customWidth="1"/>
    <col min="7" max="7" width="20.33203125" bestFit="1" customWidth="1"/>
    <col min="8" max="8" width="15.83203125" customWidth="1"/>
    <col min="9" max="9" width="38" customWidth="1"/>
    <col min="10" max="10" width="17.5" customWidth="1"/>
    <col min="11" max="11" width="10.83203125" customWidth="1"/>
  </cols>
  <sheetData>
    <row r="1" spans="1:11" ht="29" x14ac:dyDescent="0.35">
      <c r="A1" t="s">
        <v>0</v>
      </c>
      <c r="B1" s="7"/>
      <c r="C1" s="7"/>
      <c r="D1" s="7"/>
      <c r="E1" s="7"/>
      <c r="F1" s="7"/>
      <c r="G1" s="7"/>
      <c r="H1" s="7"/>
      <c r="I1" s="7"/>
    </row>
    <row r="2" spans="1:11" ht="41" customHeight="1" x14ac:dyDescent="0.2">
      <c r="B2" s="176" t="s">
        <v>30</v>
      </c>
      <c r="C2" s="190" t="s">
        <v>20</v>
      </c>
      <c r="D2" s="190"/>
      <c r="E2" s="190"/>
      <c r="F2" s="190"/>
      <c r="G2" s="190"/>
      <c r="H2" s="190"/>
      <c r="I2" s="191"/>
      <c r="J2" s="185" t="s">
        <v>26</v>
      </c>
      <c r="K2" s="186"/>
    </row>
    <row r="3" spans="1:11" ht="51" customHeight="1" thickBot="1" x14ac:dyDescent="0.35">
      <c r="B3" s="177"/>
      <c r="C3" s="8" t="s">
        <v>0</v>
      </c>
      <c r="D3" s="182" t="s">
        <v>7</v>
      </c>
      <c r="E3" s="182"/>
      <c r="F3" s="182"/>
      <c r="G3" s="182"/>
      <c r="H3" s="182"/>
      <c r="I3" s="46" t="s">
        <v>1</v>
      </c>
      <c r="J3" s="187"/>
      <c r="K3" s="188"/>
    </row>
    <row r="4" spans="1:11" s="1" customFormat="1" ht="36" customHeight="1" thickTop="1" x14ac:dyDescent="0.2">
      <c r="B4" s="88" t="s">
        <v>47</v>
      </c>
      <c r="C4" s="36" t="s">
        <v>10</v>
      </c>
      <c r="D4" s="37"/>
      <c r="E4" s="38" t="s">
        <v>88</v>
      </c>
      <c r="F4" s="38" t="s">
        <v>103</v>
      </c>
      <c r="G4" s="38"/>
      <c r="H4" s="38"/>
      <c r="I4" s="39"/>
      <c r="J4" s="192" t="s">
        <v>42</v>
      </c>
      <c r="K4" s="193"/>
    </row>
    <row r="5" spans="1:11" s="1" customFormat="1" ht="60" customHeight="1" x14ac:dyDescent="0.2">
      <c r="B5" s="89"/>
      <c r="C5" s="49" t="s">
        <v>32</v>
      </c>
      <c r="D5" s="47"/>
      <c r="E5" s="10"/>
      <c r="F5" s="10"/>
      <c r="G5" s="10"/>
      <c r="H5" s="48"/>
      <c r="I5" s="40"/>
      <c r="J5" s="194"/>
      <c r="K5" s="195"/>
    </row>
    <row r="6" spans="1:11" s="1" customFormat="1" ht="92" customHeight="1" x14ac:dyDescent="0.2">
      <c r="B6" s="89"/>
      <c r="C6" s="51" t="s">
        <v>11</v>
      </c>
      <c r="D6" s="58" t="s">
        <v>102</v>
      </c>
      <c r="E6" s="10">
        <v>20</v>
      </c>
      <c r="F6" s="10">
        <v>5</v>
      </c>
      <c r="G6" s="10"/>
      <c r="H6" s="10"/>
      <c r="I6" s="40"/>
      <c r="J6" s="194"/>
      <c r="K6" s="195"/>
    </row>
    <row r="7" spans="1:11" s="1" customFormat="1" ht="92" customHeight="1" x14ac:dyDescent="0.2">
      <c r="B7" s="89"/>
      <c r="C7" s="51"/>
      <c r="D7" s="11" t="s">
        <v>33</v>
      </c>
      <c r="E7" s="10"/>
      <c r="F7" s="10"/>
      <c r="G7" s="10"/>
      <c r="H7" s="10"/>
      <c r="I7" s="40"/>
      <c r="J7" s="194"/>
      <c r="K7" s="195"/>
    </row>
    <row r="8" spans="1:11" s="1" customFormat="1" ht="36" customHeight="1" x14ac:dyDescent="0.2">
      <c r="B8" s="89"/>
      <c r="C8" s="51"/>
      <c r="D8" s="11"/>
      <c r="E8" s="10"/>
      <c r="F8" s="10"/>
      <c r="G8" s="10"/>
      <c r="H8" s="10"/>
      <c r="I8" s="40"/>
      <c r="J8" s="194"/>
      <c r="K8" s="195"/>
    </row>
    <row r="9" spans="1:11" s="1" customFormat="1" ht="124" customHeight="1" thickBot="1" x14ac:dyDescent="0.25">
      <c r="B9" s="89"/>
      <c r="C9" s="50" t="s">
        <v>8</v>
      </c>
      <c r="D9" s="12" t="s">
        <v>41</v>
      </c>
      <c r="E9" s="13">
        <f>SUM(E6:E8)</f>
        <v>20</v>
      </c>
      <c r="F9" s="13">
        <f>SUM(F6)</f>
        <v>5</v>
      </c>
      <c r="G9" s="13"/>
      <c r="H9" s="65" t="s">
        <v>0</v>
      </c>
      <c r="I9" s="167">
        <f>(E9*E39)+(F9*F39)</f>
        <v>4350</v>
      </c>
      <c r="J9" s="194"/>
      <c r="K9" s="195"/>
    </row>
    <row r="10" spans="1:11" s="1" customFormat="1" ht="86" customHeight="1" x14ac:dyDescent="0.2">
      <c r="B10" s="89"/>
      <c r="C10" s="43" t="s">
        <v>2</v>
      </c>
      <c r="D10" s="36"/>
      <c r="E10" s="38" t="s">
        <v>0</v>
      </c>
      <c r="F10" s="38"/>
      <c r="G10" s="38"/>
      <c r="H10" s="38"/>
      <c r="I10" s="44"/>
      <c r="J10" s="196" t="s">
        <v>48</v>
      </c>
      <c r="K10" s="197"/>
    </row>
    <row r="11" spans="1:11" s="1" customFormat="1" ht="86" customHeight="1" x14ac:dyDescent="0.2">
      <c r="B11" s="89"/>
      <c r="C11" s="49" t="s">
        <v>31</v>
      </c>
      <c r="D11" s="58" t="s">
        <v>34</v>
      </c>
      <c r="E11" s="10"/>
      <c r="F11" s="10"/>
      <c r="G11" s="10"/>
      <c r="H11" s="10"/>
      <c r="I11" s="41"/>
      <c r="J11" s="194"/>
      <c r="K11" s="198"/>
    </row>
    <row r="12" spans="1:11" s="1" customFormat="1" ht="147" customHeight="1" x14ac:dyDescent="0.2">
      <c r="B12" s="89"/>
      <c r="C12" s="54" t="s">
        <v>12</v>
      </c>
      <c r="D12" s="59" t="s">
        <v>45</v>
      </c>
      <c r="E12" s="10" t="s">
        <v>0</v>
      </c>
      <c r="F12" s="10"/>
      <c r="G12" s="10"/>
      <c r="H12" s="10"/>
      <c r="I12" s="41"/>
      <c r="J12" s="194"/>
      <c r="K12" s="198"/>
    </row>
    <row r="13" spans="1:11" s="1" customFormat="1" ht="74" customHeight="1" x14ac:dyDescent="0.2">
      <c r="B13" s="89"/>
      <c r="C13" s="55" t="s">
        <v>13</v>
      </c>
      <c r="D13" s="66" t="s">
        <v>43</v>
      </c>
      <c r="E13" s="10">
        <v>16</v>
      </c>
      <c r="F13" s="10" t="s">
        <v>0</v>
      </c>
      <c r="G13" s="10"/>
      <c r="H13" s="10"/>
      <c r="I13" s="42" t="s">
        <v>0</v>
      </c>
      <c r="J13" s="194"/>
      <c r="K13" s="198"/>
    </row>
    <row r="14" spans="1:11" s="1" customFormat="1" ht="31" customHeight="1" x14ac:dyDescent="0.2">
      <c r="B14" s="89"/>
      <c r="C14" s="55" t="s">
        <v>0</v>
      </c>
      <c r="D14" s="66" t="s">
        <v>0</v>
      </c>
      <c r="E14" s="10" t="s">
        <v>0</v>
      </c>
      <c r="F14" s="10">
        <v>3</v>
      </c>
      <c r="G14" s="10"/>
      <c r="H14" s="10"/>
      <c r="I14" s="41"/>
      <c r="J14" s="194"/>
      <c r="K14" s="198"/>
    </row>
    <row r="15" spans="1:11" s="1" customFormat="1" ht="62" customHeight="1" x14ac:dyDescent="0.2">
      <c r="B15" s="89"/>
      <c r="C15" s="55" t="s">
        <v>14</v>
      </c>
      <c r="D15" s="66" t="s">
        <v>44</v>
      </c>
      <c r="E15" s="10">
        <v>8</v>
      </c>
      <c r="F15" s="10">
        <v>3</v>
      </c>
      <c r="G15" s="10"/>
      <c r="H15" s="10"/>
      <c r="I15" s="41"/>
      <c r="J15" s="194"/>
      <c r="K15" s="198"/>
    </row>
    <row r="16" spans="1:11" s="1" customFormat="1" ht="97" customHeight="1" x14ac:dyDescent="0.2">
      <c r="B16" s="89"/>
      <c r="C16" s="53" t="s">
        <v>39</v>
      </c>
      <c r="D16" s="15" t="s">
        <v>52</v>
      </c>
      <c r="E16" s="10">
        <v>10</v>
      </c>
      <c r="F16" s="10">
        <v>1</v>
      </c>
      <c r="G16" s="10"/>
      <c r="H16" s="10"/>
      <c r="I16" s="41"/>
      <c r="J16" s="194"/>
      <c r="K16" s="198"/>
    </row>
    <row r="17" spans="2:16" s="1" customFormat="1" ht="59" customHeight="1" x14ac:dyDescent="0.2">
      <c r="B17" s="89"/>
      <c r="C17" s="83" t="s">
        <v>13</v>
      </c>
      <c r="D17" s="14" t="s">
        <v>51</v>
      </c>
      <c r="E17" s="10"/>
      <c r="F17" s="10"/>
      <c r="G17" s="10"/>
      <c r="H17" s="10"/>
      <c r="I17" s="41"/>
      <c r="J17" s="194"/>
      <c r="K17" s="198"/>
    </row>
    <row r="18" spans="2:16" s="1" customFormat="1" ht="59" customHeight="1" x14ac:dyDescent="0.2">
      <c r="B18" s="89"/>
      <c r="C18" s="83"/>
      <c r="D18" s="14" t="s">
        <v>46</v>
      </c>
      <c r="E18" s="10"/>
      <c r="F18" s="10"/>
      <c r="G18" s="10"/>
      <c r="H18" s="10"/>
      <c r="I18" s="41"/>
      <c r="J18" s="194"/>
      <c r="K18" s="198"/>
    </row>
    <row r="19" spans="2:16" s="1" customFormat="1" ht="59" customHeight="1" x14ac:dyDescent="0.2">
      <c r="B19" s="89"/>
      <c r="C19" s="83" t="s">
        <v>14</v>
      </c>
      <c r="D19" s="14" t="s">
        <v>53</v>
      </c>
      <c r="E19" s="10"/>
      <c r="F19" s="10"/>
      <c r="G19" s="10"/>
      <c r="H19" s="10"/>
      <c r="I19" s="41"/>
      <c r="J19" s="194"/>
      <c r="K19" s="198"/>
    </row>
    <row r="20" spans="2:16" s="1" customFormat="1" ht="59" customHeight="1" x14ac:dyDescent="0.2">
      <c r="B20" s="89"/>
      <c r="C20" s="83"/>
      <c r="D20" s="14" t="s">
        <v>105</v>
      </c>
      <c r="E20" s="10">
        <v>5</v>
      </c>
      <c r="F20" s="10"/>
      <c r="G20" s="10"/>
      <c r="H20" s="10"/>
      <c r="I20" s="41"/>
      <c r="J20" s="194"/>
      <c r="K20" s="198"/>
    </row>
    <row r="21" spans="2:16" s="1" customFormat="1" ht="86" customHeight="1" x14ac:dyDescent="0.2">
      <c r="B21" s="89"/>
      <c r="C21" s="52" t="s">
        <v>8</v>
      </c>
      <c r="D21" s="16" t="s">
        <v>54</v>
      </c>
      <c r="E21" s="10"/>
      <c r="F21" s="10"/>
      <c r="G21" s="10"/>
      <c r="H21" s="10"/>
      <c r="I21" s="41" t="s">
        <v>0</v>
      </c>
      <c r="J21" s="194"/>
      <c r="K21" s="198"/>
      <c r="L21" s="5"/>
      <c r="M21" s="5"/>
      <c r="N21" s="5"/>
      <c r="O21" s="5"/>
      <c r="P21" s="5"/>
    </row>
    <row r="22" spans="2:16" s="1" customFormat="1" ht="86" customHeight="1" x14ac:dyDescent="0.2">
      <c r="B22" s="89"/>
      <c r="C22" s="52"/>
      <c r="D22" s="16" t="s">
        <v>21</v>
      </c>
      <c r="E22" s="10"/>
      <c r="F22" s="10"/>
      <c r="G22" s="10"/>
      <c r="H22" s="10"/>
      <c r="I22" s="41"/>
      <c r="J22" s="194"/>
      <c r="K22" s="198"/>
      <c r="L22" s="5"/>
      <c r="M22" s="5"/>
      <c r="N22" s="5"/>
      <c r="O22" s="5"/>
      <c r="P22" s="5"/>
    </row>
    <row r="23" spans="2:16" s="1" customFormat="1" ht="42" customHeight="1" thickBot="1" x14ac:dyDescent="0.25">
      <c r="B23" s="90"/>
      <c r="C23" s="45" t="s">
        <v>0</v>
      </c>
      <c r="D23" s="84" t="s">
        <v>0</v>
      </c>
      <c r="E23" s="10">
        <f>SUM(E13:E21)</f>
        <v>39</v>
      </c>
      <c r="F23" s="10">
        <f>SUM(F12:F21)</f>
        <v>7</v>
      </c>
      <c r="G23" s="10" t="s">
        <v>0</v>
      </c>
      <c r="H23" s="67" t="s">
        <v>0</v>
      </c>
      <c r="I23" s="168">
        <f>(E23*E39)+(F23*F39)</f>
        <v>8290</v>
      </c>
      <c r="J23" s="199"/>
      <c r="K23" s="200"/>
      <c r="L23" s="5" t="e">
        <f>((F23+#REF!)*5)*1.5</f>
        <v>#REF!</v>
      </c>
      <c r="M23" s="5" t="s">
        <v>3</v>
      </c>
      <c r="N23" s="5">
        <v>17</v>
      </c>
      <c r="O23" s="5"/>
      <c r="P23" s="5"/>
    </row>
    <row r="24" spans="2:16" s="1" customFormat="1" ht="35" hidden="1" customHeight="1" thickTop="1" x14ac:dyDescent="0.4">
      <c r="B24" s="62"/>
      <c r="C24" s="178" t="s">
        <v>18</v>
      </c>
      <c r="D24" s="178"/>
      <c r="E24" s="19"/>
      <c r="F24" s="165" t="s">
        <v>0</v>
      </c>
      <c r="G24" s="19"/>
      <c r="H24" s="19"/>
      <c r="I24" s="35" t="e">
        <f>#REF!+I9+I23</f>
        <v>#REF!</v>
      </c>
      <c r="J24" s="69"/>
      <c r="K24" s="70"/>
      <c r="L24" s="6" t="e">
        <f>I25/(J4+L23)</f>
        <v>#REF!</v>
      </c>
      <c r="M24" s="5"/>
      <c r="N24" s="5"/>
      <c r="O24" s="5"/>
      <c r="P24" s="5"/>
    </row>
    <row r="25" spans="2:16" s="1" customFormat="1" ht="36" hidden="1" customHeight="1" thickBot="1" x14ac:dyDescent="0.45">
      <c r="B25" s="63"/>
      <c r="C25" s="17"/>
      <c r="D25" s="18" t="s">
        <v>19</v>
      </c>
      <c r="E25" s="19"/>
      <c r="F25" s="166"/>
      <c r="G25" s="19"/>
      <c r="H25" s="19"/>
      <c r="I25" s="35" t="e">
        <f>I23+I9+(#REF!*0.8)</f>
        <v>#REF!</v>
      </c>
      <c r="J25" s="69"/>
      <c r="K25" s="70"/>
      <c r="L25" s="6" t="e">
        <f>L24/8</f>
        <v>#REF!</v>
      </c>
      <c r="M25" s="5"/>
      <c r="N25" s="5"/>
      <c r="O25" s="5"/>
      <c r="P25" s="5"/>
    </row>
    <row r="26" spans="2:16" s="1" customFormat="1" ht="52" customHeight="1" x14ac:dyDescent="0.3">
      <c r="B26" s="183" t="s">
        <v>5</v>
      </c>
      <c r="C26" s="75" t="s">
        <v>5</v>
      </c>
      <c r="D26" s="76"/>
      <c r="E26" s="38" t="s">
        <v>0</v>
      </c>
      <c r="F26" s="38"/>
      <c r="G26" s="38"/>
      <c r="H26" s="38"/>
      <c r="I26" s="77"/>
      <c r="J26" s="201" t="s">
        <v>55</v>
      </c>
      <c r="K26" s="202"/>
      <c r="L26" s="5">
        <v>4</v>
      </c>
      <c r="M26" s="5"/>
      <c r="N26" s="5">
        <v>3</v>
      </c>
      <c r="O26" s="5"/>
      <c r="P26" s="5"/>
    </row>
    <row r="27" spans="2:16" s="1" customFormat="1" ht="98" customHeight="1" thickBot="1" x14ac:dyDescent="0.35">
      <c r="B27" s="184"/>
      <c r="C27" s="78" t="s">
        <v>6</v>
      </c>
      <c r="D27" s="79" t="s">
        <v>37</v>
      </c>
      <c r="E27" s="13">
        <v>5</v>
      </c>
      <c r="F27" s="13"/>
      <c r="G27" s="13"/>
      <c r="H27" s="87" t="s">
        <v>29</v>
      </c>
      <c r="I27" s="80">
        <f>(E27*E39)+(F27*F39)</f>
        <v>1000</v>
      </c>
      <c r="J27" s="201"/>
      <c r="K27" s="202"/>
      <c r="L27" s="5"/>
      <c r="M27" s="5"/>
      <c r="N27" s="5"/>
      <c r="O27" s="5"/>
      <c r="P27" s="5"/>
    </row>
    <row r="28" spans="2:16" s="1" customFormat="1" ht="51" customHeight="1" thickBot="1" x14ac:dyDescent="0.45">
      <c r="B28" s="62"/>
      <c r="C28" s="17" t="s">
        <v>49</v>
      </c>
      <c r="D28" s="18"/>
      <c r="E28" s="19" t="s">
        <v>0</v>
      </c>
      <c r="F28" s="19" t="s">
        <v>0</v>
      </c>
      <c r="G28" s="19"/>
      <c r="H28" s="85" t="s">
        <v>0</v>
      </c>
      <c r="I28" s="64" t="s">
        <v>0</v>
      </c>
      <c r="J28" s="69"/>
      <c r="K28" s="70"/>
      <c r="L28" s="6"/>
      <c r="M28" s="5"/>
      <c r="N28" s="5"/>
      <c r="O28" s="5"/>
      <c r="P28" s="5"/>
    </row>
    <row r="29" spans="2:16" s="1" customFormat="1" ht="51" customHeight="1" x14ac:dyDescent="0.3">
      <c r="B29" s="179" t="s">
        <v>50</v>
      </c>
      <c r="C29" s="24" t="s">
        <v>9</v>
      </c>
      <c r="D29" s="25"/>
      <c r="E29" s="26"/>
      <c r="F29" s="26"/>
      <c r="G29" s="26"/>
      <c r="H29" s="26"/>
      <c r="I29" s="27"/>
      <c r="J29" s="189" t="s">
        <v>27</v>
      </c>
      <c r="K29" s="189"/>
      <c r="L29" s="5"/>
      <c r="M29" s="5"/>
      <c r="N29" s="5"/>
      <c r="O29" s="5"/>
      <c r="P29" s="5"/>
    </row>
    <row r="30" spans="2:16" s="1" customFormat="1" ht="57" customHeight="1" x14ac:dyDescent="0.3">
      <c r="B30" s="180"/>
      <c r="C30" s="57" t="s">
        <v>38</v>
      </c>
      <c r="D30" s="60" t="s">
        <v>35</v>
      </c>
      <c r="E30" s="26" t="s">
        <v>0</v>
      </c>
      <c r="F30" s="26"/>
      <c r="G30" s="26" t="s">
        <v>0</v>
      </c>
      <c r="H30" s="26"/>
      <c r="I30" s="28"/>
      <c r="J30" s="189"/>
      <c r="K30" s="189"/>
      <c r="L30" s="5"/>
      <c r="M30" s="5"/>
      <c r="N30" s="5"/>
      <c r="O30" s="5"/>
      <c r="P30" s="5"/>
    </row>
    <row r="31" spans="2:16" s="1" customFormat="1" ht="109" customHeight="1" x14ac:dyDescent="0.3">
      <c r="B31" s="180"/>
      <c r="C31" s="29" t="s">
        <v>4</v>
      </c>
      <c r="D31" s="61" t="s">
        <v>36</v>
      </c>
      <c r="E31" s="26" t="s">
        <v>0</v>
      </c>
      <c r="F31" s="68" t="s">
        <v>0</v>
      </c>
      <c r="G31" s="26" t="s">
        <v>0</v>
      </c>
      <c r="H31" s="26"/>
      <c r="I31" s="28"/>
      <c r="J31" s="189"/>
      <c r="K31" s="189"/>
      <c r="L31" s="5"/>
      <c r="M31" s="5"/>
      <c r="N31" s="5"/>
      <c r="O31" s="5"/>
      <c r="P31" s="5"/>
    </row>
    <row r="32" spans="2:16" s="1" customFormat="1" ht="59" customHeight="1" x14ac:dyDescent="0.3">
      <c r="B32" s="180"/>
      <c r="C32" s="56" t="s">
        <v>8</v>
      </c>
      <c r="D32" s="30"/>
      <c r="E32" s="26" t="s">
        <v>17</v>
      </c>
      <c r="F32" s="68"/>
      <c r="G32" s="26"/>
      <c r="H32" s="26"/>
      <c r="I32" s="28"/>
      <c r="J32" s="189"/>
      <c r="K32" s="189"/>
      <c r="L32" s="5"/>
      <c r="M32" s="5"/>
      <c r="N32" s="5"/>
      <c r="O32" s="86">
        <v>178</v>
      </c>
      <c r="P32" s="5"/>
    </row>
    <row r="33" spans="2:16" s="1" customFormat="1" ht="80" customHeight="1" x14ac:dyDescent="0.3">
      <c r="B33" s="180"/>
      <c r="C33" s="20" t="s">
        <v>15</v>
      </c>
      <c r="D33" s="31" t="s">
        <v>22</v>
      </c>
      <c r="E33" s="26">
        <v>5</v>
      </c>
      <c r="F33" s="68" t="s">
        <v>0</v>
      </c>
      <c r="G33" s="26" t="s">
        <v>0</v>
      </c>
      <c r="H33" s="26"/>
      <c r="I33" s="28"/>
      <c r="J33" s="189"/>
      <c r="K33" s="189"/>
      <c r="L33" s="5"/>
      <c r="M33" s="5"/>
      <c r="N33" s="5"/>
      <c r="O33" s="5"/>
      <c r="P33" s="5">
        <v>12</v>
      </c>
    </row>
    <row r="34" spans="2:16" s="1" customFormat="1" ht="77" customHeight="1" x14ac:dyDescent="0.3">
      <c r="B34" s="180"/>
      <c r="C34" s="20" t="s">
        <v>16</v>
      </c>
      <c r="D34" s="32" t="s">
        <v>23</v>
      </c>
      <c r="E34" s="26">
        <v>5</v>
      </c>
      <c r="F34" s="68" t="s">
        <v>0</v>
      </c>
      <c r="G34" s="26" t="s">
        <v>0</v>
      </c>
      <c r="H34" s="26"/>
      <c r="I34" s="28"/>
      <c r="J34" s="189"/>
      <c r="K34" s="189"/>
      <c r="L34" s="5"/>
      <c r="M34" s="5"/>
      <c r="N34" s="5"/>
      <c r="O34" s="5"/>
      <c r="P34" s="5"/>
    </row>
    <row r="35" spans="2:16" s="1" customFormat="1" ht="96" customHeight="1" x14ac:dyDescent="0.3">
      <c r="B35" s="180"/>
      <c r="C35" s="20" t="s">
        <v>28</v>
      </c>
      <c r="D35" s="21" t="s">
        <v>24</v>
      </c>
      <c r="E35" s="26" t="s">
        <v>0</v>
      </c>
      <c r="F35" s="68" t="s">
        <v>0</v>
      </c>
      <c r="G35" s="26"/>
      <c r="H35" s="26"/>
      <c r="I35" s="28"/>
      <c r="J35" s="189"/>
      <c r="K35" s="189"/>
      <c r="L35" s="5"/>
      <c r="M35" s="5"/>
      <c r="N35" s="5"/>
      <c r="O35" s="5"/>
      <c r="P35" s="5"/>
    </row>
    <row r="36" spans="2:16" s="1" customFormat="1" ht="90" customHeight="1" x14ac:dyDescent="0.3">
      <c r="B36" s="180"/>
      <c r="C36" s="22" t="s">
        <v>0</v>
      </c>
      <c r="D36" s="23" t="s">
        <v>25</v>
      </c>
      <c r="E36" s="26">
        <v>2</v>
      </c>
      <c r="F36" s="68" t="s">
        <v>0</v>
      </c>
      <c r="G36" s="26" t="s">
        <v>0</v>
      </c>
      <c r="H36" s="26" t="s">
        <v>0</v>
      </c>
      <c r="I36" s="91">
        <v>0</v>
      </c>
      <c r="J36" s="189"/>
      <c r="K36" s="189"/>
      <c r="L36" s="5"/>
      <c r="M36" s="5"/>
      <c r="N36" s="5">
        <v>4</v>
      </c>
      <c r="O36" s="5"/>
      <c r="P36" s="5"/>
    </row>
    <row r="37" spans="2:16" s="1" customFormat="1" ht="61" customHeight="1" thickBot="1" x14ac:dyDescent="0.35">
      <c r="B37" s="181"/>
      <c r="C37" s="29"/>
      <c r="D37" s="33" t="s">
        <v>104</v>
      </c>
      <c r="E37" s="26">
        <f>(SUM(E33:E36)/8)*3</f>
        <v>4.5</v>
      </c>
      <c r="F37" s="68">
        <v>1</v>
      </c>
      <c r="G37" s="26" t="s">
        <v>0</v>
      </c>
      <c r="H37" s="26" t="s">
        <v>0</v>
      </c>
      <c r="I37" s="34">
        <f>(E37*E39)+(F37*F39)</f>
        <v>970</v>
      </c>
      <c r="J37" s="189"/>
      <c r="K37" s="189"/>
      <c r="L37" s="5"/>
      <c r="M37" s="5"/>
      <c r="N37" s="5"/>
      <c r="O37" s="5"/>
      <c r="P37" s="5"/>
    </row>
    <row r="38" spans="2:16" s="1" customFormat="1" ht="61" customHeight="1" x14ac:dyDescent="0.3">
      <c r="B38" s="169"/>
      <c r="C38" s="170"/>
      <c r="D38" s="171"/>
      <c r="E38" s="172"/>
      <c r="F38" s="173"/>
      <c r="G38" s="172"/>
      <c r="H38" s="172"/>
      <c r="I38" s="174">
        <f>I37+I27+I9+I23</f>
        <v>14610</v>
      </c>
      <c r="J38" s="175"/>
      <c r="K38" s="175"/>
      <c r="L38" s="5"/>
      <c r="M38" s="5"/>
      <c r="N38" s="5"/>
      <c r="O38" s="5"/>
      <c r="P38" s="5"/>
    </row>
    <row r="39" spans="2:16" ht="49" customHeight="1" x14ac:dyDescent="0.25">
      <c r="D39" s="130" t="s">
        <v>91</v>
      </c>
      <c r="E39" s="131">
        <v>200</v>
      </c>
      <c r="F39" s="131">
        <v>70</v>
      </c>
      <c r="G39" s="130"/>
      <c r="H39" s="4" t="s">
        <v>0</v>
      </c>
      <c r="I39" s="3"/>
      <c r="J39" s="3"/>
    </row>
    <row r="41" spans="2:16" ht="49" customHeight="1" x14ac:dyDescent="0.25">
      <c r="D41" s="130" t="s">
        <v>92</v>
      </c>
      <c r="E41" s="19">
        <f>E9+E23+E37+E27</f>
        <v>68.5</v>
      </c>
      <c r="F41" s="19">
        <f>F9+F23+F37</f>
        <v>13</v>
      </c>
      <c r="G41" s="133">
        <f>E41+F41</f>
        <v>81.5</v>
      </c>
      <c r="H41" s="4" t="s">
        <v>0</v>
      </c>
      <c r="I41" s="3"/>
      <c r="J41" s="3"/>
    </row>
    <row r="42" spans="2:16" ht="49" customHeight="1" x14ac:dyDescent="0.25">
      <c r="D42" s="130"/>
      <c r="E42" s="137"/>
      <c r="F42" s="137"/>
      <c r="G42" s="138"/>
      <c r="H42" s="3"/>
      <c r="I42" s="3"/>
      <c r="J42" s="3"/>
    </row>
    <row r="43" spans="2:16" ht="30" x14ac:dyDescent="0.2">
      <c r="D43" s="130"/>
      <c r="E43" s="135">
        <f>E41*E39</f>
        <v>13700</v>
      </c>
      <c r="F43" s="135">
        <f>F41*F39</f>
        <v>910</v>
      </c>
      <c r="G43" s="130"/>
      <c r="H43" s="2" t="s">
        <v>0</v>
      </c>
    </row>
    <row r="44" spans="2:16" ht="30" x14ac:dyDescent="0.2">
      <c r="D44" s="130"/>
      <c r="E44" s="130"/>
      <c r="F44" s="130"/>
      <c r="G44" s="130"/>
    </row>
    <row r="45" spans="2:16" ht="30" x14ac:dyDescent="0.2">
      <c r="D45" s="130" t="s">
        <v>93</v>
      </c>
      <c r="E45" s="130"/>
      <c r="F45" s="135">
        <f>F43+E43</f>
        <v>14610</v>
      </c>
      <c r="G45" s="136">
        <f>F45/G41</f>
        <v>179.2638036809816</v>
      </c>
    </row>
    <row r="46" spans="2:16" ht="30" x14ac:dyDescent="0.2">
      <c r="D46" s="130" t="s">
        <v>94</v>
      </c>
      <c r="E46" s="130"/>
      <c r="F46" s="130"/>
      <c r="G46" s="133">
        <v>50</v>
      </c>
    </row>
    <row r="47" spans="2:16" ht="30" x14ac:dyDescent="0.2">
      <c r="D47" s="130" t="s">
        <v>95</v>
      </c>
      <c r="E47" s="130"/>
      <c r="F47" s="130"/>
      <c r="G47" s="136">
        <f>G46*G45</f>
        <v>8963.1901840490791</v>
      </c>
    </row>
    <row r="50" spans="5:5" x14ac:dyDescent="0.2">
      <c r="E50" s="2"/>
    </row>
  </sheetData>
  <mergeCells count="11">
    <mergeCell ref="J2:K3"/>
    <mergeCell ref="J29:K37"/>
    <mergeCell ref="C2:I2"/>
    <mergeCell ref="J4:K9"/>
    <mergeCell ref="J10:K23"/>
    <mergeCell ref="J26:K27"/>
    <mergeCell ref="B2:B3"/>
    <mergeCell ref="C24:D24"/>
    <mergeCell ref="B29:B37"/>
    <mergeCell ref="D3:H3"/>
    <mergeCell ref="B26:B27"/>
  </mergeCells>
  <printOptions horizontalCentered="1" verticalCentered="1"/>
  <pageMargins left="0.7" right="0.7" top="0.75" bottom="0.75" header="0.3" footer="0.3"/>
  <pageSetup scale="33" orientation="landscape" horizontalDpi="0" verticalDpi="0"/>
  <headerFooter>
    <oddHeader>&amp;C&amp;"Calibri,Regular"&amp;K000000&amp;A&amp;R&amp;"Calibri,Regular"&amp;K000000Page &amp;P</oddHeader>
    <oddFooter xml:space="preserve">&amp;C&amp;"Franklin Gothic Book,Regular"&amp;18&amp;K000000All pricing secured through 2021&amp;"Calibri,Regular"&amp;12
</oddFooter>
  </headerFooter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6356-019C-D04E-8B3D-37FEC8BF0FDC}">
  <dimension ref="B1:K78"/>
  <sheetViews>
    <sheetView showGridLines="0" topLeftCell="A34" zoomScale="83" zoomScaleNormal="83" workbookViewId="0">
      <selection activeCell="D40" sqref="D40:G47"/>
    </sheetView>
  </sheetViews>
  <sheetFormatPr baseColWidth="10" defaultRowHeight="16" x14ac:dyDescent="0.2"/>
  <cols>
    <col min="1" max="1" width="10.83203125" style="97"/>
    <col min="2" max="2" width="16.83203125" style="97" customWidth="1"/>
    <col min="3" max="3" width="77.83203125" style="97" customWidth="1"/>
    <col min="4" max="4" width="86.83203125" style="97" customWidth="1"/>
    <col min="5" max="7" width="24.6640625" style="97" customWidth="1"/>
    <col min="8" max="8" width="36.6640625" style="97" customWidth="1"/>
    <col min="9" max="9" width="18" style="97" customWidth="1"/>
    <col min="10" max="10" width="10.83203125" style="97"/>
    <col min="11" max="11" width="120" style="97" bestFit="1" customWidth="1"/>
    <col min="12" max="16384" width="10.83203125" style="97"/>
  </cols>
  <sheetData>
    <row r="1" spans="2:11" ht="17" thickBot="1" x14ac:dyDescent="0.25"/>
    <row r="2" spans="2:11" ht="56" customHeight="1" x14ac:dyDescent="0.2">
      <c r="B2" s="204" t="s">
        <v>40</v>
      </c>
      <c r="C2" s="205"/>
      <c r="D2" s="205"/>
      <c r="E2" s="205"/>
      <c r="F2" s="205"/>
      <c r="G2" s="205"/>
      <c r="H2" s="206"/>
    </row>
    <row r="3" spans="2:11" ht="55" customHeight="1" thickBot="1" x14ac:dyDescent="0.25">
      <c r="B3" s="125" t="s">
        <v>58</v>
      </c>
      <c r="C3" s="217" t="s">
        <v>71</v>
      </c>
      <c r="D3" s="217"/>
      <c r="E3" s="217"/>
      <c r="F3" s="217"/>
      <c r="G3" s="217"/>
      <c r="H3" s="126" t="s">
        <v>1</v>
      </c>
    </row>
    <row r="4" spans="2:11" ht="48" hidden="1" customHeight="1" thickBot="1" x14ac:dyDescent="0.25">
      <c r="B4" s="215" t="s">
        <v>0</v>
      </c>
      <c r="C4" s="216"/>
      <c r="D4" s="216"/>
      <c r="E4" s="146" t="s">
        <v>88</v>
      </c>
      <c r="F4" s="146" t="s">
        <v>89</v>
      </c>
      <c r="G4" s="146" t="s">
        <v>59</v>
      </c>
      <c r="H4" s="123"/>
    </row>
    <row r="5" spans="2:11" ht="48" customHeight="1" x14ac:dyDescent="0.2">
      <c r="B5" s="208" t="s">
        <v>63</v>
      </c>
      <c r="C5" s="98" t="s">
        <v>60</v>
      </c>
      <c r="D5" s="9" t="s">
        <v>64</v>
      </c>
      <c r="E5" s="81">
        <v>5</v>
      </c>
      <c r="F5" s="81">
        <v>2</v>
      </c>
      <c r="G5" s="81"/>
      <c r="H5" s="156" t="s">
        <v>0</v>
      </c>
    </row>
    <row r="6" spans="2:11" ht="58" customHeight="1" x14ac:dyDescent="0.2">
      <c r="B6" s="208"/>
      <c r="C6" s="98"/>
      <c r="D6" s="9" t="s">
        <v>72</v>
      </c>
      <c r="E6" s="81">
        <v>6</v>
      </c>
      <c r="F6" s="81">
        <v>1</v>
      </c>
      <c r="G6" s="81"/>
      <c r="H6" s="156"/>
    </row>
    <row r="7" spans="2:11" ht="78" customHeight="1" x14ac:dyDescent="0.2">
      <c r="B7" s="208"/>
      <c r="C7" s="98"/>
      <c r="D7" s="9" t="s">
        <v>76</v>
      </c>
      <c r="E7" s="81">
        <v>6</v>
      </c>
      <c r="F7" s="81">
        <v>1</v>
      </c>
      <c r="G7" s="81"/>
      <c r="H7" s="156" t="s">
        <v>0</v>
      </c>
    </row>
    <row r="8" spans="2:11" ht="58" customHeight="1" x14ac:dyDescent="0.2">
      <c r="B8" s="208"/>
      <c r="C8" s="98"/>
      <c r="D8" s="9" t="s">
        <v>65</v>
      </c>
      <c r="E8" s="81">
        <v>6</v>
      </c>
      <c r="F8" s="81">
        <v>1</v>
      </c>
      <c r="G8" s="81"/>
      <c r="H8" s="156"/>
    </row>
    <row r="9" spans="2:11" ht="58" customHeight="1" x14ac:dyDescent="0.2">
      <c r="B9" s="208"/>
      <c r="C9" s="98"/>
      <c r="D9" s="9" t="s">
        <v>75</v>
      </c>
      <c r="E9" s="81">
        <v>7</v>
      </c>
      <c r="F9" s="81">
        <v>5</v>
      </c>
      <c r="G9" s="81"/>
      <c r="H9" s="155">
        <v>2500</v>
      </c>
    </row>
    <row r="10" spans="2:11" ht="70" customHeight="1" x14ac:dyDescent="0.2">
      <c r="B10" s="208"/>
      <c r="C10" s="99"/>
      <c r="D10" s="9" t="s">
        <v>100</v>
      </c>
      <c r="E10" s="147">
        <v>5</v>
      </c>
      <c r="F10" s="148"/>
      <c r="G10" s="81"/>
      <c r="H10" s="156"/>
      <c r="J10" s="97" t="s">
        <v>0</v>
      </c>
      <c r="K10" s="97" t="s">
        <v>0</v>
      </c>
    </row>
    <row r="11" spans="2:11" ht="81" customHeight="1" x14ac:dyDescent="0.2">
      <c r="B11" s="208"/>
      <c r="C11" s="143" t="s">
        <v>98</v>
      </c>
      <c r="D11" s="111" t="s">
        <v>99</v>
      </c>
      <c r="E11" s="81">
        <v>8</v>
      </c>
      <c r="F11" s="81">
        <v>1</v>
      </c>
      <c r="G11" s="161"/>
      <c r="H11" s="157"/>
    </row>
    <row r="12" spans="2:11" ht="56" customHeight="1" x14ac:dyDescent="0.2">
      <c r="B12" s="208"/>
      <c r="C12" s="143"/>
      <c r="D12" s="144" t="s">
        <v>0</v>
      </c>
      <c r="E12" s="81" t="s">
        <v>0</v>
      </c>
      <c r="F12" s="81"/>
      <c r="G12" s="161"/>
      <c r="H12" s="157"/>
    </row>
    <row r="13" spans="2:11" ht="81" customHeight="1" x14ac:dyDescent="0.2">
      <c r="B13" s="208"/>
      <c r="C13" s="100" t="s">
        <v>8</v>
      </c>
      <c r="D13" s="111" t="s">
        <v>73</v>
      </c>
      <c r="E13" s="81">
        <v>4</v>
      </c>
      <c r="F13" s="81">
        <v>1</v>
      </c>
      <c r="G13" s="161"/>
      <c r="H13" s="157"/>
    </row>
    <row r="14" spans="2:11" ht="58" customHeight="1" x14ac:dyDescent="0.2">
      <c r="B14" s="208"/>
      <c r="C14" s="100" t="s">
        <v>0</v>
      </c>
      <c r="D14" s="111" t="s">
        <v>74</v>
      </c>
      <c r="E14" s="149">
        <v>2</v>
      </c>
      <c r="F14" s="150">
        <v>2</v>
      </c>
      <c r="G14" s="161"/>
      <c r="H14" s="157"/>
    </row>
    <row r="15" spans="2:11" s="112" customFormat="1" ht="58" customHeight="1" thickBot="1" x14ac:dyDescent="0.25">
      <c r="B15" s="209"/>
      <c r="C15" s="141"/>
      <c r="D15" s="82" t="s">
        <v>0</v>
      </c>
      <c r="E15" s="151">
        <f>SUM(E5:E14)</f>
        <v>49</v>
      </c>
      <c r="F15" s="151">
        <f>SUM(F5:F14)</f>
        <v>14</v>
      </c>
      <c r="G15" s="162" t="s">
        <v>0</v>
      </c>
      <c r="H15" s="119">
        <f>(E15*$E$40)+(F15*$F$40)+H9</f>
        <v>13280</v>
      </c>
    </row>
    <row r="16" spans="2:11" ht="84" customHeight="1" x14ac:dyDescent="0.2">
      <c r="B16" s="210" t="s">
        <v>66</v>
      </c>
      <c r="C16" s="101" t="s">
        <v>60</v>
      </c>
      <c r="D16" s="96" t="s">
        <v>96</v>
      </c>
      <c r="E16" s="152">
        <v>10</v>
      </c>
      <c r="F16" s="152"/>
      <c r="G16" s="152"/>
      <c r="H16" s="71"/>
    </row>
    <row r="17" spans="2:9" ht="84" customHeight="1" x14ac:dyDescent="0.2">
      <c r="B17" s="211"/>
      <c r="C17" s="139"/>
      <c r="D17" s="140" t="s">
        <v>68</v>
      </c>
      <c r="E17" s="153">
        <v>5</v>
      </c>
      <c r="F17" s="153"/>
      <c r="G17" s="153"/>
      <c r="H17" s="72"/>
    </row>
    <row r="18" spans="2:9" ht="84" customHeight="1" x14ac:dyDescent="0.2">
      <c r="B18" s="211"/>
      <c r="C18" s="139"/>
      <c r="D18" s="140"/>
      <c r="E18" s="153"/>
      <c r="F18" s="153"/>
      <c r="G18" s="153"/>
      <c r="H18" s="72"/>
    </row>
    <row r="19" spans="2:9" ht="51" customHeight="1" x14ac:dyDescent="0.2">
      <c r="B19" s="211"/>
      <c r="C19" s="102" t="s">
        <v>8</v>
      </c>
      <c r="D19" s="142" t="s">
        <v>97</v>
      </c>
      <c r="E19" s="153" t="s">
        <v>0</v>
      </c>
      <c r="F19" s="153" t="s">
        <v>0</v>
      </c>
      <c r="G19" s="153"/>
      <c r="H19" s="72"/>
    </row>
    <row r="20" spans="2:9" ht="51" customHeight="1" x14ac:dyDescent="0.2">
      <c r="B20" s="211"/>
      <c r="C20" s="102" t="s">
        <v>0</v>
      </c>
      <c r="D20" s="142" t="s">
        <v>67</v>
      </c>
      <c r="E20" s="153">
        <v>5</v>
      </c>
      <c r="F20" s="153">
        <v>2</v>
      </c>
      <c r="G20" s="153"/>
      <c r="H20" s="72"/>
    </row>
    <row r="21" spans="2:9" s="112" customFormat="1" ht="51" customHeight="1" thickBot="1" x14ac:dyDescent="0.25">
      <c r="B21" s="211"/>
      <c r="C21" s="103" t="s">
        <v>0</v>
      </c>
      <c r="D21" s="95" t="s">
        <v>0</v>
      </c>
      <c r="E21" s="128">
        <f>SUM(E16:E20)</f>
        <v>20</v>
      </c>
      <c r="F21" s="128">
        <f>SUM(F16:F20)</f>
        <v>2</v>
      </c>
      <c r="G21" s="163" t="s">
        <v>0</v>
      </c>
      <c r="H21" s="118">
        <f>E40*E21</f>
        <v>4000</v>
      </c>
      <c r="I21" s="112" t="s">
        <v>0</v>
      </c>
    </row>
    <row r="22" spans="2:9" ht="60" customHeight="1" x14ac:dyDescent="0.2">
      <c r="B22" s="212" t="s">
        <v>79</v>
      </c>
      <c r="C22" s="139" t="s">
        <v>60</v>
      </c>
      <c r="D22" s="127" t="s">
        <v>0</v>
      </c>
      <c r="E22" s="153" t="s">
        <v>0</v>
      </c>
      <c r="F22" s="153" t="s">
        <v>0</v>
      </c>
      <c r="G22" s="153"/>
      <c r="H22" s="74" t="s">
        <v>0</v>
      </c>
    </row>
    <row r="23" spans="2:9" ht="60" customHeight="1" x14ac:dyDescent="0.2">
      <c r="B23" s="213"/>
      <c r="C23" s="121"/>
      <c r="D23" s="120" t="s">
        <v>70</v>
      </c>
      <c r="E23" s="153"/>
      <c r="F23" s="153"/>
      <c r="G23" s="153"/>
      <c r="H23" s="159" t="s">
        <v>0</v>
      </c>
    </row>
    <row r="24" spans="2:9" ht="60" customHeight="1" x14ac:dyDescent="0.2">
      <c r="B24" s="213"/>
      <c r="C24" s="121"/>
      <c r="D24" s="122" t="s">
        <v>69</v>
      </c>
      <c r="E24" s="153">
        <v>15</v>
      </c>
      <c r="F24" s="153">
        <v>2</v>
      </c>
      <c r="G24" s="153"/>
      <c r="H24" s="159"/>
    </row>
    <row r="25" spans="2:9" ht="60" customHeight="1" x14ac:dyDescent="0.2">
      <c r="B25" s="213"/>
      <c r="C25" s="104" t="s">
        <v>0</v>
      </c>
      <c r="D25" s="122" t="s">
        <v>82</v>
      </c>
      <c r="E25" s="153">
        <v>10</v>
      </c>
      <c r="F25" s="153">
        <v>4</v>
      </c>
      <c r="G25" s="153"/>
      <c r="H25" s="74" t="s">
        <v>0</v>
      </c>
    </row>
    <row r="26" spans="2:9" ht="85" customHeight="1" x14ac:dyDescent="0.2">
      <c r="B26" s="213"/>
      <c r="C26" s="104"/>
      <c r="D26" s="122" t="s">
        <v>81</v>
      </c>
      <c r="E26" s="153">
        <v>2</v>
      </c>
      <c r="F26" s="153">
        <v>1</v>
      </c>
      <c r="G26" s="153"/>
      <c r="H26" s="74"/>
    </row>
    <row r="27" spans="2:9" ht="60" customHeight="1" x14ac:dyDescent="0.2">
      <c r="B27" s="213"/>
      <c r="C27" s="104" t="s">
        <v>0</v>
      </c>
      <c r="D27" s="122" t="s">
        <v>83</v>
      </c>
      <c r="E27" s="153">
        <v>3</v>
      </c>
      <c r="F27" s="153" t="s">
        <v>0</v>
      </c>
      <c r="G27" s="153"/>
      <c r="H27" s="74" t="s">
        <v>0</v>
      </c>
    </row>
    <row r="28" spans="2:9" ht="60" customHeight="1" x14ac:dyDescent="0.2">
      <c r="B28" s="213"/>
      <c r="C28" s="102" t="s">
        <v>8</v>
      </c>
      <c r="D28" s="114" t="s">
        <v>77</v>
      </c>
      <c r="E28" s="153" t="s">
        <v>0</v>
      </c>
      <c r="F28" s="153" t="s">
        <v>0</v>
      </c>
      <c r="G28" s="153"/>
      <c r="H28" s="145">
        <v>4500</v>
      </c>
    </row>
    <row r="29" spans="2:9" ht="60" customHeight="1" x14ac:dyDescent="0.2">
      <c r="B29" s="213"/>
      <c r="C29" s="100"/>
      <c r="D29" s="127" t="s">
        <v>80</v>
      </c>
      <c r="E29" s="153"/>
      <c r="F29" s="153"/>
      <c r="G29" s="153"/>
      <c r="H29" s="74"/>
    </row>
    <row r="30" spans="2:9" s="112" customFormat="1" ht="61" customHeight="1" thickBot="1" x14ac:dyDescent="0.25">
      <c r="B30" s="214"/>
      <c r="C30" s="105" t="s">
        <v>0</v>
      </c>
      <c r="D30" s="106"/>
      <c r="E30" s="154">
        <f>SUM(E22:E28)</f>
        <v>30</v>
      </c>
      <c r="F30" s="154">
        <f>SUM(F22:F28)</f>
        <v>7</v>
      </c>
      <c r="G30" s="164">
        <f>E30+F30</f>
        <v>37</v>
      </c>
      <c r="H30" s="119">
        <f>(E30*$E$40)+(F30*$F$40)+H28</f>
        <v>10990</v>
      </c>
    </row>
    <row r="31" spans="2:9" ht="81" customHeight="1" x14ac:dyDescent="0.2">
      <c r="B31" s="207" t="s">
        <v>78</v>
      </c>
      <c r="C31" s="101" t="s">
        <v>60</v>
      </c>
      <c r="D31" s="113" t="s">
        <v>84</v>
      </c>
      <c r="E31" s="152">
        <v>0</v>
      </c>
      <c r="F31" s="152">
        <v>0</v>
      </c>
      <c r="G31" s="152"/>
      <c r="H31" s="73"/>
    </row>
    <row r="32" spans="2:9" ht="59" customHeight="1" x14ac:dyDescent="0.2">
      <c r="B32" s="208"/>
      <c r="C32" s="104" t="s">
        <v>0</v>
      </c>
      <c r="D32" s="113" t="s">
        <v>85</v>
      </c>
      <c r="E32" s="153">
        <v>0</v>
      </c>
      <c r="F32" s="153">
        <v>0</v>
      </c>
      <c r="G32" s="153"/>
      <c r="H32" s="74"/>
    </row>
    <row r="33" spans="2:11" ht="59" customHeight="1" x14ac:dyDescent="0.2">
      <c r="B33" s="208"/>
      <c r="C33" s="104"/>
      <c r="D33" s="113" t="s">
        <v>86</v>
      </c>
      <c r="E33" s="153">
        <v>0</v>
      </c>
      <c r="F33" s="153">
        <v>0</v>
      </c>
      <c r="G33" s="153"/>
      <c r="H33" s="74"/>
    </row>
    <row r="34" spans="2:11" ht="78" customHeight="1" x14ac:dyDescent="0.2">
      <c r="B34" s="208"/>
      <c r="C34" s="104" t="s">
        <v>0</v>
      </c>
      <c r="D34" s="113" t="s">
        <v>61</v>
      </c>
      <c r="E34" s="153">
        <v>0</v>
      </c>
      <c r="F34" s="153">
        <v>0</v>
      </c>
      <c r="G34" s="153"/>
      <c r="H34" s="107" t="s">
        <v>0</v>
      </c>
    </row>
    <row r="35" spans="2:11" ht="74" customHeight="1" x14ac:dyDescent="0.2">
      <c r="B35" s="208"/>
      <c r="C35" s="102" t="s">
        <v>8</v>
      </c>
      <c r="D35" s="114" t="s">
        <v>87</v>
      </c>
      <c r="E35" s="158" t="s">
        <v>0</v>
      </c>
      <c r="F35" s="158" t="s">
        <v>0</v>
      </c>
      <c r="G35" s="158" t="s">
        <v>0</v>
      </c>
      <c r="H35" s="160" t="s">
        <v>0</v>
      </c>
      <c r="J35" s="97" t="s">
        <v>0</v>
      </c>
      <c r="K35" s="97" t="s">
        <v>0</v>
      </c>
    </row>
    <row r="36" spans="2:11" s="112" customFormat="1" ht="62" customHeight="1" thickBot="1" x14ac:dyDescent="0.25">
      <c r="B36" s="209"/>
      <c r="C36" s="105" t="s">
        <v>0</v>
      </c>
      <c r="D36" s="218" t="s">
        <v>101</v>
      </c>
      <c r="E36" s="219"/>
      <c r="F36" s="219"/>
      <c r="G36" s="219"/>
      <c r="H36" s="220"/>
      <c r="J36" s="112" t="s">
        <v>0</v>
      </c>
      <c r="K36" s="112" t="s">
        <v>0</v>
      </c>
    </row>
    <row r="37" spans="2:11" ht="61" customHeight="1" thickBot="1" x14ac:dyDescent="0.25">
      <c r="B37" s="115"/>
      <c r="C37" s="108" t="s">
        <v>57</v>
      </c>
      <c r="D37" s="94" t="s">
        <v>90</v>
      </c>
      <c r="E37" s="92"/>
      <c r="F37" s="92"/>
      <c r="G37" s="92"/>
      <c r="H37" s="124">
        <f>(H30+H21+H15)*0.01</f>
        <v>282.7</v>
      </c>
    </row>
    <row r="38" spans="2:11" ht="31" thickBot="1" x14ac:dyDescent="0.25">
      <c r="B38" s="109"/>
      <c r="C38" s="203" t="s">
        <v>62</v>
      </c>
      <c r="D38" s="203"/>
      <c r="E38" s="203"/>
      <c r="F38" s="203"/>
      <c r="G38" s="203"/>
      <c r="H38" s="93"/>
    </row>
    <row r="39" spans="2:11" ht="52" customHeight="1" x14ac:dyDescent="0.2">
      <c r="C39" s="116" t="s">
        <v>56</v>
      </c>
      <c r="D39" s="110" t="s">
        <v>0</v>
      </c>
      <c r="E39" s="110"/>
      <c r="F39" s="110"/>
      <c r="G39" s="110"/>
      <c r="H39" s="117">
        <f>H30+H21+H15+H37</f>
        <v>28552.7</v>
      </c>
    </row>
    <row r="40" spans="2:11" ht="30" x14ac:dyDescent="0.2">
      <c r="C40" s="130"/>
      <c r="D40" s="130" t="s">
        <v>91</v>
      </c>
      <c r="E40" s="131">
        <v>200</v>
      </c>
      <c r="F40" s="131">
        <v>70</v>
      </c>
      <c r="G40" s="130"/>
      <c r="H40" s="132"/>
    </row>
    <row r="41" spans="2:11" ht="30" x14ac:dyDescent="0.2">
      <c r="C41" s="130"/>
      <c r="D41" s="130" t="s">
        <v>92</v>
      </c>
      <c r="E41" s="19">
        <f>E30+E21+E15</f>
        <v>99</v>
      </c>
      <c r="F41" s="133">
        <f>F36+F30+F21+F15</f>
        <v>23</v>
      </c>
      <c r="G41" s="133">
        <f>E41+F41</f>
        <v>122</v>
      </c>
      <c r="H41" s="134" t="s">
        <v>0</v>
      </c>
    </row>
    <row r="42" spans="2:11" ht="30" x14ac:dyDescent="0.2">
      <c r="C42" s="130"/>
      <c r="D42" s="130"/>
      <c r="E42" s="137"/>
      <c r="F42" s="137"/>
      <c r="G42" s="138"/>
      <c r="H42" s="130"/>
    </row>
    <row r="43" spans="2:11" ht="30" x14ac:dyDescent="0.2">
      <c r="C43" s="130"/>
      <c r="D43" s="130"/>
      <c r="E43" s="135">
        <f>E41*E40</f>
        <v>19800</v>
      </c>
      <c r="F43" s="135">
        <f>F41*F40</f>
        <v>1610</v>
      </c>
      <c r="G43" s="130"/>
      <c r="H43" s="130"/>
    </row>
    <row r="44" spans="2:11" ht="39" customHeight="1" x14ac:dyDescent="0.2">
      <c r="C44" s="130"/>
      <c r="D44" s="130"/>
      <c r="E44" s="130"/>
      <c r="F44" s="130"/>
      <c r="G44" s="130"/>
      <c r="H44" s="130"/>
    </row>
    <row r="45" spans="2:11" ht="50" customHeight="1" x14ac:dyDescent="0.2">
      <c r="C45" s="130"/>
      <c r="D45" s="130" t="s">
        <v>93</v>
      </c>
      <c r="E45" s="130"/>
      <c r="F45" s="135">
        <f>F43+E43</f>
        <v>21410</v>
      </c>
      <c r="G45" s="136">
        <f>F45/G41</f>
        <v>175.49180327868854</v>
      </c>
      <c r="H45" s="130"/>
    </row>
    <row r="46" spans="2:11" ht="55" customHeight="1" x14ac:dyDescent="0.2">
      <c r="C46" s="130"/>
      <c r="D46" s="130" t="s">
        <v>94</v>
      </c>
      <c r="E46" s="130"/>
      <c r="F46" s="130"/>
      <c r="G46" s="133">
        <v>50</v>
      </c>
      <c r="H46" s="130"/>
    </row>
    <row r="47" spans="2:11" ht="62" customHeight="1" x14ac:dyDescent="0.2">
      <c r="C47" s="130"/>
      <c r="D47" s="130" t="s">
        <v>95</v>
      </c>
      <c r="E47" s="130"/>
      <c r="F47" s="130"/>
      <c r="G47" s="136">
        <f>G46*G45</f>
        <v>8774.5901639344265</v>
      </c>
      <c r="H47" s="130"/>
    </row>
    <row r="78" spans="4:4" ht="20" x14ac:dyDescent="0.2">
      <c r="D78" s="129"/>
    </row>
  </sheetData>
  <mergeCells count="9">
    <mergeCell ref="C38:G38"/>
    <mergeCell ref="B2:H2"/>
    <mergeCell ref="B31:B36"/>
    <mergeCell ref="B16:B21"/>
    <mergeCell ref="B22:B30"/>
    <mergeCell ref="B5:B15"/>
    <mergeCell ref="B4:D4"/>
    <mergeCell ref="C3:G3"/>
    <mergeCell ref="D36:H36"/>
  </mergeCells>
  <pageMargins left="0.7" right="0.7" top="0.75" bottom="0.75" header="0.3" footer="0.3"/>
  <pageSetup scale="21" orientation="portrait" horizontalDpi="0" verticalDpi="0"/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409FC017C7BF40961EF880411E08B5" ma:contentTypeVersion="12" ma:contentTypeDescription="Create a new document." ma:contentTypeScope="" ma:versionID="315ad12d6b81cebeaa223d9f11ebdfe3">
  <xsd:schema xmlns:xsd="http://www.w3.org/2001/XMLSchema" xmlns:xs="http://www.w3.org/2001/XMLSchema" xmlns:p="http://schemas.microsoft.com/office/2006/metadata/properties" xmlns:ns2="5f895480-74b7-4295-beb1-000abdb77711" xmlns:ns3="f9f3b592-2a1e-4fc9-8218-81ad9cd05aa6" targetNamespace="http://schemas.microsoft.com/office/2006/metadata/properties" ma:root="true" ma:fieldsID="14f41900450122de98b785351060c2e7" ns2:_="" ns3:_="">
    <xsd:import namespace="5f895480-74b7-4295-beb1-000abdb77711"/>
    <xsd:import namespace="f9f3b592-2a1e-4fc9-8218-81ad9cd05a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95480-74b7-4295-beb1-000abdb77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3b592-2a1e-4fc9-8218-81ad9cd05a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BC91E6-74AF-4CD8-8D8D-EA2B1B2AD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895480-74b7-4295-beb1-000abdb77711"/>
    <ds:schemaRef ds:uri="f9f3b592-2a1e-4fc9-8218-81ad9cd05a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8E8D7-EB51-41C9-9BFC-F791783F64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EDD38C-D331-40D0-AD84-DF105000D7F3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9f3b592-2a1e-4fc9-8218-81ad9cd05aa6"/>
    <ds:schemaRef ds:uri="5f895480-74b7-4295-beb1-000abdb777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Investment </vt:lpstr>
      <vt:lpstr>Time and Materials</vt:lpstr>
      <vt:lpstr>'Investment '!Print_Area</vt:lpstr>
      <vt:lpstr>'Time and Materials'!Print_Area</vt:lpstr>
    </vt:vector>
  </TitlesOfParts>
  <Company>Kate Burda &amp;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Burda</dc:creator>
  <cp:lastModifiedBy>Kate Burda</cp:lastModifiedBy>
  <cp:lastPrinted>2021-01-25T01:59:07Z</cp:lastPrinted>
  <dcterms:created xsi:type="dcterms:W3CDTF">2017-06-18T17:46:44Z</dcterms:created>
  <dcterms:modified xsi:type="dcterms:W3CDTF">2025-04-09T23:05:18Z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0x01010075409FC017C7BF40961EF880411E08B5</vt:lpwstr>
  </property>
</Properties>
</file>